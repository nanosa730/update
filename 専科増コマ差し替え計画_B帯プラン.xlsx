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説明" sheetId="1" state="visible" r:id="rId3"/>
    <sheet name="差し替え表" sheetId="2" state="visible" r:id="rId4"/>
    <sheet name="実施スケジュール" sheetId="3" state="visible" r:id="rId5"/>
    <sheet name="差し替え週の時間割（例）" sheetId="4" state="visible" r:id="rId6"/>
    <sheet name="時数チェック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<sst xmlns="http://schemas.openxmlformats.org/spreadsheetml/2006/main" count="460" uniqueCount="178">
  <si>
    <r>
      <rPr>
        <b val="true"/>
        <sz val="14"/>
        <rFont val="メイリオ"/>
        <family val="0"/>
        <charset val="1"/>
      </rPr>
      <t xml:space="preserve">2</t>
    </r>
    <r>
      <rPr>
        <b val="true"/>
        <sz val="14"/>
        <rFont val="WenQuanYi Zen Hei"/>
        <family val="2"/>
      </rPr>
      <t xml:space="preserve">・</t>
    </r>
    <r>
      <rPr>
        <b val="true"/>
        <sz val="14"/>
        <rFont val="メイリオ"/>
        <family val="0"/>
        <charset val="1"/>
      </rPr>
      <t xml:space="preserve">3</t>
    </r>
    <r>
      <rPr>
        <b val="true"/>
        <sz val="14"/>
        <rFont val="WenQuanYi Zen Hei"/>
        <family val="2"/>
      </rPr>
      <t xml:space="preserve">年の音楽・美術、</t>
    </r>
    <r>
      <rPr>
        <b val="true"/>
        <sz val="14"/>
        <rFont val="メイリオ"/>
        <family val="0"/>
        <charset val="1"/>
      </rPr>
      <t xml:space="preserve">3</t>
    </r>
    <r>
      <rPr>
        <b val="true"/>
        <sz val="14"/>
        <rFont val="WenQuanYi Zen Hei"/>
        <family val="2"/>
      </rPr>
      <t xml:space="preserve">年の技家を「年</t>
    </r>
    <r>
      <rPr>
        <b val="true"/>
        <sz val="14"/>
        <rFont val="メイリオ"/>
        <family val="0"/>
        <charset val="1"/>
      </rPr>
      <t xml:space="preserve">4</t>
    </r>
    <r>
      <rPr>
        <b val="true"/>
        <sz val="14"/>
        <rFont val="WenQuanYi Zen Hei"/>
        <family val="2"/>
      </rPr>
      <t xml:space="preserve">回」増やす差し替え計画（</t>
    </r>
    <r>
      <rPr>
        <b val="true"/>
        <sz val="14"/>
        <rFont val="メイリオ"/>
        <family val="0"/>
        <charset val="1"/>
      </rPr>
      <t xml:space="preserve">B</t>
    </r>
    <r>
      <rPr>
        <b val="true"/>
        <sz val="14"/>
        <rFont val="WenQuanYi Zen Hei"/>
        <family val="2"/>
      </rPr>
      <t xml:space="preserve">帯プラン）</t>
    </r>
  </si>
  <si>
    <t xml:space="preserve">■ 考え方</t>
  </si>
  <si>
    <t xml:space="preserve">・45分授業だと、標準35コマの教科（2・3年の音・美、3年の技家）は年31.5時数になり、35に届かない。1クラス年4回（45分×4＝3.6時数）増やして35.1にする。</t>
  </si>
  <si>
    <t xml:space="preserve">・増やし方：決まった「差し替え週」に、そのクラスの別の授業1コマを専科の授業に入れ替える。専科の先生は空き（待機を含む）のコマで行う。</t>
  </si>
  <si>
    <t xml:space="preserve">・2年：6限の道徳・総合・学活と入れ替える。減った分は、会議を木曜に集めて戻ってくる6限（年約21回）で補う。</t>
  </si>
  <si>
    <t xml:space="preserve">・3年：1〜5限の週4教科（社・数・理・英）と入れ替える。各教科は年4回減るが、削減は上限15%以内（例：英語 −14→約−17.6、上限−21）。</t>
  </si>
  <si>
    <t xml:space="preserve">・1回の差し替え週に動くのは「2年1クラス＋3年1クラス」だけ。5週で一巡し、4巡（計20週）で全クラス年4回になる。</t>
  </si>
  <si>
    <t xml:space="preserve">・専科の先生が増えるのは、差し替え週1週あたり：浅田先生2コマ、篠田先生1、石垣先生1、浅野・谷口先生1。</t>
  </si>
  <si>
    <t xml:space="preserve">■ シート</t>
  </si>
  <si>
    <t xml:space="preserve">・差し替え表：クラスごとに、どの曜日・限を、どの授業と入れ替えるか</t>
  </si>
  <si>
    <t xml:space="preserve">・実施スケジュール：差し替え週（第1〜20回）ごとの実施クラス</t>
  </si>
  <si>
    <t xml:space="preserve">・差し替え週の時間割（例）：第1回の週の2A・3Aの時間割（黄色＝差し替えたコマ）</t>
  </si>
  <si>
    <t xml:space="preserve">・時数チェック：年4回増やしたときの時数（黄色セルの数字を変えると再計算）</t>
  </si>
  <si>
    <t xml:space="preserve">■ 前提・注意</t>
  </si>
  <si>
    <t xml:space="preserve">・令和8年度の本時間割（8/19版）の教科担任をもとに作成。来年度は2年が6クラスになり担当も変わるため、新しい時間割で同じ手順で作り直す。</t>
  </si>
  <si>
    <t xml:space="preserve">・差し替え週は、行事・テストのない週を年間計画で20週選ぶ（例：1学期6週・2学期9週・3学期5週）。</t>
  </si>
  <si>
    <t xml:space="preserve">・3年は学年全体で約66時数不足しており、この差し替えはその不足を解消するものではない（教科間で時数を移すだけ）。</t>
  </si>
  <si>
    <t xml:space="preserve">クラス</t>
  </si>
  <si>
    <t xml:space="preserve">増やす教科</t>
  </si>
  <si>
    <t xml:space="preserve">担当</t>
  </si>
  <si>
    <t xml:space="preserve">曜日・限</t>
  </si>
  <si>
    <t xml:space="preserve">入れ替える授業</t>
  </si>
  <si>
    <t xml:space="preserve">その授業の先生</t>
  </si>
  <si>
    <t xml:space="preserve">年回数</t>
  </si>
  <si>
    <t xml:space="preserve">実施回（実施スケジュールの第n回）</t>
  </si>
  <si>
    <t xml:space="preserve">2A</t>
  </si>
  <si>
    <t xml:space="preserve">美術</t>
  </si>
  <si>
    <t xml:space="preserve">篠田先生</t>
  </si>
  <si>
    <t xml:space="preserve">火6</t>
  </si>
  <si>
    <t xml:space="preserve">総合</t>
  </si>
  <si>
    <t xml:space="preserve">大島先生</t>
  </si>
  <si>
    <t xml:space="preserve">第1・6・11・16回</t>
  </si>
  <si>
    <t xml:space="preserve">音楽</t>
  </si>
  <si>
    <t xml:space="preserve">浅田先生</t>
  </si>
  <si>
    <t xml:space="preserve">月6</t>
  </si>
  <si>
    <t xml:space="preserve">道徳</t>
  </si>
  <si>
    <t xml:space="preserve">2B</t>
  </si>
  <si>
    <t xml:space="preserve">名倉先生</t>
  </si>
  <si>
    <t xml:space="preserve">第2・7・12・17回</t>
  </si>
  <si>
    <t xml:space="preserve">2C</t>
  </si>
  <si>
    <t xml:space="preserve">金6</t>
  </si>
  <si>
    <t xml:space="preserve">浅野先生</t>
  </si>
  <si>
    <t xml:space="preserve">第3・8・13・18回</t>
  </si>
  <si>
    <t xml:space="preserve">水6</t>
  </si>
  <si>
    <t xml:space="preserve">学活</t>
  </si>
  <si>
    <t xml:space="preserve">2D</t>
  </si>
  <si>
    <t xml:space="preserve">樽見先生</t>
  </si>
  <si>
    <t xml:space="preserve">第4・9・14・19回</t>
  </si>
  <si>
    <t xml:space="preserve">2E</t>
  </si>
  <si>
    <t xml:space="preserve">髙田先生</t>
  </si>
  <si>
    <t xml:space="preserve">第5・10・15・20回</t>
  </si>
  <si>
    <t xml:space="preserve">3A</t>
  </si>
  <si>
    <t xml:space="preserve">技術・家庭</t>
  </si>
  <si>
    <t xml:space="preserve">浅野・谷口先生</t>
  </si>
  <si>
    <t xml:space="preserve">火3</t>
  </si>
  <si>
    <t xml:space="preserve">数</t>
  </si>
  <si>
    <t xml:space="preserve">城先生</t>
  </si>
  <si>
    <t xml:space="preserve">石垣先生</t>
  </si>
  <si>
    <t xml:space="preserve">月2</t>
  </si>
  <si>
    <t xml:space="preserve">社</t>
  </si>
  <si>
    <t xml:space="preserve">柿家先生</t>
  </si>
  <si>
    <t xml:space="preserve">月3</t>
  </si>
  <si>
    <t xml:space="preserve">英</t>
  </si>
  <si>
    <t xml:space="preserve">仲野先生</t>
  </si>
  <si>
    <t xml:space="preserve">3B</t>
  </si>
  <si>
    <t xml:space="preserve">幸島先生</t>
  </si>
  <si>
    <t xml:space="preserve">月1</t>
  </si>
  <si>
    <t xml:space="preserve">理</t>
  </si>
  <si>
    <t xml:space="preserve">朝日先生</t>
  </si>
  <si>
    <t xml:space="preserve">火1</t>
  </si>
  <si>
    <t xml:space="preserve">渡邉先生</t>
  </si>
  <si>
    <t xml:space="preserve">3C</t>
  </si>
  <si>
    <t xml:space="preserve">水1</t>
  </si>
  <si>
    <t xml:space="preserve">水3</t>
  </si>
  <si>
    <t xml:space="preserve">3D</t>
  </si>
  <si>
    <t xml:space="preserve">水2</t>
  </si>
  <si>
    <t xml:space="preserve">松田先生</t>
  </si>
  <si>
    <t xml:space="preserve">3E</t>
  </si>
  <si>
    <t xml:space="preserve">木4</t>
  </si>
  <si>
    <t xml:space="preserve">長谷川俊先生</t>
  </si>
  <si>
    <t xml:space="preserve">木3</t>
  </si>
  <si>
    <t xml:space="preserve">回</t>
  </si>
  <si>
    <r>
      <rPr>
        <b val="true"/>
        <sz val="10"/>
        <rFont val="メイリオ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年の実施クラス</t>
    </r>
  </si>
  <si>
    <r>
      <rPr>
        <b val="true"/>
        <sz val="10"/>
        <rFont val="メイリオ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年の実施クラス</t>
    </r>
  </si>
  <si>
    <t xml:space="preserve">浅田（音）</t>
  </si>
  <si>
    <t xml:space="preserve">篠田（美）</t>
  </si>
  <si>
    <t xml:space="preserve">石垣（美）</t>
  </si>
  <si>
    <t xml:space="preserve">浅野・谷口（技家）</t>
  </si>
  <si>
    <t xml:space="preserve">実施日（記入）</t>
  </si>
  <si>
    <t xml:space="preserve">第1回</t>
  </si>
  <si>
    <r>
      <rPr>
        <sz val="10"/>
        <rFont val="メイリオ"/>
        <family val="0"/>
        <charset val="1"/>
      </rPr>
      <t xml:space="preserve">2A </t>
    </r>
    <r>
      <rPr>
        <sz val="10"/>
        <rFont val="WenQuanYi Zen Hei"/>
        <family val="2"/>
      </rPr>
      <t xml:space="preserve">月</t>
    </r>
    <r>
      <rPr>
        <sz val="10"/>
        <rFont val="メイリオ"/>
        <family val="0"/>
        <charset val="1"/>
      </rPr>
      <t xml:space="preserve">6</t>
    </r>
    <r>
      <rPr>
        <sz val="10"/>
        <rFont val="WenQuanYi Zen Hei"/>
        <family val="2"/>
      </rPr>
      <t xml:space="preserve">（道徳→）
</t>
    </r>
    <r>
      <rPr>
        <sz val="10"/>
        <rFont val="メイリオ"/>
        <family val="0"/>
        <charset val="1"/>
      </rPr>
      <t xml:space="preserve">3A </t>
    </r>
    <r>
      <rPr>
        <sz val="10"/>
        <rFont val="WenQuanYi Zen Hei"/>
        <family val="2"/>
      </rPr>
      <t xml:space="preserve">月</t>
    </r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（英→）</t>
    </r>
  </si>
  <si>
    <r>
      <rPr>
        <sz val="10"/>
        <rFont val="メイリオ"/>
        <family val="0"/>
        <charset val="1"/>
      </rPr>
      <t xml:space="preserve">2A </t>
    </r>
    <r>
      <rPr>
        <sz val="10"/>
        <rFont val="WenQuanYi Zen Hei"/>
        <family val="2"/>
      </rPr>
      <t xml:space="preserve">火</t>
    </r>
    <r>
      <rPr>
        <sz val="10"/>
        <rFont val="メイリオ"/>
        <family val="0"/>
        <charset val="1"/>
      </rPr>
      <t xml:space="preserve">6</t>
    </r>
    <r>
      <rPr>
        <sz val="10"/>
        <rFont val="WenQuanYi Zen Hei"/>
        <family val="2"/>
      </rPr>
      <t xml:space="preserve">（総合→）</t>
    </r>
  </si>
  <si>
    <r>
      <rPr>
        <sz val="10"/>
        <rFont val="メイリオ"/>
        <family val="0"/>
        <charset val="1"/>
      </rPr>
      <t xml:space="preserve">3A </t>
    </r>
    <r>
      <rPr>
        <sz val="10"/>
        <rFont val="WenQuanYi Zen Hei"/>
        <family val="2"/>
      </rPr>
      <t xml:space="preserve">月</t>
    </r>
    <r>
      <rPr>
        <sz val="10"/>
        <rFont val="メイリオ"/>
        <family val="0"/>
        <charset val="1"/>
      </rPr>
      <t xml:space="preserve">2</t>
    </r>
    <r>
      <rPr>
        <sz val="10"/>
        <rFont val="WenQuanYi Zen Hei"/>
        <family val="2"/>
      </rPr>
      <t xml:space="preserve">（社→）</t>
    </r>
  </si>
  <si>
    <r>
      <rPr>
        <sz val="10"/>
        <rFont val="メイリオ"/>
        <family val="0"/>
        <charset val="1"/>
      </rPr>
      <t xml:space="preserve">3A </t>
    </r>
    <r>
      <rPr>
        <sz val="10"/>
        <rFont val="WenQuanYi Zen Hei"/>
        <family val="2"/>
      </rPr>
      <t xml:space="preserve">火</t>
    </r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（数→）</t>
    </r>
  </si>
  <si>
    <t xml:space="preserve">第2回</t>
  </si>
  <si>
    <r>
      <rPr>
        <sz val="10"/>
        <rFont val="メイリオ"/>
        <family val="0"/>
        <charset val="1"/>
      </rPr>
      <t xml:space="preserve">2B </t>
    </r>
    <r>
      <rPr>
        <sz val="10"/>
        <rFont val="WenQuanYi Zen Hei"/>
        <family val="2"/>
      </rPr>
      <t xml:space="preserve">火</t>
    </r>
    <r>
      <rPr>
        <sz val="10"/>
        <rFont val="メイリオ"/>
        <family val="0"/>
        <charset val="1"/>
      </rPr>
      <t xml:space="preserve">6</t>
    </r>
    <r>
      <rPr>
        <sz val="10"/>
        <rFont val="WenQuanYi Zen Hei"/>
        <family val="2"/>
      </rPr>
      <t xml:space="preserve">（総合→）
</t>
    </r>
    <r>
      <rPr>
        <sz val="10"/>
        <rFont val="メイリオ"/>
        <family val="0"/>
        <charset val="1"/>
      </rPr>
      <t xml:space="preserve">3B </t>
    </r>
    <r>
      <rPr>
        <sz val="10"/>
        <rFont val="WenQuanYi Zen Hei"/>
        <family val="2"/>
      </rPr>
      <t xml:space="preserve">火</t>
    </r>
    <r>
      <rPr>
        <sz val="10"/>
        <rFont val="メイリオ"/>
        <family val="0"/>
        <charset val="1"/>
      </rPr>
      <t xml:space="preserve">1</t>
    </r>
    <r>
      <rPr>
        <sz val="10"/>
        <rFont val="WenQuanYi Zen Hei"/>
        <family val="2"/>
      </rPr>
      <t xml:space="preserve">（数→）</t>
    </r>
  </si>
  <si>
    <r>
      <rPr>
        <sz val="10"/>
        <rFont val="メイリオ"/>
        <family val="0"/>
        <charset val="1"/>
      </rPr>
      <t xml:space="preserve">2B </t>
    </r>
    <r>
      <rPr>
        <sz val="10"/>
        <rFont val="WenQuanYi Zen Hei"/>
        <family val="2"/>
      </rPr>
      <t xml:space="preserve">月</t>
    </r>
    <r>
      <rPr>
        <sz val="10"/>
        <rFont val="メイリオ"/>
        <family val="0"/>
        <charset val="1"/>
      </rPr>
      <t xml:space="preserve">6</t>
    </r>
    <r>
      <rPr>
        <sz val="10"/>
        <rFont val="WenQuanYi Zen Hei"/>
        <family val="2"/>
      </rPr>
      <t xml:space="preserve">（道徳→）</t>
    </r>
  </si>
  <si>
    <r>
      <rPr>
        <sz val="10"/>
        <rFont val="メイリオ"/>
        <family val="0"/>
        <charset val="1"/>
      </rPr>
      <t xml:space="preserve">3B </t>
    </r>
    <r>
      <rPr>
        <sz val="10"/>
        <rFont val="WenQuanYi Zen Hei"/>
        <family val="2"/>
      </rPr>
      <t xml:space="preserve">月</t>
    </r>
    <r>
      <rPr>
        <sz val="10"/>
        <rFont val="メイリオ"/>
        <family val="0"/>
        <charset val="1"/>
      </rPr>
      <t xml:space="preserve">1</t>
    </r>
    <r>
      <rPr>
        <sz val="10"/>
        <rFont val="WenQuanYi Zen Hei"/>
        <family val="2"/>
      </rPr>
      <t xml:space="preserve">（理→）</t>
    </r>
  </si>
  <si>
    <r>
      <rPr>
        <sz val="10"/>
        <rFont val="メイリオ"/>
        <family val="0"/>
        <charset val="1"/>
      </rPr>
      <t xml:space="preserve">3B </t>
    </r>
    <r>
      <rPr>
        <sz val="10"/>
        <rFont val="WenQuanYi Zen Hei"/>
        <family val="2"/>
      </rPr>
      <t xml:space="preserve">月</t>
    </r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（社→）</t>
    </r>
  </si>
  <si>
    <t xml:space="preserve">第3回</t>
  </si>
  <si>
    <r>
      <rPr>
        <sz val="10"/>
        <rFont val="メイリオ"/>
        <family val="0"/>
        <charset val="1"/>
      </rPr>
      <t xml:space="preserve">2C </t>
    </r>
    <r>
      <rPr>
        <sz val="10"/>
        <rFont val="WenQuanYi Zen Hei"/>
        <family val="2"/>
      </rPr>
      <t xml:space="preserve">水</t>
    </r>
    <r>
      <rPr>
        <sz val="10"/>
        <rFont val="メイリオ"/>
        <family val="0"/>
        <charset val="1"/>
      </rPr>
      <t xml:space="preserve">6</t>
    </r>
    <r>
      <rPr>
        <sz val="10"/>
        <rFont val="WenQuanYi Zen Hei"/>
        <family val="2"/>
      </rPr>
      <t xml:space="preserve">（学活→）
</t>
    </r>
    <r>
      <rPr>
        <sz val="10"/>
        <rFont val="メイリオ"/>
        <family val="0"/>
        <charset val="1"/>
      </rPr>
      <t xml:space="preserve">3C </t>
    </r>
    <r>
      <rPr>
        <sz val="10"/>
        <rFont val="WenQuanYi Zen Hei"/>
        <family val="2"/>
      </rPr>
      <t xml:space="preserve">水</t>
    </r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（数→）</t>
    </r>
  </si>
  <si>
    <r>
      <rPr>
        <sz val="10"/>
        <rFont val="メイリオ"/>
        <family val="0"/>
        <charset val="1"/>
      </rPr>
      <t xml:space="preserve">2C </t>
    </r>
    <r>
      <rPr>
        <sz val="10"/>
        <rFont val="WenQuanYi Zen Hei"/>
        <family val="2"/>
      </rPr>
      <t xml:space="preserve">金</t>
    </r>
    <r>
      <rPr>
        <sz val="10"/>
        <rFont val="メイリオ"/>
        <family val="0"/>
        <charset val="1"/>
      </rPr>
      <t xml:space="preserve">6</t>
    </r>
    <r>
      <rPr>
        <sz val="10"/>
        <rFont val="WenQuanYi Zen Hei"/>
        <family val="2"/>
      </rPr>
      <t xml:space="preserve">（総合→）</t>
    </r>
  </si>
  <si>
    <r>
      <rPr>
        <sz val="10"/>
        <rFont val="メイリオ"/>
        <family val="0"/>
        <charset val="1"/>
      </rPr>
      <t xml:space="preserve">3C </t>
    </r>
    <r>
      <rPr>
        <sz val="10"/>
        <rFont val="WenQuanYi Zen Hei"/>
        <family val="2"/>
      </rPr>
      <t xml:space="preserve">火</t>
    </r>
    <r>
      <rPr>
        <sz val="10"/>
        <rFont val="メイリオ"/>
        <family val="0"/>
        <charset val="1"/>
      </rPr>
      <t xml:space="preserve">1</t>
    </r>
    <r>
      <rPr>
        <sz val="10"/>
        <rFont val="WenQuanYi Zen Hei"/>
        <family val="2"/>
      </rPr>
      <t xml:space="preserve">（社→）</t>
    </r>
  </si>
  <si>
    <r>
      <rPr>
        <sz val="10"/>
        <rFont val="メイリオ"/>
        <family val="0"/>
        <charset val="1"/>
      </rPr>
      <t xml:space="preserve">3C </t>
    </r>
    <r>
      <rPr>
        <sz val="10"/>
        <rFont val="WenQuanYi Zen Hei"/>
        <family val="2"/>
      </rPr>
      <t xml:space="preserve">水</t>
    </r>
    <r>
      <rPr>
        <sz val="10"/>
        <rFont val="メイリオ"/>
        <family val="0"/>
        <charset val="1"/>
      </rPr>
      <t xml:space="preserve">1</t>
    </r>
    <r>
      <rPr>
        <sz val="10"/>
        <rFont val="WenQuanYi Zen Hei"/>
        <family val="2"/>
      </rPr>
      <t xml:space="preserve">（理→）</t>
    </r>
  </si>
  <si>
    <t xml:space="preserve">第4回</t>
  </si>
  <si>
    <r>
      <rPr>
        <sz val="10"/>
        <rFont val="メイリオ"/>
        <family val="0"/>
        <charset val="1"/>
      </rPr>
      <t xml:space="preserve">2D </t>
    </r>
    <r>
      <rPr>
        <sz val="10"/>
        <rFont val="WenQuanYi Zen Hei"/>
        <family val="2"/>
      </rPr>
      <t xml:space="preserve">月</t>
    </r>
    <r>
      <rPr>
        <sz val="10"/>
        <rFont val="メイリオ"/>
        <family val="0"/>
        <charset val="1"/>
      </rPr>
      <t xml:space="preserve">6</t>
    </r>
    <r>
      <rPr>
        <sz val="10"/>
        <rFont val="WenQuanYi Zen Hei"/>
        <family val="2"/>
      </rPr>
      <t xml:space="preserve">（道徳→）
</t>
    </r>
    <r>
      <rPr>
        <sz val="10"/>
        <rFont val="メイリオ"/>
        <family val="0"/>
        <charset val="1"/>
      </rPr>
      <t xml:space="preserve">3D </t>
    </r>
    <r>
      <rPr>
        <sz val="10"/>
        <rFont val="WenQuanYi Zen Hei"/>
        <family val="2"/>
      </rPr>
      <t xml:space="preserve">火</t>
    </r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（英→）</t>
    </r>
  </si>
  <si>
    <r>
      <rPr>
        <sz val="10"/>
        <rFont val="メイリオ"/>
        <family val="0"/>
        <charset val="1"/>
      </rPr>
      <t xml:space="preserve">2D </t>
    </r>
    <r>
      <rPr>
        <sz val="10"/>
        <rFont val="WenQuanYi Zen Hei"/>
        <family val="2"/>
      </rPr>
      <t xml:space="preserve">水</t>
    </r>
    <r>
      <rPr>
        <sz val="10"/>
        <rFont val="メイリオ"/>
        <family val="0"/>
        <charset val="1"/>
      </rPr>
      <t xml:space="preserve">6</t>
    </r>
    <r>
      <rPr>
        <sz val="10"/>
        <rFont val="WenQuanYi Zen Hei"/>
        <family val="2"/>
      </rPr>
      <t xml:space="preserve">（学活→）</t>
    </r>
  </si>
  <si>
    <r>
      <rPr>
        <sz val="10"/>
        <rFont val="メイリオ"/>
        <family val="0"/>
        <charset val="1"/>
      </rPr>
      <t xml:space="preserve">3D </t>
    </r>
    <r>
      <rPr>
        <sz val="10"/>
        <rFont val="WenQuanYi Zen Hei"/>
        <family val="2"/>
      </rPr>
      <t xml:space="preserve">水</t>
    </r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（理→）</t>
    </r>
  </si>
  <si>
    <r>
      <rPr>
        <sz val="10"/>
        <rFont val="メイリオ"/>
        <family val="0"/>
        <charset val="1"/>
      </rPr>
      <t xml:space="preserve">3D </t>
    </r>
    <r>
      <rPr>
        <sz val="10"/>
        <rFont val="WenQuanYi Zen Hei"/>
        <family val="2"/>
      </rPr>
      <t xml:space="preserve">水</t>
    </r>
    <r>
      <rPr>
        <sz val="10"/>
        <rFont val="メイリオ"/>
        <family val="0"/>
        <charset val="1"/>
      </rPr>
      <t xml:space="preserve">2</t>
    </r>
    <r>
      <rPr>
        <sz val="10"/>
        <rFont val="WenQuanYi Zen Hei"/>
        <family val="2"/>
      </rPr>
      <t xml:space="preserve">（社→）</t>
    </r>
  </si>
  <si>
    <t xml:space="preserve">第5回</t>
  </si>
  <si>
    <r>
      <rPr>
        <sz val="10"/>
        <rFont val="メイリオ"/>
        <family val="0"/>
        <charset val="1"/>
      </rPr>
      <t xml:space="preserve">2E </t>
    </r>
    <r>
      <rPr>
        <sz val="10"/>
        <rFont val="WenQuanYi Zen Hei"/>
        <family val="2"/>
      </rPr>
      <t xml:space="preserve">火</t>
    </r>
    <r>
      <rPr>
        <sz val="10"/>
        <rFont val="メイリオ"/>
        <family val="0"/>
        <charset val="1"/>
      </rPr>
      <t xml:space="preserve">6</t>
    </r>
    <r>
      <rPr>
        <sz val="10"/>
        <rFont val="WenQuanYi Zen Hei"/>
        <family val="2"/>
      </rPr>
      <t xml:space="preserve">（総合→）
</t>
    </r>
    <r>
      <rPr>
        <sz val="10"/>
        <rFont val="メイリオ"/>
        <family val="0"/>
        <charset val="1"/>
      </rPr>
      <t xml:space="preserve">3E </t>
    </r>
    <r>
      <rPr>
        <sz val="10"/>
        <rFont val="WenQuanYi Zen Hei"/>
        <family val="2"/>
      </rPr>
      <t xml:space="preserve">木</t>
    </r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（理→）</t>
    </r>
  </si>
  <si>
    <r>
      <rPr>
        <sz val="10"/>
        <rFont val="メイリオ"/>
        <family val="0"/>
        <charset val="1"/>
      </rPr>
      <t xml:space="preserve">2E </t>
    </r>
    <r>
      <rPr>
        <sz val="10"/>
        <rFont val="WenQuanYi Zen Hei"/>
        <family val="2"/>
      </rPr>
      <t xml:space="preserve">月</t>
    </r>
    <r>
      <rPr>
        <sz val="10"/>
        <rFont val="メイリオ"/>
        <family val="0"/>
        <charset val="1"/>
      </rPr>
      <t xml:space="preserve">6</t>
    </r>
    <r>
      <rPr>
        <sz val="10"/>
        <rFont val="WenQuanYi Zen Hei"/>
        <family val="2"/>
      </rPr>
      <t xml:space="preserve">（道徳→）</t>
    </r>
  </si>
  <si>
    <r>
      <rPr>
        <sz val="10"/>
        <rFont val="メイリオ"/>
        <family val="0"/>
        <charset val="1"/>
      </rPr>
      <t xml:space="preserve">3E </t>
    </r>
    <r>
      <rPr>
        <sz val="10"/>
        <rFont val="WenQuanYi Zen Hei"/>
        <family val="2"/>
      </rPr>
      <t xml:space="preserve">火</t>
    </r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（英→）</t>
    </r>
  </si>
  <si>
    <r>
      <rPr>
        <sz val="10"/>
        <rFont val="メイリオ"/>
        <family val="0"/>
        <charset val="1"/>
      </rPr>
      <t xml:space="preserve">3E </t>
    </r>
    <r>
      <rPr>
        <sz val="10"/>
        <rFont val="WenQuanYi Zen Hei"/>
        <family val="2"/>
      </rPr>
      <t xml:space="preserve">木</t>
    </r>
    <r>
      <rPr>
        <sz val="10"/>
        <rFont val="メイリオ"/>
        <family val="0"/>
        <charset val="1"/>
      </rPr>
      <t xml:space="preserve">4</t>
    </r>
    <r>
      <rPr>
        <sz val="10"/>
        <rFont val="WenQuanYi Zen Hei"/>
        <family val="2"/>
      </rPr>
      <t xml:space="preserve">（数→）</t>
    </r>
  </si>
  <si>
    <t xml:space="preserve">第6回</t>
  </si>
  <si>
    <t xml:space="preserve">第7回</t>
  </si>
  <si>
    <t xml:space="preserve">第8回</t>
  </si>
  <si>
    <t xml:space="preserve">第9回</t>
  </si>
  <si>
    <t xml:space="preserve">第10回</t>
  </si>
  <si>
    <t xml:space="preserve">第11回</t>
  </si>
  <si>
    <t xml:space="preserve">第12回</t>
  </si>
  <si>
    <t xml:space="preserve">第13回</t>
  </si>
  <si>
    <t xml:space="preserve">第14回</t>
  </si>
  <si>
    <t xml:space="preserve">第15回</t>
  </si>
  <si>
    <t xml:space="preserve">第16回</t>
  </si>
  <si>
    <t xml:space="preserve">第17回</t>
  </si>
  <si>
    <t xml:space="preserve">第18回</t>
  </si>
  <si>
    <t xml:space="preserve">第19回</t>
  </si>
  <si>
    <t xml:space="preserve">第20回</t>
  </si>
  <si>
    <t xml:space="preserve">黄色の「実施日」は、年間計画で行事・テストのない週を選んで記入する。5週で一巡し、各クラス年4回。</t>
  </si>
  <si>
    <t xml:space="preserve">第1回の週の時間割（2A・3A）　黄色＝差し替えたコマ（↑元の授業）</t>
  </si>
  <si>
    <t xml:space="preserve">月</t>
  </si>
  <si>
    <t xml:space="preserve">火</t>
  </si>
  <si>
    <t xml:space="preserve">水</t>
  </si>
  <si>
    <t xml:space="preserve">木</t>
  </si>
  <si>
    <t xml:space="preserve">金</t>
  </si>
  <si>
    <r>
      <rPr>
        <b val="true"/>
        <sz val="10"/>
        <rFont val="メイリオ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限</t>
    </r>
  </si>
  <si>
    <t xml:space="preserve">保体</t>
  </si>
  <si>
    <r>
      <rPr>
        <b val="true"/>
        <sz val="10"/>
        <rFont val="メイリオ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限</t>
    </r>
  </si>
  <si>
    <t xml:space="preserve">美</t>
  </si>
  <si>
    <t xml:space="preserve">家</t>
  </si>
  <si>
    <t xml:space="preserve">国Ⅰ</t>
  </si>
  <si>
    <r>
      <rPr>
        <b val="true"/>
        <sz val="10"/>
        <rFont val="メイリオ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限</t>
    </r>
  </si>
  <si>
    <t xml:space="preserve">音</t>
  </si>
  <si>
    <r>
      <rPr>
        <b val="true"/>
        <sz val="10"/>
        <rFont val="メイリオ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限</t>
    </r>
  </si>
  <si>
    <r>
      <rPr>
        <b val="true"/>
        <sz val="10"/>
        <rFont val="メイリオ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限</t>
    </r>
  </si>
  <si>
    <t xml:space="preserve">国Ⅱ</t>
  </si>
  <si>
    <t xml:space="preserve">技</t>
  </si>
  <si>
    <r>
      <rPr>
        <b val="true"/>
        <sz val="10"/>
        <rFont val="メイリオ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限</t>
    </r>
  </si>
  <si>
    <t xml:space="preserve">音楽
（↑道徳）</t>
  </si>
  <si>
    <t xml:space="preserve">美術
（↑総合）</t>
  </si>
  <si>
    <t xml:space="preserve">学</t>
  </si>
  <si>
    <t xml:space="preserve">研修（生徒下校）</t>
  </si>
  <si>
    <t xml:space="preserve">総</t>
  </si>
  <si>
    <t xml:space="preserve">国</t>
  </si>
  <si>
    <t xml:space="preserve">美術
（↑社）</t>
  </si>
  <si>
    <t xml:space="preserve">音楽
（↑英）</t>
  </si>
  <si>
    <t xml:space="preserve">技術・家庭
（↑数）</t>
  </si>
  <si>
    <t xml:space="preserve">技家</t>
  </si>
  <si>
    <t xml:space="preserve">道</t>
  </si>
  <si>
    <t xml:space="preserve">教科</t>
  </si>
  <si>
    <t xml:space="preserve">標準時数</t>
  </si>
  <si>
    <t xml:space="preserve">週コマ数</t>
  </si>
  <si>
    <t xml:space="preserve">授業週数</t>
  </si>
  <si>
    <r>
      <rPr>
        <b val="true"/>
        <sz val="10"/>
        <rFont val="メイリオ"/>
        <family val="0"/>
        <charset val="1"/>
      </rPr>
      <t xml:space="preserve">45</t>
    </r>
    <r>
      <rPr>
        <b val="true"/>
        <sz val="10"/>
        <rFont val="WenQuanYi Zen Hei"/>
        <family val="2"/>
      </rPr>
      <t xml:space="preserve">分→時数換算</t>
    </r>
  </si>
  <si>
    <t xml:space="preserve">増やす回数</t>
  </si>
  <si>
    <t xml:space="preserve">年間コマ数</t>
  </si>
  <si>
    <t xml:space="preserve">時数（50分換算）</t>
  </si>
  <si>
    <t xml:space="preserve">標準との差</t>
  </si>
  <si>
    <t xml:space="preserve">判定</t>
  </si>
  <si>
    <r>
      <rPr>
        <sz val="10"/>
        <rFont val="メイリオ"/>
        <family val="0"/>
        <charset val="1"/>
      </rPr>
      <t xml:space="preserve">2</t>
    </r>
    <r>
      <rPr>
        <sz val="10"/>
        <rFont val="WenQuanYi Zen Hei"/>
        <family val="2"/>
      </rPr>
      <t xml:space="preserve">・</t>
    </r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年 音楽</t>
    </r>
  </si>
  <si>
    <r>
      <rPr>
        <sz val="10"/>
        <rFont val="メイリオ"/>
        <family val="0"/>
        <charset val="1"/>
      </rPr>
      <t xml:space="preserve">2</t>
    </r>
    <r>
      <rPr>
        <sz val="10"/>
        <rFont val="WenQuanYi Zen Hei"/>
        <family val="2"/>
      </rPr>
      <t xml:space="preserve">・</t>
    </r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年 美術</t>
    </r>
  </si>
  <si>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年 技術・家庭</t>
    </r>
  </si>
  <si>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年の入れ替え元（週</t>
    </r>
    <r>
      <rPr>
        <sz val="10"/>
        <rFont val="メイリオ"/>
        <family val="0"/>
        <charset val="1"/>
      </rPr>
      <t xml:space="preserve">4</t>
    </r>
    <r>
      <rPr>
        <sz val="10"/>
        <rFont val="WenQuanYi Zen Hei"/>
        <family val="2"/>
      </rPr>
      <t xml:space="preserve">教科）の例</t>
    </r>
  </si>
  <si>
    <t xml:space="preserve">減る回数</t>
  </si>
  <si>
    <t xml:space="preserve">上限（15%）</t>
  </si>
  <si>
    <r>
      <rPr>
        <sz val="10"/>
        <rFont val="メイリオ"/>
        <family val="0"/>
        <charset val="1"/>
      </rPr>
      <t xml:space="preserve">3</t>
    </r>
    <r>
      <rPr>
        <sz val="10"/>
        <rFont val="WenQuanYi Zen Hei"/>
        <family val="2"/>
      </rPr>
      <t xml:space="preserve">年 英語（例）</t>
    </r>
  </si>
  <si>
    <t xml:space="preserve">黄色＝入力値（週コマ数・授業週数・回数）。授業週数35は標準の計算上の値。45分授業は1コマ0.9時数（50分換算）。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</si>
</sst>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メイリオ"/>
      <family val="0"/>
      <charset val="1"/>
    </font>
    <font>
      <b val="true"/>
      <sz val="14"/>
      <name val="WenQuanYi Zen Hei"/>
      <family val="2"/>
    </font>
    <font>
      <sz val="10"/>
      <name val="メイリオ"/>
      <family val="0"/>
      <charset val="1"/>
    </font>
    <font>
      <b val="true"/>
      <sz val="10"/>
      <name val="WenQuanYi Zen Hei"/>
      <family val="2"/>
      <charset val="1"/>
    </font>
    <font>
      <sz val="10"/>
      <name val="WenQuanYi Zen Hei"/>
      <family val="2"/>
      <charset val="1"/>
    </font>
    <font>
      <b val="true"/>
      <sz val="10"/>
      <name val="メイリオ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08A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8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26.25" hidden="false" customHeight="true" outlineLevel="0" collapsed="false">
      <c r="A4" s="5" t="s">
        <v>2</v>
      </c>
    </row>
    <row r="5" customFormat="false" ht="26.2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true" outlineLevel="0" collapsed="false">
      <c r="A9" s="5" t="s">
        <v>7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5" t="s">
        <v>9</v>
      </c>
    </row>
    <row r="13" customFormat="false" ht="15" hidden="false" customHeight="true" outlineLevel="0" collapsed="false">
      <c r="A13" s="5" t="s">
        <v>10</v>
      </c>
    </row>
    <row r="14" customFormat="false" ht="15" hidden="false" customHeight="true" outlineLevel="0" collapsed="false">
      <c r="A14" s="5" t="s">
        <v>11</v>
      </c>
    </row>
    <row r="15" customFormat="false" ht="15" hidden="false" customHeight="true" outlineLevel="0" collapsed="false">
      <c r="A15" s="5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13</v>
      </c>
    </row>
    <row r="18" customFormat="false" ht="26.25" hidden="false" customHeight="true" outlineLevel="0" collapsed="false">
      <c r="A18" s="5" t="s">
        <v>14</v>
      </c>
    </row>
    <row r="19" customFormat="false" ht="15" hidden="false" customHeight="true" outlineLevel="0" collapsed="false">
      <c r="A19" s="5" t="s">
        <v>15</v>
      </c>
    </row>
    <row r="20" customFormat="false" ht="15" hidden="false" customHeight="true" outlineLevel="0" collapsed="false">
      <c r="A20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8"/>
    <col collapsed="false" customWidth="true" hidden="false" outlineLevel="0" max="8" min="8" style="1" width="30"/>
  </cols>
  <sheetData>
    <row r="1" customFormat="false" ht="26.25" hidden="false" customHeight="tru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</row>
    <row r="2" customFormat="false" ht="15" hidden="false" customHeight="true" outlineLevel="0" collapsed="false">
      <c r="A2" s="7" t="s">
        <v>25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7" t="n">
        <v>4</v>
      </c>
      <c r="H2" s="8" t="s">
        <v>31</v>
      </c>
    </row>
    <row r="3" customFormat="false" ht="15" hidden="false" customHeight="true" outlineLevel="0" collapsed="false">
      <c r="A3" s="7" t="s">
        <v>25</v>
      </c>
      <c r="B3" s="8" t="s">
        <v>32</v>
      </c>
      <c r="C3" s="8" t="s">
        <v>33</v>
      </c>
      <c r="D3" s="8" t="s">
        <v>34</v>
      </c>
      <c r="E3" s="8" t="s">
        <v>35</v>
      </c>
      <c r="F3" s="8" t="s">
        <v>30</v>
      </c>
      <c r="G3" s="7" t="n">
        <v>4</v>
      </c>
      <c r="H3" s="8" t="s">
        <v>31</v>
      </c>
    </row>
    <row r="4" customFormat="false" ht="15" hidden="false" customHeight="true" outlineLevel="0" collapsed="false">
      <c r="A4" s="7" t="s">
        <v>36</v>
      </c>
      <c r="B4" s="8" t="s">
        <v>26</v>
      </c>
      <c r="C4" s="8" t="s">
        <v>27</v>
      </c>
      <c r="D4" s="8" t="s">
        <v>34</v>
      </c>
      <c r="E4" s="8" t="s">
        <v>35</v>
      </c>
      <c r="F4" s="8" t="s">
        <v>37</v>
      </c>
      <c r="G4" s="7" t="n">
        <v>4</v>
      </c>
      <c r="H4" s="8" t="s">
        <v>38</v>
      </c>
    </row>
    <row r="5" customFormat="false" ht="15" hidden="false" customHeight="true" outlineLevel="0" collapsed="false">
      <c r="A5" s="7" t="s">
        <v>36</v>
      </c>
      <c r="B5" s="8" t="s">
        <v>32</v>
      </c>
      <c r="C5" s="8" t="s">
        <v>33</v>
      </c>
      <c r="D5" s="8" t="s">
        <v>28</v>
      </c>
      <c r="E5" s="8" t="s">
        <v>29</v>
      </c>
      <c r="F5" s="8" t="s">
        <v>37</v>
      </c>
      <c r="G5" s="7" t="n">
        <v>4</v>
      </c>
      <c r="H5" s="8" t="s">
        <v>38</v>
      </c>
    </row>
    <row r="6" customFormat="false" ht="15" hidden="false" customHeight="true" outlineLevel="0" collapsed="false">
      <c r="A6" s="7" t="s">
        <v>39</v>
      </c>
      <c r="B6" s="8" t="s">
        <v>26</v>
      </c>
      <c r="C6" s="8" t="s">
        <v>27</v>
      </c>
      <c r="D6" s="8" t="s">
        <v>40</v>
      </c>
      <c r="E6" s="8" t="s">
        <v>29</v>
      </c>
      <c r="F6" s="8" t="s">
        <v>41</v>
      </c>
      <c r="G6" s="7" t="n">
        <v>4</v>
      </c>
      <c r="H6" s="8" t="s">
        <v>42</v>
      </c>
    </row>
    <row r="7" customFormat="false" ht="15" hidden="false" customHeight="true" outlineLevel="0" collapsed="false">
      <c r="A7" s="7" t="s">
        <v>39</v>
      </c>
      <c r="B7" s="8" t="s">
        <v>32</v>
      </c>
      <c r="C7" s="8" t="s">
        <v>33</v>
      </c>
      <c r="D7" s="8" t="s">
        <v>43</v>
      </c>
      <c r="E7" s="8" t="s">
        <v>44</v>
      </c>
      <c r="F7" s="8" t="s">
        <v>41</v>
      </c>
      <c r="G7" s="7" t="n">
        <v>4</v>
      </c>
      <c r="H7" s="8" t="s">
        <v>42</v>
      </c>
    </row>
    <row r="8" customFormat="false" ht="15" hidden="false" customHeight="true" outlineLevel="0" collapsed="false">
      <c r="A8" s="7" t="s">
        <v>45</v>
      </c>
      <c r="B8" s="8" t="s">
        <v>26</v>
      </c>
      <c r="C8" s="8" t="s">
        <v>27</v>
      </c>
      <c r="D8" s="8" t="s">
        <v>43</v>
      </c>
      <c r="E8" s="8" t="s">
        <v>44</v>
      </c>
      <c r="F8" s="8" t="s">
        <v>46</v>
      </c>
      <c r="G8" s="7" t="n">
        <v>4</v>
      </c>
      <c r="H8" s="8" t="s">
        <v>47</v>
      </c>
    </row>
    <row r="9" customFormat="false" ht="15" hidden="false" customHeight="true" outlineLevel="0" collapsed="false">
      <c r="A9" s="7" t="s">
        <v>45</v>
      </c>
      <c r="B9" s="8" t="s">
        <v>32</v>
      </c>
      <c r="C9" s="8" t="s">
        <v>33</v>
      </c>
      <c r="D9" s="8" t="s">
        <v>34</v>
      </c>
      <c r="E9" s="8" t="s">
        <v>35</v>
      </c>
      <c r="F9" s="8" t="s">
        <v>46</v>
      </c>
      <c r="G9" s="7" t="n">
        <v>4</v>
      </c>
      <c r="H9" s="8" t="s">
        <v>47</v>
      </c>
    </row>
    <row r="10" customFormat="false" ht="15" hidden="false" customHeight="true" outlineLevel="0" collapsed="false">
      <c r="A10" s="7" t="s">
        <v>48</v>
      </c>
      <c r="B10" s="8" t="s">
        <v>26</v>
      </c>
      <c r="C10" s="8" t="s">
        <v>27</v>
      </c>
      <c r="D10" s="8" t="s">
        <v>34</v>
      </c>
      <c r="E10" s="8" t="s">
        <v>35</v>
      </c>
      <c r="F10" s="8" t="s">
        <v>49</v>
      </c>
      <c r="G10" s="7" t="n">
        <v>4</v>
      </c>
      <c r="H10" s="8" t="s">
        <v>50</v>
      </c>
    </row>
    <row r="11" customFormat="false" ht="15" hidden="false" customHeight="true" outlineLevel="0" collapsed="false">
      <c r="A11" s="7" t="s">
        <v>48</v>
      </c>
      <c r="B11" s="8" t="s">
        <v>32</v>
      </c>
      <c r="C11" s="8" t="s">
        <v>33</v>
      </c>
      <c r="D11" s="8" t="s">
        <v>28</v>
      </c>
      <c r="E11" s="8" t="s">
        <v>29</v>
      </c>
      <c r="F11" s="8" t="s">
        <v>49</v>
      </c>
      <c r="G11" s="7" t="n">
        <v>4</v>
      </c>
      <c r="H11" s="8" t="s">
        <v>50</v>
      </c>
    </row>
    <row r="12" customFormat="false" ht="15" hidden="false" customHeight="true" outlineLevel="0" collapsed="false">
      <c r="A12" s="7" t="s">
        <v>51</v>
      </c>
      <c r="B12" s="8" t="s">
        <v>52</v>
      </c>
      <c r="C12" s="8" t="s">
        <v>53</v>
      </c>
      <c r="D12" s="8" t="s">
        <v>54</v>
      </c>
      <c r="E12" s="8" t="s">
        <v>55</v>
      </c>
      <c r="F12" s="8" t="s">
        <v>56</v>
      </c>
      <c r="G12" s="7" t="n">
        <v>4</v>
      </c>
      <c r="H12" s="8" t="s">
        <v>31</v>
      </c>
    </row>
    <row r="13" customFormat="false" ht="15" hidden="false" customHeight="true" outlineLevel="0" collapsed="false">
      <c r="A13" s="7" t="s">
        <v>51</v>
      </c>
      <c r="B13" s="8" t="s">
        <v>26</v>
      </c>
      <c r="C13" s="8" t="s">
        <v>57</v>
      </c>
      <c r="D13" s="8" t="s">
        <v>58</v>
      </c>
      <c r="E13" s="8" t="s">
        <v>59</v>
      </c>
      <c r="F13" s="8" t="s">
        <v>60</v>
      </c>
      <c r="G13" s="7" t="n">
        <v>4</v>
      </c>
      <c r="H13" s="8" t="s">
        <v>31</v>
      </c>
    </row>
    <row r="14" customFormat="false" ht="15" hidden="false" customHeight="true" outlineLevel="0" collapsed="false">
      <c r="A14" s="7" t="s">
        <v>51</v>
      </c>
      <c r="B14" s="8" t="s">
        <v>32</v>
      </c>
      <c r="C14" s="8" t="s">
        <v>33</v>
      </c>
      <c r="D14" s="8" t="s">
        <v>61</v>
      </c>
      <c r="E14" s="8" t="s">
        <v>62</v>
      </c>
      <c r="F14" s="8" t="s">
        <v>63</v>
      </c>
      <c r="G14" s="7" t="n">
        <v>4</v>
      </c>
      <c r="H14" s="8" t="s">
        <v>31</v>
      </c>
    </row>
    <row r="15" customFormat="false" ht="15" hidden="false" customHeight="true" outlineLevel="0" collapsed="false">
      <c r="A15" s="7" t="s">
        <v>64</v>
      </c>
      <c r="B15" s="8" t="s">
        <v>52</v>
      </c>
      <c r="C15" s="8" t="s">
        <v>53</v>
      </c>
      <c r="D15" s="8" t="s">
        <v>61</v>
      </c>
      <c r="E15" s="8" t="s">
        <v>59</v>
      </c>
      <c r="F15" s="8" t="s">
        <v>65</v>
      </c>
      <c r="G15" s="7" t="n">
        <v>4</v>
      </c>
      <c r="H15" s="8" t="s">
        <v>38</v>
      </c>
    </row>
    <row r="16" customFormat="false" ht="15" hidden="false" customHeight="true" outlineLevel="0" collapsed="false">
      <c r="A16" s="7" t="s">
        <v>64</v>
      </c>
      <c r="B16" s="8" t="s">
        <v>26</v>
      </c>
      <c r="C16" s="8" t="s">
        <v>57</v>
      </c>
      <c r="D16" s="8" t="s">
        <v>66</v>
      </c>
      <c r="E16" s="8" t="s">
        <v>67</v>
      </c>
      <c r="F16" s="8" t="s">
        <v>68</v>
      </c>
      <c r="G16" s="7" t="n">
        <v>4</v>
      </c>
      <c r="H16" s="8" t="s">
        <v>38</v>
      </c>
    </row>
    <row r="17" customFormat="false" ht="15" hidden="false" customHeight="true" outlineLevel="0" collapsed="false">
      <c r="A17" s="7" t="s">
        <v>64</v>
      </c>
      <c r="B17" s="8" t="s">
        <v>32</v>
      </c>
      <c r="C17" s="8" t="s">
        <v>33</v>
      </c>
      <c r="D17" s="8" t="s">
        <v>69</v>
      </c>
      <c r="E17" s="8" t="s">
        <v>55</v>
      </c>
      <c r="F17" s="8" t="s">
        <v>70</v>
      </c>
      <c r="G17" s="7" t="n">
        <v>4</v>
      </c>
      <c r="H17" s="8" t="s">
        <v>38</v>
      </c>
    </row>
    <row r="18" customFormat="false" ht="15" hidden="false" customHeight="true" outlineLevel="0" collapsed="false">
      <c r="A18" s="7" t="s">
        <v>71</v>
      </c>
      <c r="B18" s="8" t="s">
        <v>52</v>
      </c>
      <c r="C18" s="8" t="s">
        <v>53</v>
      </c>
      <c r="D18" s="8" t="s">
        <v>72</v>
      </c>
      <c r="E18" s="8" t="s">
        <v>67</v>
      </c>
      <c r="F18" s="8" t="s">
        <v>68</v>
      </c>
      <c r="G18" s="7" t="n">
        <v>4</v>
      </c>
      <c r="H18" s="8" t="s">
        <v>42</v>
      </c>
    </row>
    <row r="19" customFormat="false" ht="15" hidden="false" customHeight="true" outlineLevel="0" collapsed="false">
      <c r="A19" s="7" t="s">
        <v>71</v>
      </c>
      <c r="B19" s="8" t="s">
        <v>26</v>
      </c>
      <c r="C19" s="8" t="s">
        <v>57</v>
      </c>
      <c r="D19" s="8" t="s">
        <v>69</v>
      </c>
      <c r="E19" s="8" t="s">
        <v>59</v>
      </c>
      <c r="F19" s="8" t="s">
        <v>65</v>
      </c>
      <c r="G19" s="7" t="n">
        <v>4</v>
      </c>
      <c r="H19" s="8" t="s">
        <v>42</v>
      </c>
    </row>
    <row r="20" customFormat="false" ht="15" hidden="false" customHeight="true" outlineLevel="0" collapsed="false">
      <c r="A20" s="7" t="s">
        <v>71</v>
      </c>
      <c r="B20" s="8" t="s">
        <v>32</v>
      </c>
      <c r="C20" s="8" t="s">
        <v>33</v>
      </c>
      <c r="D20" s="8" t="s">
        <v>73</v>
      </c>
      <c r="E20" s="8" t="s">
        <v>55</v>
      </c>
      <c r="F20" s="8" t="s">
        <v>56</v>
      </c>
      <c r="G20" s="7" t="n">
        <v>4</v>
      </c>
      <c r="H20" s="8" t="s">
        <v>42</v>
      </c>
    </row>
    <row r="21" customFormat="false" ht="15" hidden="false" customHeight="true" outlineLevel="0" collapsed="false">
      <c r="A21" s="7" t="s">
        <v>74</v>
      </c>
      <c r="B21" s="8" t="s">
        <v>52</v>
      </c>
      <c r="C21" s="8" t="s">
        <v>53</v>
      </c>
      <c r="D21" s="8" t="s">
        <v>75</v>
      </c>
      <c r="E21" s="8" t="s">
        <v>59</v>
      </c>
      <c r="F21" s="8" t="s">
        <v>65</v>
      </c>
      <c r="G21" s="7" t="n">
        <v>4</v>
      </c>
      <c r="H21" s="8" t="s">
        <v>47</v>
      </c>
    </row>
    <row r="22" customFormat="false" ht="15" hidden="false" customHeight="true" outlineLevel="0" collapsed="false">
      <c r="A22" s="7" t="s">
        <v>74</v>
      </c>
      <c r="B22" s="8" t="s">
        <v>26</v>
      </c>
      <c r="C22" s="8" t="s">
        <v>57</v>
      </c>
      <c r="D22" s="8" t="s">
        <v>73</v>
      </c>
      <c r="E22" s="8" t="s">
        <v>67</v>
      </c>
      <c r="F22" s="8" t="s">
        <v>76</v>
      </c>
      <c r="G22" s="7" t="n">
        <v>4</v>
      </c>
      <c r="H22" s="8" t="s">
        <v>47</v>
      </c>
    </row>
    <row r="23" customFormat="false" ht="15" hidden="false" customHeight="true" outlineLevel="0" collapsed="false">
      <c r="A23" s="7" t="s">
        <v>74</v>
      </c>
      <c r="B23" s="8" t="s">
        <v>32</v>
      </c>
      <c r="C23" s="8" t="s">
        <v>33</v>
      </c>
      <c r="D23" s="8" t="s">
        <v>54</v>
      </c>
      <c r="E23" s="8" t="s">
        <v>62</v>
      </c>
      <c r="F23" s="8" t="s">
        <v>63</v>
      </c>
      <c r="G23" s="7" t="n">
        <v>4</v>
      </c>
      <c r="H23" s="8" t="s">
        <v>47</v>
      </c>
    </row>
    <row r="24" customFormat="false" ht="15" hidden="false" customHeight="true" outlineLevel="0" collapsed="false">
      <c r="A24" s="7" t="s">
        <v>77</v>
      </c>
      <c r="B24" s="8" t="s">
        <v>52</v>
      </c>
      <c r="C24" s="8" t="s">
        <v>53</v>
      </c>
      <c r="D24" s="8" t="s">
        <v>78</v>
      </c>
      <c r="E24" s="8" t="s">
        <v>55</v>
      </c>
      <c r="F24" s="8" t="s">
        <v>56</v>
      </c>
      <c r="G24" s="7" t="n">
        <v>4</v>
      </c>
      <c r="H24" s="8" t="s">
        <v>50</v>
      </c>
    </row>
    <row r="25" customFormat="false" ht="15" hidden="false" customHeight="true" outlineLevel="0" collapsed="false">
      <c r="A25" s="7" t="s">
        <v>77</v>
      </c>
      <c r="B25" s="8" t="s">
        <v>26</v>
      </c>
      <c r="C25" s="8" t="s">
        <v>57</v>
      </c>
      <c r="D25" s="8" t="s">
        <v>54</v>
      </c>
      <c r="E25" s="8" t="s">
        <v>62</v>
      </c>
      <c r="F25" s="8" t="s">
        <v>79</v>
      </c>
      <c r="G25" s="7" t="n">
        <v>4</v>
      </c>
      <c r="H25" s="8" t="s">
        <v>50</v>
      </c>
    </row>
    <row r="26" customFormat="false" ht="15" hidden="false" customHeight="true" outlineLevel="0" collapsed="false">
      <c r="A26" s="7" t="s">
        <v>77</v>
      </c>
      <c r="B26" s="8" t="s">
        <v>32</v>
      </c>
      <c r="C26" s="8" t="s">
        <v>33</v>
      </c>
      <c r="D26" s="8" t="s">
        <v>80</v>
      </c>
      <c r="E26" s="8" t="s">
        <v>67</v>
      </c>
      <c r="F26" s="8" t="s">
        <v>68</v>
      </c>
      <c r="G26" s="7" t="n">
        <v>4</v>
      </c>
      <c r="H26" s="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12"/>
    <col collapsed="false" customWidth="true" hidden="false" outlineLevel="0" max="4" min="4" style="1" width="26"/>
    <col collapsed="false" customWidth="true" hidden="false" outlineLevel="0" max="6" min="5" style="1" width="18"/>
    <col collapsed="false" customWidth="true" hidden="false" outlineLevel="0" max="7" min="7" style="1" width="20"/>
    <col collapsed="false" customWidth="true" hidden="false" outlineLevel="0" max="8" min="8" style="1" width="16"/>
  </cols>
  <sheetData>
    <row r="1" customFormat="false" ht="26.25" hidden="false" customHeight="true" outlineLevel="0" collapsed="false">
      <c r="A1" s="6" t="s">
        <v>81</v>
      </c>
      <c r="B1" s="9" t="s">
        <v>82</v>
      </c>
      <c r="C1" s="9" t="s">
        <v>83</v>
      </c>
      <c r="D1" s="6" t="s">
        <v>84</v>
      </c>
      <c r="E1" s="6" t="s">
        <v>85</v>
      </c>
      <c r="F1" s="6" t="s">
        <v>86</v>
      </c>
      <c r="G1" s="6" t="s">
        <v>87</v>
      </c>
      <c r="H1" s="6" t="s">
        <v>88</v>
      </c>
    </row>
    <row r="2" customFormat="false" ht="26.25" hidden="false" customHeight="true" outlineLevel="0" collapsed="false">
      <c r="A2" s="8" t="s">
        <v>89</v>
      </c>
      <c r="B2" s="7" t="s">
        <v>25</v>
      </c>
      <c r="C2" s="7" t="s">
        <v>51</v>
      </c>
      <c r="D2" s="7" t="s">
        <v>90</v>
      </c>
      <c r="E2" s="7" t="s">
        <v>91</v>
      </c>
      <c r="F2" s="7" t="s">
        <v>92</v>
      </c>
      <c r="G2" s="7" t="s">
        <v>93</v>
      </c>
      <c r="H2" s="10"/>
    </row>
    <row r="3" customFormat="false" ht="26.25" hidden="false" customHeight="true" outlineLevel="0" collapsed="false">
      <c r="A3" s="8" t="s">
        <v>94</v>
      </c>
      <c r="B3" s="7" t="s">
        <v>36</v>
      </c>
      <c r="C3" s="7" t="s">
        <v>64</v>
      </c>
      <c r="D3" s="7" t="s">
        <v>95</v>
      </c>
      <c r="E3" s="7" t="s">
        <v>96</v>
      </c>
      <c r="F3" s="7" t="s">
        <v>97</v>
      </c>
      <c r="G3" s="7" t="s">
        <v>98</v>
      </c>
      <c r="H3" s="10"/>
    </row>
    <row r="4" customFormat="false" ht="26.25" hidden="false" customHeight="true" outlineLevel="0" collapsed="false">
      <c r="A4" s="8" t="s">
        <v>99</v>
      </c>
      <c r="B4" s="7" t="s">
        <v>39</v>
      </c>
      <c r="C4" s="7" t="s">
        <v>71</v>
      </c>
      <c r="D4" s="7" t="s">
        <v>100</v>
      </c>
      <c r="E4" s="7" t="s">
        <v>101</v>
      </c>
      <c r="F4" s="7" t="s">
        <v>102</v>
      </c>
      <c r="G4" s="7" t="s">
        <v>103</v>
      </c>
      <c r="H4" s="10"/>
    </row>
    <row r="5" customFormat="false" ht="26.25" hidden="false" customHeight="true" outlineLevel="0" collapsed="false">
      <c r="A5" s="8" t="s">
        <v>104</v>
      </c>
      <c r="B5" s="7" t="s">
        <v>45</v>
      </c>
      <c r="C5" s="7" t="s">
        <v>74</v>
      </c>
      <c r="D5" s="7" t="s">
        <v>105</v>
      </c>
      <c r="E5" s="7" t="s">
        <v>106</v>
      </c>
      <c r="F5" s="7" t="s">
        <v>107</v>
      </c>
      <c r="G5" s="7" t="s">
        <v>108</v>
      </c>
      <c r="H5" s="10"/>
    </row>
    <row r="6" customFormat="false" ht="26.25" hidden="false" customHeight="true" outlineLevel="0" collapsed="false">
      <c r="A6" s="8" t="s">
        <v>109</v>
      </c>
      <c r="B6" s="7" t="s">
        <v>48</v>
      </c>
      <c r="C6" s="7" t="s">
        <v>77</v>
      </c>
      <c r="D6" s="7" t="s">
        <v>110</v>
      </c>
      <c r="E6" s="7" t="s">
        <v>111</v>
      </c>
      <c r="F6" s="7" t="s">
        <v>112</v>
      </c>
      <c r="G6" s="7" t="s">
        <v>113</v>
      </c>
      <c r="H6" s="10"/>
    </row>
    <row r="7" customFormat="false" ht="26.25" hidden="false" customHeight="true" outlineLevel="0" collapsed="false">
      <c r="A7" s="8" t="s">
        <v>114</v>
      </c>
      <c r="B7" s="7" t="s">
        <v>25</v>
      </c>
      <c r="C7" s="7" t="s">
        <v>51</v>
      </c>
      <c r="D7" s="7" t="s">
        <v>90</v>
      </c>
      <c r="E7" s="7" t="s">
        <v>91</v>
      </c>
      <c r="F7" s="7" t="s">
        <v>92</v>
      </c>
      <c r="G7" s="7" t="s">
        <v>93</v>
      </c>
      <c r="H7" s="10"/>
    </row>
    <row r="8" customFormat="false" ht="26.25" hidden="false" customHeight="true" outlineLevel="0" collapsed="false">
      <c r="A8" s="8" t="s">
        <v>115</v>
      </c>
      <c r="B8" s="7" t="s">
        <v>36</v>
      </c>
      <c r="C8" s="7" t="s">
        <v>64</v>
      </c>
      <c r="D8" s="7" t="s">
        <v>95</v>
      </c>
      <c r="E8" s="7" t="s">
        <v>96</v>
      </c>
      <c r="F8" s="7" t="s">
        <v>97</v>
      </c>
      <c r="G8" s="7" t="s">
        <v>98</v>
      </c>
      <c r="H8" s="10"/>
    </row>
    <row r="9" customFormat="false" ht="26.25" hidden="false" customHeight="true" outlineLevel="0" collapsed="false">
      <c r="A9" s="8" t="s">
        <v>116</v>
      </c>
      <c r="B9" s="7" t="s">
        <v>39</v>
      </c>
      <c r="C9" s="7" t="s">
        <v>71</v>
      </c>
      <c r="D9" s="7" t="s">
        <v>100</v>
      </c>
      <c r="E9" s="7" t="s">
        <v>101</v>
      </c>
      <c r="F9" s="7" t="s">
        <v>102</v>
      </c>
      <c r="G9" s="7" t="s">
        <v>103</v>
      </c>
      <c r="H9" s="10"/>
    </row>
    <row r="10" customFormat="false" ht="26.25" hidden="false" customHeight="true" outlineLevel="0" collapsed="false">
      <c r="A10" s="8" t="s">
        <v>117</v>
      </c>
      <c r="B10" s="7" t="s">
        <v>45</v>
      </c>
      <c r="C10" s="7" t="s">
        <v>74</v>
      </c>
      <c r="D10" s="7" t="s">
        <v>105</v>
      </c>
      <c r="E10" s="7" t="s">
        <v>106</v>
      </c>
      <c r="F10" s="7" t="s">
        <v>107</v>
      </c>
      <c r="G10" s="7" t="s">
        <v>108</v>
      </c>
      <c r="H10" s="10"/>
    </row>
    <row r="11" customFormat="false" ht="26.25" hidden="false" customHeight="true" outlineLevel="0" collapsed="false">
      <c r="A11" s="8" t="s">
        <v>118</v>
      </c>
      <c r="B11" s="7" t="s">
        <v>48</v>
      </c>
      <c r="C11" s="7" t="s">
        <v>77</v>
      </c>
      <c r="D11" s="7" t="s">
        <v>110</v>
      </c>
      <c r="E11" s="7" t="s">
        <v>111</v>
      </c>
      <c r="F11" s="7" t="s">
        <v>112</v>
      </c>
      <c r="G11" s="7" t="s">
        <v>113</v>
      </c>
      <c r="H11" s="10"/>
    </row>
    <row r="12" customFormat="false" ht="26.25" hidden="false" customHeight="true" outlineLevel="0" collapsed="false">
      <c r="A12" s="8" t="s">
        <v>119</v>
      </c>
      <c r="B12" s="7" t="s">
        <v>25</v>
      </c>
      <c r="C12" s="7" t="s">
        <v>51</v>
      </c>
      <c r="D12" s="7" t="s">
        <v>90</v>
      </c>
      <c r="E12" s="7" t="s">
        <v>91</v>
      </c>
      <c r="F12" s="7" t="s">
        <v>92</v>
      </c>
      <c r="G12" s="7" t="s">
        <v>93</v>
      </c>
      <c r="H12" s="10"/>
    </row>
    <row r="13" customFormat="false" ht="26.25" hidden="false" customHeight="true" outlineLevel="0" collapsed="false">
      <c r="A13" s="8" t="s">
        <v>120</v>
      </c>
      <c r="B13" s="7" t="s">
        <v>36</v>
      </c>
      <c r="C13" s="7" t="s">
        <v>64</v>
      </c>
      <c r="D13" s="7" t="s">
        <v>95</v>
      </c>
      <c r="E13" s="7" t="s">
        <v>96</v>
      </c>
      <c r="F13" s="7" t="s">
        <v>97</v>
      </c>
      <c r="G13" s="7" t="s">
        <v>98</v>
      </c>
      <c r="H13" s="10"/>
    </row>
    <row r="14" customFormat="false" ht="26.25" hidden="false" customHeight="true" outlineLevel="0" collapsed="false">
      <c r="A14" s="8" t="s">
        <v>121</v>
      </c>
      <c r="B14" s="7" t="s">
        <v>39</v>
      </c>
      <c r="C14" s="7" t="s">
        <v>71</v>
      </c>
      <c r="D14" s="7" t="s">
        <v>100</v>
      </c>
      <c r="E14" s="7" t="s">
        <v>101</v>
      </c>
      <c r="F14" s="7" t="s">
        <v>102</v>
      </c>
      <c r="G14" s="7" t="s">
        <v>103</v>
      </c>
      <c r="H14" s="10"/>
    </row>
    <row r="15" customFormat="false" ht="26.25" hidden="false" customHeight="true" outlineLevel="0" collapsed="false">
      <c r="A15" s="8" t="s">
        <v>122</v>
      </c>
      <c r="B15" s="7" t="s">
        <v>45</v>
      </c>
      <c r="C15" s="7" t="s">
        <v>74</v>
      </c>
      <c r="D15" s="7" t="s">
        <v>105</v>
      </c>
      <c r="E15" s="7" t="s">
        <v>106</v>
      </c>
      <c r="F15" s="7" t="s">
        <v>107</v>
      </c>
      <c r="G15" s="7" t="s">
        <v>108</v>
      </c>
      <c r="H15" s="10"/>
    </row>
    <row r="16" customFormat="false" ht="26.25" hidden="false" customHeight="true" outlineLevel="0" collapsed="false">
      <c r="A16" s="8" t="s">
        <v>123</v>
      </c>
      <c r="B16" s="7" t="s">
        <v>48</v>
      </c>
      <c r="C16" s="7" t="s">
        <v>77</v>
      </c>
      <c r="D16" s="7" t="s">
        <v>110</v>
      </c>
      <c r="E16" s="7" t="s">
        <v>111</v>
      </c>
      <c r="F16" s="7" t="s">
        <v>112</v>
      </c>
      <c r="G16" s="7" t="s">
        <v>113</v>
      </c>
      <c r="H16" s="10"/>
    </row>
    <row r="17" customFormat="false" ht="26.25" hidden="false" customHeight="true" outlineLevel="0" collapsed="false">
      <c r="A17" s="8" t="s">
        <v>124</v>
      </c>
      <c r="B17" s="7" t="s">
        <v>25</v>
      </c>
      <c r="C17" s="7" t="s">
        <v>51</v>
      </c>
      <c r="D17" s="7" t="s">
        <v>90</v>
      </c>
      <c r="E17" s="7" t="s">
        <v>91</v>
      </c>
      <c r="F17" s="7" t="s">
        <v>92</v>
      </c>
      <c r="G17" s="7" t="s">
        <v>93</v>
      </c>
      <c r="H17" s="10"/>
    </row>
    <row r="18" customFormat="false" ht="26.25" hidden="false" customHeight="true" outlineLevel="0" collapsed="false">
      <c r="A18" s="8" t="s">
        <v>125</v>
      </c>
      <c r="B18" s="7" t="s">
        <v>36</v>
      </c>
      <c r="C18" s="7" t="s">
        <v>64</v>
      </c>
      <c r="D18" s="7" t="s">
        <v>95</v>
      </c>
      <c r="E18" s="7" t="s">
        <v>96</v>
      </c>
      <c r="F18" s="7" t="s">
        <v>97</v>
      </c>
      <c r="G18" s="7" t="s">
        <v>98</v>
      </c>
      <c r="H18" s="10"/>
    </row>
    <row r="19" customFormat="false" ht="26.25" hidden="false" customHeight="true" outlineLevel="0" collapsed="false">
      <c r="A19" s="8" t="s">
        <v>126</v>
      </c>
      <c r="B19" s="7" t="s">
        <v>39</v>
      </c>
      <c r="C19" s="7" t="s">
        <v>71</v>
      </c>
      <c r="D19" s="7" t="s">
        <v>100</v>
      </c>
      <c r="E19" s="7" t="s">
        <v>101</v>
      </c>
      <c r="F19" s="7" t="s">
        <v>102</v>
      </c>
      <c r="G19" s="7" t="s">
        <v>103</v>
      </c>
      <c r="H19" s="10"/>
    </row>
    <row r="20" customFormat="false" ht="26.25" hidden="false" customHeight="true" outlineLevel="0" collapsed="false">
      <c r="A20" s="8" t="s">
        <v>127</v>
      </c>
      <c r="B20" s="7" t="s">
        <v>45</v>
      </c>
      <c r="C20" s="7" t="s">
        <v>74</v>
      </c>
      <c r="D20" s="7" t="s">
        <v>105</v>
      </c>
      <c r="E20" s="7" t="s">
        <v>106</v>
      </c>
      <c r="F20" s="7" t="s">
        <v>107</v>
      </c>
      <c r="G20" s="7" t="s">
        <v>108</v>
      </c>
      <c r="H20" s="10"/>
    </row>
    <row r="21" customFormat="false" ht="26.25" hidden="false" customHeight="true" outlineLevel="0" collapsed="false">
      <c r="A21" s="8" t="s">
        <v>128</v>
      </c>
      <c r="B21" s="7" t="s">
        <v>48</v>
      </c>
      <c r="C21" s="7" t="s">
        <v>77</v>
      </c>
      <c r="D21" s="7" t="s">
        <v>110</v>
      </c>
      <c r="E21" s="7" t="s">
        <v>111</v>
      </c>
      <c r="F21" s="7" t="s">
        <v>112</v>
      </c>
      <c r="G21" s="7" t="s">
        <v>113</v>
      </c>
      <c r="H21" s="10"/>
    </row>
    <row r="22" customFormat="false" ht="15" hidden="false" customHeight="true" outlineLevel="0" collapsed="false">
      <c r="A22" s="11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4"/>
  </cols>
  <sheetData>
    <row r="1" customFormat="false" ht="30" hidden="false" customHeight="true" outlineLevel="0" collapsed="false">
      <c r="A1" s="12" t="s">
        <v>130</v>
      </c>
    </row>
    <row r="2" customFormat="false" ht="30" hidden="false" customHeight="true" outlineLevel="0" collapsed="false"/>
    <row r="3" customFormat="false" ht="30" hidden="false" customHeight="true" outlineLevel="0" collapsed="false">
      <c r="A3" s="13" t="s">
        <v>25</v>
      </c>
      <c r="B3" s="6" t="s">
        <v>131</v>
      </c>
      <c r="C3" s="6" t="s">
        <v>132</v>
      </c>
      <c r="D3" s="6" t="s">
        <v>133</v>
      </c>
      <c r="E3" s="6" t="s">
        <v>134</v>
      </c>
      <c r="F3" s="6" t="s">
        <v>135</v>
      </c>
    </row>
    <row r="4" customFormat="false" ht="30" hidden="false" customHeight="true" outlineLevel="0" collapsed="false">
      <c r="A4" s="14" t="s">
        <v>136</v>
      </c>
      <c r="B4" s="8" t="s">
        <v>137</v>
      </c>
      <c r="C4" s="8" t="s">
        <v>62</v>
      </c>
      <c r="D4" s="8" t="s">
        <v>137</v>
      </c>
      <c r="E4" s="8" t="s">
        <v>67</v>
      </c>
      <c r="F4" s="8" t="s">
        <v>67</v>
      </c>
    </row>
    <row r="5" customFormat="false" ht="30" hidden="false" customHeight="true" outlineLevel="0" collapsed="false">
      <c r="A5" s="14" t="s">
        <v>138</v>
      </c>
      <c r="B5" s="8" t="s">
        <v>55</v>
      </c>
      <c r="C5" s="8" t="s">
        <v>139</v>
      </c>
      <c r="D5" s="8" t="s">
        <v>59</v>
      </c>
      <c r="E5" s="8" t="s">
        <v>140</v>
      </c>
      <c r="F5" s="8" t="s">
        <v>141</v>
      </c>
    </row>
    <row r="6" customFormat="false" ht="30" hidden="false" customHeight="true" outlineLevel="0" collapsed="false">
      <c r="A6" s="14" t="s">
        <v>142</v>
      </c>
      <c r="B6" s="8" t="s">
        <v>59</v>
      </c>
      <c r="C6" s="8" t="s">
        <v>67</v>
      </c>
      <c r="D6" s="8" t="s">
        <v>55</v>
      </c>
      <c r="E6" s="8" t="s">
        <v>141</v>
      </c>
      <c r="F6" s="8" t="s">
        <v>143</v>
      </c>
    </row>
    <row r="7" customFormat="false" ht="30" hidden="false" customHeight="true" outlineLevel="0" collapsed="false">
      <c r="A7" s="14" t="s">
        <v>144</v>
      </c>
      <c r="B7" s="8" t="s">
        <v>67</v>
      </c>
      <c r="C7" s="8" t="s">
        <v>55</v>
      </c>
      <c r="D7" s="8" t="s">
        <v>62</v>
      </c>
      <c r="E7" s="8" t="s">
        <v>137</v>
      </c>
      <c r="F7" s="8" t="s">
        <v>62</v>
      </c>
    </row>
    <row r="8" customFormat="false" ht="30" hidden="false" customHeight="true" outlineLevel="0" collapsed="false">
      <c r="A8" s="14" t="s">
        <v>145</v>
      </c>
      <c r="B8" s="8" t="s">
        <v>141</v>
      </c>
      <c r="C8" s="8" t="s">
        <v>146</v>
      </c>
      <c r="D8" s="8" t="s">
        <v>147</v>
      </c>
      <c r="E8" s="8" t="s">
        <v>62</v>
      </c>
      <c r="F8" s="8" t="s">
        <v>59</v>
      </c>
    </row>
    <row r="9" customFormat="false" ht="30" hidden="false" customHeight="true" outlineLevel="0" collapsed="false">
      <c r="A9" s="14" t="s">
        <v>148</v>
      </c>
      <c r="B9" s="15" t="s">
        <v>149</v>
      </c>
      <c r="C9" s="15" t="s">
        <v>150</v>
      </c>
      <c r="D9" s="8" t="s">
        <v>151</v>
      </c>
      <c r="E9" s="8" t="s">
        <v>152</v>
      </c>
      <c r="F9" s="8" t="s">
        <v>153</v>
      </c>
    </row>
    <row r="10" customFormat="false" ht="30" hidden="false" customHeight="true" outlineLevel="0" collapsed="false"/>
    <row r="11" customFormat="false" ht="30" hidden="false" customHeight="true" outlineLevel="0" collapsed="false"/>
    <row r="12" customFormat="false" ht="30" hidden="false" customHeight="true" outlineLevel="0" collapsed="false">
      <c r="A12" s="13" t="s">
        <v>51</v>
      </c>
      <c r="B12" s="6" t="s">
        <v>131</v>
      </c>
      <c r="C12" s="6" t="s">
        <v>132</v>
      </c>
      <c r="D12" s="6" t="s">
        <v>133</v>
      </c>
      <c r="E12" s="6" t="s">
        <v>134</v>
      </c>
      <c r="F12" s="6" t="s">
        <v>135</v>
      </c>
    </row>
    <row r="13" customFormat="false" ht="30" hidden="false" customHeight="true" outlineLevel="0" collapsed="false">
      <c r="A13" s="14" t="s">
        <v>136</v>
      </c>
      <c r="B13" s="8" t="s">
        <v>154</v>
      </c>
      <c r="C13" s="8" t="s">
        <v>67</v>
      </c>
      <c r="D13" s="8" t="s">
        <v>62</v>
      </c>
      <c r="E13" s="8" t="s">
        <v>59</v>
      </c>
      <c r="F13" s="8" t="s">
        <v>137</v>
      </c>
    </row>
    <row r="14" customFormat="false" ht="30" hidden="false" customHeight="true" outlineLevel="0" collapsed="false">
      <c r="A14" s="14" t="s">
        <v>138</v>
      </c>
      <c r="B14" s="15" t="s">
        <v>155</v>
      </c>
      <c r="C14" s="8" t="s">
        <v>137</v>
      </c>
      <c r="D14" s="8" t="s">
        <v>154</v>
      </c>
      <c r="E14" s="8" t="s">
        <v>67</v>
      </c>
      <c r="F14" s="8" t="s">
        <v>154</v>
      </c>
    </row>
    <row r="15" customFormat="false" ht="30" hidden="false" customHeight="true" outlineLevel="0" collapsed="false">
      <c r="A15" s="14" t="s">
        <v>142</v>
      </c>
      <c r="B15" s="15" t="s">
        <v>156</v>
      </c>
      <c r="C15" s="15" t="s">
        <v>157</v>
      </c>
      <c r="D15" s="8" t="s">
        <v>137</v>
      </c>
      <c r="E15" s="8" t="s">
        <v>55</v>
      </c>
      <c r="F15" s="8" t="s">
        <v>55</v>
      </c>
    </row>
    <row r="16" customFormat="false" ht="30" hidden="false" customHeight="true" outlineLevel="0" collapsed="false">
      <c r="A16" s="14" t="s">
        <v>144</v>
      </c>
      <c r="B16" s="8" t="s">
        <v>67</v>
      </c>
      <c r="C16" s="8" t="s">
        <v>158</v>
      </c>
      <c r="D16" s="8" t="s">
        <v>67</v>
      </c>
      <c r="E16" s="8" t="s">
        <v>143</v>
      </c>
      <c r="F16" s="8" t="s">
        <v>59</v>
      </c>
    </row>
    <row r="17" customFormat="false" ht="30" hidden="false" customHeight="true" outlineLevel="0" collapsed="false">
      <c r="A17" s="14" t="s">
        <v>145</v>
      </c>
      <c r="B17" s="8" t="s">
        <v>139</v>
      </c>
      <c r="C17" s="8" t="s">
        <v>59</v>
      </c>
      <c r="D17" s="8" t="s">
        <v>55</v>
      </c>
      <c r="E17" s="8" t="s">
        <v>62</v>
      </c>
      <c r="F17" s="8" t="s">
        <v>62</v>
      </c>
    </row>
    <row r="18" customFormat="false" ht="30" hidden="false" customHeight="true" outlineLevel="0" collapsed="false">
      <c r="A18" s="14" t="s">
        <v>148</v>
      </c>
      <c r="B18" s="8" t="s">
        <v>159</v>
      </c>
      <c r="C18" s="8" t="s">
        <v>153</v>
      </c>
      <c r="D18" s="8" t="s">
        <v>151</v>
      </c>
      <c r="E18" s="8" t="s">
        <v>152</v>
      </c>
      <c r="F18" s="8" t="s">
        <v>153</v>
      </c>
    </row>
    <row r="19" customFormat="false" ht="30" hidden="false" customHeight="true" outlineLevel="0" collapsed="false"/>
    <row r="20" customFormat="false" ht="3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0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10" min="9" style="1" width="12"/>
  </cols>
  <sheetData>
    <row r="1" customFormat="false" ht="15" hidden="false" customHeight="true" outlineLevel="0" collapsed="false">
      <c r="A1" s="6" t="s">
        <v>160</v>
      </c>
      <c r="B1" s="6" t="s">
        <v>161</v>
      </c>
      <c r="C1" s="6" t="s">
        <v>162</v>
      </c>
      <c r="D1" s="6" t="s">
        <v>163</v>
      </c>
      <c r="E1" s="9" t="s">
        <v>164</v>
      </c>
      <c r="F1" s="6" t="s">
        <v>165</v>
      </c>
      <c r="G1" s="6" t="s">
        <v>166</v>
      </c>
      <c r="H1" s="6" t="s">
        <v>167</v>
      </c>
      <c r="I1" s="6" t="s">
        <v>168</v>
      </c>
      <c r="J1" s="6" t="s">
        <v>169</v>
      </c>
    </row>
    <row r="2" customFormat="false" ht="15" hidden="false" customHeight="true" outlineLevel="0" collapsed="false">
      <c r="A2" s="7" t="s">
        <v>170</v>
      </c>
      <c r="B2" s="7" t="n">
        <v>35</v>
      </c>
      <c r="C2" s="10" t="n">
        <v>1</v>
      </c>
      <c r="D2" s="10" t="n">
        <v>35</v>
      </c>
      <c r="E2" s="7" t="n">
        <v>0.9</v>
      </c>
      <c r="F2" s="10" t="n">
        <v>4</v>
      </c>
      <c r="G2" s="7" t="n">
        <f aca="false">C2*D2+F2</f>
        <v>39</v>
      </c>
      <c r="H2" s="16" t="n">
        <f aca="false">ROUNDDOWN(G2*E2,1)</f>
        <v>35.1</v>
      </c>
      <c r="I2" s="16" t="n">
        <f aca="false">H2-B2</f>
        <v>0.100000000000001</v>
      </c>
      <c r="J2" s="16" t="str">
        <f aca="false">IF(H2&gt;=B2,"OK","不足")</f>
        <v>OK</v>
      </c>
    </row>
    <row r="3" customFormat="false" ht="15" hidden="false" customHeight="true" outlineLevel="0" collapsed="false">
      <c r="A3" s="7" t="s">
        <v>171</v>
      </c>
      <c r="B3" s="7" t="n">
        <v>35</v>
      </c>
      <c r="C3" s="10" t="n">
        <v>1</v>
      </c>
      <c r="D3" s="10" t="n">
        <v>35</v>
      </c>
      <c r="E3" s="7" t="n">
        <v>0.9</v>
      </c>
      <c r="F3" s="10" t="n">
        <v>4</v>
      </c>
      <c r="G3" s="7" t="n">
        <f aca="false">C3*D3+F3</f>
        <v>39</v>
      </c>
      <c r="H3" s="16" t="n">
        <f aca="false">ROUNDDOWN(G3*E3,1)</f>
        <v>35.1</v>
      </c>
      <c r="I3" s="16" t="n">
        <f aca="false">H3-B3</f>
        <v>0.100000000000001</v>
      </c>
      <c r="J3" s="16" t="str">
        <f aca="false">IF(H3&gt;=B3,"OK","不足")</f>
        <v>OK</v>
      </c>
    </row>
    <row r="4" customFormat="false" ht="15" hidden="false" customHeight="true" outlineLevel="0" collapsed="false">
      <c r="A4" s="7" t="s">
        <v>172</v>
      </c>
      <c r="B4" s="7" t="n">
        <v>35</v>
      </c>
      <c r="C4" s="10" t="n">
        <v>1</v>
      </c>
      <c r="D4" s="10" t="n">
        <v>35</v>
      </c>
      <c r="E4" s="7" t="n">
        <v>0.9</v>
      </c>
      <c r="F4" s="10" t="n">
        <v>4</v>
      </c>
      <c r="G4" s="7" t="n">
        <f aca="false">C4*D4+F4</f>
        <v>39</v>
      </c>
      <c r="H4" s="16" t="n">
        <f aca="false">ROUNDDOWN(G4*E4,1)</f>
        <v>35.1</v>
      </c>
      <c r="I4" s="16" t="n">
        <f aca="false">H4-B4</f>
        <v>0.100000000000001</v>
      </c>
      <c r="J4" s="16" t="str">
        <f aca="false">IF(H4&gt;=B4,"OK","不足")</f>
        <v>OK</v>
      </c>
    </row>
    <row r="5" customFormat="false" ht="1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5" hidden="false" customHeight="true" outlineLevel="0" collapsed="false">
      <c r="A6" s="17" t="s">
        <v>173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true" outlineLevel="0" collapsed="false">
      <c r="A7" s="6" t="s">
        <v>160</v>
      </c>
      <c r="B7" s="6" t="s">
        <v>161</v>
      </c>
      <c r="C7" s="6" t="s">
        <v>162</v>
      </c>
      <c r="D7" s="6" t="s">
        <v>163</v>
      </c>
      <c r="E7" s="9" t="s">
        <v>164</v>
      </c>
      <c r="F7" s="6" t="s">
        <v>174</v>
      </c>
      <c r="G7" s="6" t="s">
        <v>166</v>
      </c>
      <c r="H7" s="6" t="s">
        <v>167</v>
      </c>
      <c r="I7" s="6" t="s">
        <v>168</v>
      </c>
      <c r="J7" s="6" t="s">
        <v>175</v>
      </c>
    </row>
    <row r="8" customFormat="false" ht="15" hidden="false" customHeight="true" outlineLevel="0" collapsed="false">
      <c r="A8" s="7" t="s">
        <v>176</v>
      </c>
      <c r="B8" s="7" t="n">
        <v>140</v>
      </c>
      <c r="C8" s="10" t="n">
        <v>4</v>
      </c>
      <c r="D8" s="10" t="n">
        <v>35</v>
      </c>
      <c r="E8" s="7" t="n">
        <v>0.9</v>
      </c>
      <c r="F8" s="10" t="n">
        <v>4</v>
      </c>
      <c r="G8" s="7" t="n">
        <f aca="false">C8*D8-F8</f>
        <v>136</v>
      </c>
      <c r="H8" s="16" t="n">
        <f aca="false">ROUNDDOWN(G8*E8,1)</f>
        <v>122.4</v>
      </c>
      <c r="I8" s="16" t="n">
        <f aca="false">H8-B8</f>
        <v>-17.6</v>
      </c>
      <c r="J8" s="16" t="n">
        <f aca="false">-ROUNDDOWN(B8*0.15,1)</f>
        <v>-21</v>
      </c>
    </row>
    <row r="9" customFormat="false" ht="15" hidden="false" customHeight="tru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customFormat="false" ht="15" hidden="false" customHeight="true" outlineLevel="0" collapsed="false">
      <c r="A10" s="11" t="s">
        <v>177</v>
      </c>
      <c r="B10" s="17"/>
      <c r="C10" s="17"/>
      <c r="D10" s="17"/>
      <c r="E10" s="17"/>
      <c r="F10" s="17"/>
      <c r="G10" s="17"/>
      <c r="H10" s="17"/>
      <c r="I10" s="17"/>
      <c r="J10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2026-10-26T08:03:35Z</dcterms:created>
  <dc:creator>openpyxl</dc:creator>
  <dc:description/>
  <dc:language>en-US</dc:language>
  <cp:lastModifiedBy/>
  <dcterms:modified xsi:type="dcterms:W3CDTF">2026-10-26T08:03:56Z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