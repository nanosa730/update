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4.46.242\校務共有_汐路中学校\3_主幹\01教務\02職員会議\★2026\"/>
    </mc:Choice>
  </mc:AlternateContent>
  <xr:revisionPtr revIDLastSave="0" documentId="13_ncr:1_{E0204E98-C05D-47BD-9974-6A0F8FE6219E}" xr6:coauthVersionLast="47" xr6:coauthVersionMax="47" xr10:uidLastSave="{00000000-0000-0000-0000-000000000000}"/>
  <bookViews>
    <workbookView xWindow="2152" yWindow="2663" windowWidth="21600" windowHeight="11422" activeTab="1" xr2:uid="{5844C386-F718-43F0-9645-A2FEE25A2BD6}"/>
  </bookViews>
  <sheets>
    <sheet name="年計" sheetId="1" r:id="rId1"/>
    <sheet name="合計" sheetId="2" r:id="rId2"/>
    <sheet name="年計から貼り付け" sheetId="3" r:id="rId3"/>
  </sheets>
  <definedNames>
    <definedName name="_xlnm.Print_Area" localSheetId="1">合計!$A$1:$AH$59</definedName>
    <definedName name="_xlnm.Print_Area" localSheetId="0">年計!$A$1:$U$367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7" i="2" l="1"/>
  <c r="Z47" i="2"/>
  <c r="AA47" i="2"/>
  <c r="AB47" i="2"/>
  <c r="AC47" i="2"/>
  <c r="AD47" i="2"/>
  <c r="AE47" i="2"/>
  <c r="AF47" i="2"/>
  <c r="AG47" i="2"/>
  <c r="AH47" i="2"/>
  <c r="Y48" i="2"/>
  <c r="Z48" i="2"/>
  <c r="AA48" i="2"/>
  <c r="AB48" i="2"/>
  <c r="AC48" i="2"/>
  <c r="AD48" i="2"/>
  <c r="AE48" i="2"/>
  <c r="AF48" i="2"/>
  <c r="AG48" i="2"/>
  <c r="AH48" i="2"/>
  <c r="Y49" i="2"/>
  <c r="Z49" i="2"/>
  <c r="AA49" i="2"/>
  <c r="AB49" i="2"/>
  <c r="AC49" i="2"/>
  <c r="AD49" i="2"/>
  <c r="AE49" i="2"/>
  <c r="AF49" i="2"/>
  <c r="AG49" i="2"/>
  <c r="AH49" i="2"/>
  <c r="Y50" i="2"/>
  <c r="Z50" i="2"/>
  <c r="AA50" i="2"/>
  <c r="AB50" i="2"/>
  <c r="AC50" i="2"/>
  <c r="AD50" i="2"/>
  <c r="AE50" i="2"/>
  <c r="AF50" i="2"/>
  <c r="AG50" i="2"/>
  <c r="AH50" i="2"/>
  <c r="Y51" i="2"/>
  <c r="Z51" i="2"/>
  <c r="AA51" i="2"/>
  <c r="AB51" i="2"/>
  <c r="AC51" i="2"/>
  <c r="AD51" i="2"/>
  <c r="AE51" i="2"/>
  <c r="AF51" i="2"/>
  <c r="AG51" i="2"/>
  <c r="AH51" i="2"/>
  <c r="AH46" i="2"/>
  <c r="AG46" i="2"/>
  <c r="AF46" i="2"/>
  <c r="AE46" i="2"/>
  <c r="AD46" i="2"/>
  <c r="AC46" i="2"/>
  <c r="AB46" i="2"/>
  <c r="AA46" i="2"/>
  <c r="Z46" i="2"/>
  <c r="Y46" i="2"/>
  <c r="Y39" i="2"/>
  <c r="Z39" i="2"/>
  <c r="AA39" i="2"/>
  <c r="AB39" i="2"/>
  <c r="AC39" i="2"/>
  <c r="AD39" i="2"/>
  <c r="AE39" i="2"/>
  <c r="AF39" i="2"/>
  <c r="AG39" i="2"/>
  <c r="AH39" i="2"/>
  <c r="Y40" i="2"/>
  <c r="Z40" i="2"/>
  <c r="AA40" i="2"/>
  <c r="AB40" i="2"/>
  <c r="AC40" i="2"/>
  <c r="AD40" i="2"/>
  <c r="AE40" i="2"/>
  <c r="AF40" i="2"/>
  <c r="AG40" i="2"/>
  <c r="AH40" i="2"/>
  <c r="Y41" i="2"/>
  <c r="Z41" i="2"/>
  <c r="AA41" i="2"/>
  <c r="AB41" i="2"/>
  <c r="AC41" i="2"/>
  <c r="AD41" i="2"/>
  <c r="AE41" i="2"/>
  <c r="AF41" i="2"/>
  <c r="AG41" i="2"/>
  <c r="AH41" i="2"/>
  <c r="Y42" i="2"/>
  <c r="Z42" i="2"/>
  <c r="AA42" i="2"/>
  <c r="AB42" i="2"/>
  <c r="AC42" i="2"/>
  <c r="AD42" i="2"/>
  <c r="AE42" i="2"/>
  <c r="AF42" i="2"/>
  <c r="AG42" i="2"/>
  <c r="AH42" i="2"/>
  <c r="Y43" i="2"/>
  <c r="Z43" i="2"/>
  <c r="AA43" i="2"/>
  <c r="AB43" i="2"/>
  <c r="AC43" i="2"/>
  <c r="AD43" i="2"/>
  <c r="AE43" i="2"/>
  <c r="AF43" i="2"/>
  <c r="AG43" i="2"/>
  <c r="AH43" i="2"/>
  <c r="AH38" i="2"/>
  <c r="AG38" i="2"/>
  <c r="AF38" i="2"/>
  <c r="AE38" i="2"/>
  <c r="AD38" i="2"/>
  <c r="AC38" i="2"/>
  <c r="AB38" i="2"/>
  <c r="AA38" i="2"/>
  <c r="Z38" i="2"/>
  <c r="Y38" i="2"/>
  <c r="G55" i="2"/>
  <c r="H55" i="2"/>
  <c r="I55" i="2"/>
  <c r="J55" i="2"/>
  <c r="K55" i="2"/>
  <c r="L55" i="2"/>
  <c r="M55" i="2"/>
  <c r="N55" i="2"/>
  <c r="O55" i="2"/>
  <c r="P55" i="2"/>
  <c r="G56" i="2"/>
  <c r="H56" i="2"/>
  <c r="I56" i="2"/>
  <c r="J56" i="2"/>
  <c r="K56" i="2"/>
  <c r="L56" i="2"/>
  <c r="M56" i="2"/>
  <c r="N56" i="2"/>
  <c r="O56" i="2"/>
  <c r="P56" i="2"/>
  <c r="G57" i="2"/>
  <c r="H57" i="2"/>
  <c r="I57" i="2"/>
  <c r="J57" i="2"/>
  <c r="K57" i="2"/>
  <c r="L57" i="2"/>
  <c r="M57" i="2"/>
  <c r="N57" i="2"/>
  <c r="O57" i="2"/>
  <c r="P57" i="2"/>
  <c r="G58" i="2"/>
  <c r="H58" i="2"/>
  <c r="I58" i="2"/>
  <c r="J58" i="2"/>
  <c r="K58" i="2"/>
  <c r="L58" i="2"/>
  <c r="M58" i="2"/>
  <c r="N58" i="2"/>
  <c r="O58" i="2"/>
  <c r="P58" i="2"/>
  <c r="G59" i="2"/>
  <c r="H59" i="2"/>
  <c r="I59" i="2"/>
  <c r="J59" i="2"/>
  <c r="K59" i="2"/>
  <c r="L59" i="2"/>
  <c r="M59" i="2"/>
  <c r="N59" i="2"/>
  <c r="O59" i="2"/>
  <c r="P59" i="2"/>
  <c r="P54" i="2"/>
  <c r="O54" i="2"/>
  <c r="N54" i="2"/>
  <c r="M54" i="2"/>
  <c r="L54" i="2"/>
  <c r="K54" i="2"/>
  <c r="J54" i="2"/>
  <c r="I54" i="2"/>
  <c r="H54" i="2"/>
  <c r="G54" i="2"/>
  <c r="L51" i="2"/>
  <c r="M51" i="2"/>
  <c r="N51" i="2"/>
  <c r="O51" i="2"/>
  <c r="P51" i="2"/>
  <c r="L47" i="2"/>
  <c r="M47" i="2"/>
  <c r="N47" i="2"/>
  <c r="O47" i="2"/>
  <c r="P47" i="2"/>
  <c r="L48" i="2"/>
  <c r="M48" i="2"/>
  <c r="N48" i="2"/>
  <c r="O48" i="2"/>
  <c r="P48" i="2"/>
  <c r="L49" i="2"/>
  <c r="M49" i="2"/>
  <c r="N49" i="2"/>
  <c r="O49" i="2"/>
  <c r="P49" i="2"/>
  <c r="L50" i="2"/>
  <c r="M50" i="2"/>
  <c r="N50" i="2"/>
  <c r="O50" i="2"/>
  <c r="P50" i="2"/>
  <c r="P46" i="2"/>
  <c r="O46" i="2"/>
  <c r="N46" i="2"/>
  <c r="M46" i="2"/>
  <c r="L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0" i="2"/>
  <c r="H50" i="2"/>
  <c r="I50" i="2"/>
  <c r="J50" i="2"/>
  <c r="K50" i="2"/>
  <c r="G51" i="2"/>
  <c r="H51" i="2"/>
  <c r="I51" i="2"/>
  <c r="J51" i="2"/>
  <c r="K51" i="2"/>
  <c r="K46" i="2"/>
  <c r="J46" i="2"/>
  <c r="I46" i="2"/>
  <c r="H46" i="2"/>
  <c r="G46" i="2"/>
  <c r="G39" i="2"/>
  <c r="H39" i="2"/>
  <c r="I39" i="2"/>
  <c r="J39" i="2"/>
  <c r="K39" i="2"/>
  <c r="L39" i="2"/>
  <c r="M39" i="2"/>
  <c r="N39" i="2"/>
  <c r="O39" i="2"/>
  <c r="P39" i="2"/>
  <c r="G40" i="2"/>
  <c r="H40" i="2"/>
  <c r="I40" i="2"/>
  <c r="J40" i="2"/>
  <c r="K40" i="2"/>
  <c r="L40" i="2"/>
  <c r="M40" i="2"/>
  <c r="N40" i="2"/>
  <c r="O40" i="2"/>
  <c r="P40" i="2"/>
  <c r="G41" i="2"/>
  <c r="H41" i="2"/>
  <c r="I41" i="2"/>
  <c r="J41" i="2"/>
  <c r="K41" i="2"/>
  <c r="L41" i="2"/>
  <c r="M41" i="2"/>
  <c r="N41" i="2"/>
  <c r="O41" i="2"/>
  <c r="P41" i="2"/>
  <c r="G42" i="2"/>
  <c r="H42" i="2"/>
  <c r="I42" i="2"/>
  <c r="J42" i="2"/>
  <c r="K42" i="2"/>
  <c r="L42" i="2"/>
  <c r="M42" i="2"/>
  <c r="N42" i="2"/>
  <c r="O42" i="2"/>
  <c r="P42" i="2"/>
  <c r="G43" i="2"/>
  <c r="H43" i="2"/>
  <c r="I43" i="2"/>
  <c r="J43" i="2"/>
  <c r="K43" i="2"/>
  <c r="L43" i="2"/>
  <c r="M43" i="2"/>
  <c r="N43" i="2"/>
  <c r="O43" i="2"/>
  <c r="P43" i="2"/>
  <c r="P38" i="2"/>
  <c r="O38" i="2"/>
  <c r="N38" i="2"/>
  <c r="M38" i="2"/>
  <c r="L38" i="2"/>
  <c r="K38" i="2"/>
  <c r="J38" i="2"/>
  <c r="I38" i="2"/>
  <c r="H38" i="2"/>
  <c r="G38" i="2"/>
  <c r="G31" i="2"/>
  <c r="H31" i="2"/>
  <c r="I31" i="2"/>
  <c r="J31" i="2"/>
  <c r="K31" i="2"/>
  <c r="L31" i="2"/>
  <c r="M31" i="2"/>
  <c r="N31" i="2"/>
  <c r="O31" i="2"/>
  <c r="P31" i="2"/>
  <c r="G32" i="2"/>
  <c r="H32" i="2"/>
  <c r="I32" i="2"/>
  <c r="J32" i="2"/>
  <c r="K32" i="2"/>
  <c r="L32" i="2"/>
  <c r="M32" i="2"/>
  <c r="N32" i="2"/>
  <c r="O32" i="2"/>
  <c r="P32" i="2"/>
  <c r="G33" i="2"/>
  <c r="H33" i="2"/>
  <c r="I33" i="2"/>
  <c r="J33" i="2"/>
  <c r="K33" i="2"/>
  <c r="L33" i="2"/>
  <c r="M33" i="2"/>
  <c r="N33" i="2"/>
  <c r="O33" i="2"/>
  <c r="P33" i="2"/>
  <c r="G34" i="2"/>
  <c r="H34" i="2"/>
  <c r="I34" i="2"/>
  <c r="J34" i="2"/>
  <c r="K34" i="2"/>
  <c r="L34" i="2"/>
  <c r="M34" i="2"/>
  <c r="N34" i="2"/>
  <c r="O34" i="2"/>
  <c r="P34" i="2"/>
  <c r="G35" i="2"/>
  <c r="H35" i="2"/>
  <c r="I35" i="2"/>
  <c r="J35" i="2"/>
  <c r="K35" i="2"/>
  <c r="L35" i="2"/>
  <c r="M35" i="2"/>
  <c r="N35" i="2"/>
  <c r="O35" i="2"/>
  <c r="P35" i="2"/>
  <c r="P30" i="2"/>
  <c r="O30" i="2"/>
  <c r="N30" i="2"/>
  <c r="M30" i="2"/>
  <c r="L30" i="2"/>
  <c r="K30" i="2"/>
  <c r="J30" i="2"/>
  <c r="I30" i="2"/>
  <c r="H30" i="2"/>
  <c r="G30" i="2"/>
  <c r="AD31" i="2"/>
  <c r="AE31" i="2"/>
  <c r="AF31" i="2"/>
  <c r="AG31" i="2"/>
  <c r="AH31" i="2"/>
  <c r="AD32" i="2"/>
  <c r="AE32" i="2"/>
  <c r="AF32" i="2"/>
  <c r="AG32" i="2"/>
  <c r="AH32" i="2"/>
  <c r="AD33" i="2"/>
  <c r="AE33" i="2"/>
  <c r="AF33" i="2"/>
  <c r="AG33" i="2"/>
  <c r="AH33" i="2"/>
  <c r="AD34" i="2"/>
  <c r="AE34" i="2"/>
  <c r="AF34" i="2"/>
  <c r="AG34" i="2"/>
  <c r="AH34" i="2"/>
  <c r="AD35" i="2"/>
  <c r="AE35" i="2"/>
  <c r="AF35" i="2"/>
  <c r="AG35" i="2"/>
  <c r="AH35" i="2"/>
  <c r="AH30" i="2"/>
  <c r="AG30" i="2"/>
  <c r="AF30" i="2"/>
  <c r="AE30" i="2"/>
  <c r="AD30" i="2"/>
  <c r="Y31" i="2"/>
  <c r="Z31" i="2"/>
  <c r="AA31" i="2"/>
  <c r="AB31" i="2"/>
  <c r="AC31" i="2"/>
  <c r="Y32" i="2"/>
  <c r="Z32" i="2"/>
  <c r="AA32" i="2"/>
  <c r="AB32" i="2"/>
  <c r="AC32" i="2"/>
  <c r="Y33" i="2"/>
  <c r="Z33" i="2"/>
  <c r="AA33" i="2"/>
  <c r="AB33" i="2"/>
  <c r="AC33" i="2"/>
  <c r="Y34" i="2"/>
  <c r="Z34" i="2"/>
  <c r="AA34" i="2"/>
  <c r="AB34" i="2"/>
  <c r="AC34" i="2"/>
  <c r="Y35" i="2"/>
  <c r="Z35" i="2"/>
  <c r="AA35" i="2"/>
  <c r="AB35" i="2"/>
  <c r="AC35" i="2"/>
  <c r="AC30" i="2"/>
  <c r="AB30" i="2"/>
  <c r="AA30" i="2"/>
  <c r="Z30" i="2"/>
  <c r="Y30" i="2"/>
  <c r="X24" i="2"/>
  <c r="B55" i="2" l="1"/>
  <c r="C55" i="2"/>
  <c r="D55" i="2"/>
  <c r="E55" i="2"/>
  <c r="F55" i="2"/>
  <c r="B56" i="2"/>
  <c r="C56" i="2"/>
  <c r="D56" i="2"/>
  <c r="E56" i="2"/>
  <c r="F56" i="2"/>
  <c r="B57" i="2"/>
  <c r="C57" i="2"/>
  <c r="D57" i="2"/>
  <c r="E57" i="2"/>
  <c r="F57" i="2"/>
  <c r="B58" i="2"/>
  <c r="C58" i="2"/>
  <c r="D58" i="2"/>
  <c r="E58" i="2"/>
  <c r="F58" i="2"/>
  <c r="B59" i="2"/>
  <c r="C59" i="2"/>
  <c r="D59" i="2"/>
  <c r="E59" i="2"/>
  <c r="F59" i="2"/>
  <c r="C54" i="2"/>
  <c r="D54" i="2"/>
  <c r="E54" i="2"/>
  <c r="F54" i="2"/>
  <c r="B54" i="2"/>
  <c r="T47" i="2"/>
  <c r="U47" i="2"/>
  <c r="V47" i="2"/>
  <c r="W47" i="2"/>
  <c r="X47" i="2"/>
  <c r="T48" i="2"/>
  <c r="U48" i="2"/>
  <c r="V48" i="2"/>
  <c r="W48" i="2"/>
  <c r="X48" i="2"/>
  <c r="T49" i="2"/>
  <c r="U49" i="2"/>
  <c r="V49" i="2"/>
  <c r="W49" i="2"/>
  <c r="X49" i="2"/>
  <c r="T50" i="2"/>
  <c r="U50" i="2"/>
  <c r="V50" i="2"/>
  <c r="W50" i="2"/>
  <c r="X50" i="2"/>
  <c r="T51" i="2"/>
  <c r="U51" i="2"/>
  <c r="V51" i="2"/>
  <c r="W51" i="2"/>
  <c r="X51" i="2"/>
  <c r="U46" i="2"/>
  <c r="V46" i="2"/>
  <c r="W46" i="2"/>
  <c r="X46" i="2"/>
  <c r="T46" i="2"/>
  <c r="B47" i="2"/>
  <c r="C47" i="2"/>
  <c r="D47" i="2"/>
  <c r="E47" i="2"/>
  <c r="F47" i="2"/>
  <c r="B48" i="2"/>
  <c r="C48" i="2"/>
  <c r="D48" i="2"/>
  <c r="E48" i="2"/>
  <c r="F48" i="2"/>
  <c r="B49" i="2"/>
  <c r="C49" i="2"/>
  <c r="D49" i="2"/>
  <c r="E49" i="2"/>
  <c r="F49" i="2"/>
  <c r="B50" i="2"/>
  <c r="C50" i="2"/>
  <c r="D50" i="2"/>
  <c r="E50" i="2"/>
  <c r="F50" i="2"/>
  <c r="B51" i="2"/>
  <c r="C51" i="2"/>
  <c r="D51" i="2"/>
  <c r="E51" i="2"/>
  <c r="F51" i="2"/>
  <c r="C46" i="2"/>
  <c r="D46" i="2"/>
  <c r="E46" i="2"/>
  <c r="F46" i="2"/>
  <c r="B46" i="2"/>
  <c r="B39" i="2"/>
  <c r="C39" i="2"/>
  <c r="D39" i="2"/>
  <c r="E39" i="2"/>
  <c r="F39" i="2"/>
  <c r="B40" i="2"/>
  <c r="C40" i="2"/>
  <c r="D40" i="2"/>
  <c r="E40" i="2"/>
  <c r="F40" i="2"/>
  <c r="B41" i="2"/>
  <c r="C41" i="2"/>
  <c r="D41" i="2"/>
  <c r="E41" i="2"/>
  <c r="F41" i="2"/>
  <c r="B42" i="2"/>
  <c r="C42" i="2"/>
  <c r="D42" i="2"/>
  <c r="E42" i="2"/>
  <c r="F42" i="2"/>
  <c r="B43" i="2"/>
  <c r="C43" i="2"/>
  <c r="D43" i="2"/>
  <c r="E43" i="2"/>
  <c r="F43" i="2"/>
  <c r="T39" i="2"/>
  <c r="U39" i="2"/>
  <c r="V39" i="2"/>
  <c r="W39" i="2"/>
  <c r="X39" i="2"/>
  <c r="T40" i="2"/>
  <c r="U40" i="2"/>
  <c r="V40" i="2"/>
  <c r="W40" i="2"/>
  <c r="X40" i="2"/>
  <c r="T41" i="2"/>
  <c r="U41" i="2"/>
  <c r="V41" i="2"/>
  <c r="W41" i="2"/>
  <c r="X41" i="2"/>
  <c r="T42" i="2"/>
  <c r="U42" i="2"/>
  <c r="V42" i="2"/>
  <c r="W42" i="2"/>
  <c r="X42" i="2"/>
  <c r="T43" i="2"/>
  <c r="U43" i="2"/>
  <c r="V43" i="2"/>
  <c r="W43" i="2"/>
  <c r="X43" i="2"/>
  <c r="U38" i="2"/>
  <c r="V38" i="2"/>
  <c r="W38" i="2"/>
  <c r="X38" i="2"/>
  <c r="T38" i="2"/>
  <c r="C38" i="2"/>
  <c r="D38" i="2"/>
  <c r="E38" i="2"/>
  <c r="F38" i="2"/>
  <c r="B38" i="2"/>
  <c r="T31" i="2"/>
  <c r="U31" i="2"/>
  <c r="V31" i="2"/>
  <c r="W31" i="2"/>
  <c r="X31" i="2"/>
  <c r="T32" i="2"/>
  <c r="U32" i="2"/>
  <c r="V32" i="2"/>
  <c r="W32" i="2"/>
  <c r="X32" i="2"/>
  <c r="T33" i="2"/>
  <c r="U33" i="2"/>
  <c r="V33" i="2"/>
  <c r="W33" i="2"/>
  <c r="X33" i="2"/>
  <c r="T34" i="2"/>
  <c r="U34" i="2"/>
  <c r="V34" i="2"/>
  <c r="W34" i="2"/>
  <c r="X34" i="2"/>
  <c r="T35" i="2"/>
  <c r="U35" i="2"/>
  <c r="V35" i="2"/>
  <c r="W35" i="2"/>
  <c r="X35" i="2"/>
  <c r="U30" i="2"/>
  <c r="V30" i="2"/>
  <c r="W30" i="2"/>
  <c r="X30" i="2"/>
  <c r="T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C30" i="2"/>
  <c r="D30" i="2"/>
  <c r="E30" i="2"/>
  <c r="F30" i="2"/>
  <c r="B30" i="2"/>
  <c r="G3" i="3" a="1"/>
  <c r="G3" i="3" s="1"/>
  <c r="G4" i="3" a="1"/>
  <c r="G4" i="3" s="1"/>
  <c r="G5" i="3" a="1"/>
  <c r="G5" i="3"/>
  <c r="G6" i="3" a="1"/>
  <c r="G6" i="3"/>
  <c r="G7" i="3" a="1"/>
  <c r="G7" i="3"/>
  <c r="G8" i="3" a="1"/>
  <c r="G8" i="3"/>
  <c r="G9" i="3" a="1"/>
  <c r="G9" i="3"/>
  <c r="G10" i="3" a="1"/>
  <c r="G10" i="3" s="1"/>
  <c r="G11" i="3" a="1"/>
  <c r="G11" i="3" s="1"/>
  <c r="G12" i="3" a="1"/>
  <c r="G12" i="3" s="1"/>
  <c r="G13" i="3" a="1"/>
  <c r="G13" i="3" s="1"/>
  <c r="G14" i="3" a="1"/>
  <c r="G14" i="3"/>
  <c r="G15" i="3" a="1"/>
  <c r="G15" i="3"/>
  <c r="G16" i="3" a="1"/>
  <c r="G16" i="3"/>
  <c r="G17" i="3" a="1"/>
  <c r="G17" i="3"/>
  <c r="G18" i="3" a="1"/>
  <c r="G18" i="3"/>
  <c r="G19" i="3" a="1"/>
  <c r="G19" i="3" s="1"/>
  <c r="G20" i="3" a="1"/>
  <c r="G20" i="3"/>
  <c r="G21" i="3" a="1"/>
  <c r="G21" i="3" s="1"/>
  <c r="G22" i="3" a="1"/>
  <c r="G22" i="3" s="1"/>
  <c r="G23" i="3" a="1"/>
  <c r="G23" i="3"/>
  <c r="G24" i="3" a="1"/>
  <c r="G24" i="3"/>
  <c r="G25" i="3" a="1"/>
  <c r="G25" i="3"/>
  <c r="G26" i="3" a="1"/>
  <c r="G26" i="3"/>
  <c r="G27" i="3" a="1"/>
  <c r="G27" i="3" s="1"/>
  <c r="G28" i="3" a="1"/>
  <c r="G28" i="3" s="1"/>
  <c r="G29" i="3" a="1"/>
  <c r="G29" i="3" s="1"/>
  <c r="G30" i="3" a="1"/>
  <c r="G30" i="3"/>
  <c r="G31" i="3" a="1"/>
  <c r="G31" i="3" s="1"/>
  <c r="G32" i="3" a="1"/>
  <c r="G32" i="3" s="1"/>
  <c r="G33" i="3" a="1"/>
  <c r="G33" i="3"/>
  <c r="G2" i="3" a="1"/>
  <c r="G2" i="3" s="1"/>
  <c r="F2" i="3" a="1"/>
  <c r="F2" i="3" s="1"/>
  <c r="F3" i="3" a="1"/>
  <c r="F3" i="3" s="1"/>
  <c r="F4" i="3" a="1"/>
  <c r="F4" i="3" s="1"/>
  <c r="F5" i="3" a="1"/>
  <c r="F5" i="3"/>
  <c r="F6" i="3" a="1"/>
  <c r="F6" i="3" s="1"/>
  <c r="F7" i="3" a="1"/>
  <c r="F7" i="3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/>
  <c r="F17" i="3" a="1"/>
  <c r="F17" i="3" s="1"/>
  <c r="F18" i="3" a="1"/>
  <c r="F18" i="3" s="1"/>
  <c r="F19" i="3" a="1"/>
  <c r="F19" i="3" s="1"/>
  <c r="F20" i="3" a="1"/>
  <c r="F20" i="3"/>
  <c r="F21" i="3" a="1"/>
  <c r="F21" i="3" s="1"/>
  <c r="F22" i="3" a="1"/>
  <c r="F22" i="3" s="1"/>
  <c r="F23" i="3" a="1"/>
  <c r="F23" i="3" s="1"/>
  <c r="F24" i="3" a="1"/>
  <c r="F24" i="3"/>
  <c r="F25" i="3" a="1"/>
  <c r="F25" i="3" s="1"/>
  <c r="F26" i="3" a="1"/>
  <c r="F26" i="3" s="1"/>
  <c r="F27" i="3" a="1"/>
  <c r="F27" i="3" s="1"/>
  <c r="F28" i="3" a="1"/>
  <c r="F28" i="3"/>
  <c r="F29" i="3" a="1"/>
  <c r="F29" i="3"/>
  <c r="F30" i="3" a="1"/>
  <c r="F30" i="3"/>
  <c r="F31" i="3" a="1"/>
  <c r="F31" i="3" s="1"/>
  <c r="F32" i="3" a="1"/>
  <c r="F32" i="3" s="1"/>
  <c r="E2" i="3" a="1"/>
  <c r="E2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/>
  <c r="E4" i="3" a="1"/>
  <c r="E4" i="3" s="1"/>
  <c r="E5" i="3" a="1"/>
  <c r="E5" i="3" s="1"/>
  <c r="E6" i="3" a="1"/>
  <c r="E6" i="3"/>
  <c r="E7" i="3" a="1"/>
  <c r="E7" i="3"/>
  <c r="E8" i="3" a="1"/>
  <c r="E8" i="3" s="1"/>
  <c r="E9" i="3" a="1"/>
  <c r="E9" i="3" s="1"/>
  <c r="E10" i="3" a="1"/>
  <c r="E10" i="3" s="1"/>
  <c r="E11" i="3" a="1"/>
  <c r="E11" i="3"/>
  <c r="E12" i="3" a="1"/>
  <c r="E12" i="3" s="1"/>
  <c r="E13" i="3" a="1"/>
  <c r="E13" i="3" s="1"/>
  <c r="E14" i="3" a="1"/>
  <c r="E14" i="3" s="1"/>
  <c r="E15" i="3" a="1"/>
  <c r="E15" i="3"/>
  <c r="E16" i="3" a="1"/>
  <c r="E16" i="3"/>
  <c r="E17" i="3" a="1"/>
  <c r="E17" i="3" s="1"/>
  <c r="E18" i="3" a="1"/>
  <c r="E18" i="3" s="1"/>
  <c r="E19" i="3" a="1"/>
  <c r="E19" i="3" s="1"/>
  <c r="E20" i="3" a="1"/>
  <c r="E20" i="3" s="1"/>
  <c r="E21" i="3" a="1"/>
  <c r="E21" i="3" s="1"/>
  <c r="E22" i="3" a="1"/>
  <c r="E22" i="3" s="1"/>
  <c r="E23" i="3" a="1"/>
  <c r="E23" i="3" s="1"/>
  <c r="E24" i="3" a="1"/>
  <c r="E24" i="3" s="1"/>
  <c r="E25" i="3" a="1"/>
  <c r="E25" i="3"/>
  <c r="E26" i="3" a="1"/>
  <c r="E26" i="3"/>
  <c r="E27" i="3" a="1"/>
  <c r="E27" i="3" s="1"/>
  <c r="E28" i="3" a="1"/>
  <c r="E28" i="3" s="1"/>
  <c r="E29" i="3" a="1"/>
  <c r="E29" i="3" s="1"/>
  <c r="E30" i="3" a="1"/>
  <c r="E30" i="3" s="1"/>
  <c r="E31" i="3" a="1"/>
  <c r="E31" i="3"/>
  <c r="E32" i="3" a="1"/>
  <c r="E32" i="3" s="1"/>
  <c r="E3" i="3" a="1"/>
  <c r="E3" i="3" s="1"/>
  <c r="H2" i="3" l="1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I23" i="2"/>
  <c r="I24" i="2"/>
  <c r="I25" i="2"/>
  <c r="I26" i="2"/>
  <c r="I27" i="2"/>
  <c r="I22" i="2"/>
  <c r="B22" i="2"/>
  <c r="B23" i="2"/>
  <c r="C23" i="2"/>
  <c r="D23" i="2"/>
  <c r="E23" i="2"/>
  <c r="F23" i="2"/>
  <c r="G23" i="2"/>
  <c r="H23" i="2"/>
  <c r="J23" i="2"/>
  <c r="K23" i="2"/>
  <c r="L23" i="2"/>
  <c r="M23" i="2"/>
  <c r="N23" i="2"/>
  <c r="O23" i="2"/>
  <c r="P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B24" i="2"/>
  <c r="C24" i="2"/>
  <c r="D24" i="2"/>
  <c r="E24" i="2"/>
  <c r="F24" i="2"/>
  <c r="G24" i="2"/>
  <c r="H24" i="2"/>
  <c r="J24" i="2"/>
  <c r="K24" i="2"/>
  <c r="L24" i="2"/>
  <c r="M24" i="2"/>
  <c r="N24" i="2"/>
  <c r="O24" i="2"/>
  <c r="P24" i="2"/>
  <c r="T24" i="2"/>
  <c r="U24" i="2"/>
  <c r="V24" i="2"/>
  <c r="W24" i="2"/>
  <c r="Y24" i="2"/>
  <c r="Z24" i="2"/>
  <c r="AA24" i="2"/>
  <c r="AB24" i="2"/>
  <c r="AC24" i="2"/>
  <c r="AD24" i="2"/>
  <c r="AE24" i="2"/>
  <c r="AF24" i="2"/>
  <c r="AG24" i="2"/>
  <c r="AH24" i="2"/>
  <c r="B25" i="2"/>
  <c r="C25" i="2"/>
  <c r="D25" i="2"/>
  <c r="E25" i="2"/>
  <c r="F25" i="2"/>
  <c r="G25" i="2"/>
  <c r="H25" i="2"/>
  <c r="J25" i="2"/>
  <c r="K25" i="2"/>
  <c r="L25" i="2"/>
  <c r="M25" i="2"/>
  <c r="N25" i="2"/>
  <c r="O25" i="2"/>
  <c r="P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B26" i="2"/>
  <c r="C26" i="2"/>
  <c r="D26" i="2"/>
  <c r="E26" i="2"/>
  <c r="F26" i="2"/>
  <c r="G26" i="2"/>
  <c r="H26" i="2"/>
  <c r="J26" i="2"/>
  <c r="K26" i="2"/>
  <c r="L26" i="2"/>
  <c r="M26" i="2"/>
  <c r="N26" i="2"/>
  <c r="O26" i="2"/>
  <c r="P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B27" i="2"/>
  <c r="C27" i="2"/>
  <c r="D27" i="2"/>
  <c r="E27" i="2"/>
  <c r="F27" i="2"/>
  <c r="G27" i="2"/>
  <c r="H27" i="2"/>
  <c r="J27" i="2"/>
  <c r="K27" i="2"/>
  <c r="L27" i="2"/>
  <c r="M27" i="2"/>
  <c r="N27" i="2"/>
  <c r="O27" i="2"/>
  <c r="P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P22" i="2"/>
  <c r="O22" i="2"/>
  <c r="N22" i="2"/>
  <c r="M22" i="2"/>
  <c r="L22" i="2"/>
  <c r="K22" i="2"/>
  <c r="J22" i="2"/>
  <c r="H22" i="2"/>
  <c r="G22" i="2"/>
  <c r="F22" i="2"/>
  <c r="E22" i="2"/>
  <c r="D22" i="2"/>
  <c r="C22" i="2"/>
  <c r="B6" i="2"/>
  <c r="AE14" i="2"/>
  <c r="AF14" i="2"/>
  <c r="AG14" i="2"/>
  <c r="AH14" i="2"/>
  <c r="AE15" i="2"/>
  <c r="AF15" i="2"/>
  <c r="AG15" i="2"/>
  <c r="AH15" i="2"/>
  <c r="AE16" i="2"/>
  <c r="AF16" i="2"/>
  <c r="AG16" i="2"/>
  <c r="AH16" i="2"/>
  <c r="AE17" i="2"/>
  <c r="AF17" i="2"/>
  <c r="AG17" i="2"/>
  <c r="AH17" i="2"/>
  <c r="AE18" i="2"/>
  <c r="AF18" i="2"/>
  <c r="AG18" i="2"/>
  <c r="AH18" i="2"/>
  <c r="AE19" i="2"/>
  <c r="AF19" i="2"/>
  <c r="AG19" i="2"/>
  <c r="AH19" i="2"/>
  <c r="AD15" i="2"/>
  <c r="AD16" i="2"/>
  <c r="AD17" i="2"/>
  <c r="AD18" i="2"/>
  <c r="AD19" i="2"/>
  <c r="AD14" i="2"/>
  <c r="Z14" i="2"/>
  <c r="AA14" i="2"/>
  <c r="AB14" i="2"/>
  <c r="AC14" i="2"/>
  <c r="Z15" i="2"/>
  <c r="AA15" i="2"/>
  <c r="AB15" i="2"/>
  <c r="AC15" i="2"/>
  <c r="Z16" i="2"/>
  <c r="AA16" i="2"/>
  <c r="AB16" i="2"/>
  <c r="AC16" i="2"/>
  <c r="Z17" i="2"/>
  <c r="AA17" i="2"/>
  <c r="AB17" i="2"/>
  <c r="AC17" i="2"/>
  <c r="Z18" i="2"/>
  <c r="AA18" i="2"/>
  <c r="AB18" i="2"/>
  <c r="AC18" i="2"/>
  <c r="Z19" i="2"/>
  <c r="AA19" i="2"/>
  <c r="AB19" i="2"/>
  <c r="AC19" i="2"/>
  <c r="Y15" i="2"/>
  <c r="Y16" i="2"/>
  <c r="Y17" i="2"/>
  <c r="Y18" i="2"/>
  <c r="Y19" i="2"/>
  <c r="Y14" i="2"/>
  <c r="M14" i="2"/>
  <c r="N14" i="2"/>
  <c r="O14" i="2"/>
  <c r="P14" i="2"/>
  <c r="M15" i="2"/>
  <c r="N15" i="2"/>
  <c r="O15" i="2"/>
  <c r="P15" i="2"/>
  <c r="M16" i="2"/>
  <c r="N16" i="2"/>
  <c r="O16" i="2"/>
  <c r="P16" i="2"/>
  <c r="M17" i="2"/>
  <c r="N17" i="2"/>
  <c r="O17" i="2"/>
  <c r="P17" i="2"/>
  <c r="M18" i="2"/>
  <c r="N18" i="2"/>
  <c r="O18" i="2"/>
  <c r="P18" i="2"/>
  <c r="M19" i="2"/>
  <c r="N19" i="2"/>
  <c r="O19" i="2"/>
  <c r="P19" i="2"/>
  <c r="L15" i="2"/>
  <c r="L16" i="2"/>
  <c r="L17" i="2"/>
  <c r="L18" i="2"/>
  <c r="L19" i="2"/>
  <c r="L14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G15" i="2"/>
  <c r="G16" i="2"/>
  <c r="G17" i="2"/>
  <c r="G18" i="2"/>
  <c r="G19" i="2"/>
  <c r="G14" i="2"/>
  <c r="M6" i="2"/>
  <c r="N6" i="2"/>
  <c r="O6" i="2"/>
  <c r="P6" i="2"/>
  <c r="M7" i="2"/>
  <c r="N7" i="2"/>
  <c r="O7" i="2"/>
  <c r="P7" i="2"/>
  <c r="M8" i="2"/>
  <c r="N8" i="2"/>
  <c r="O8" i="2"/>
  <c r="P8" i="2"/>
  <c r="M9" i="2"/>
  <c r="N9" i="2"/>
  <c r="O9" i="2"/>
  <c r="P9" i="2"/>
  <c r="M10" i="2"/>
  <c r="N10" i="2"/>
  <c r="O10" i="2"/>
  <c r="P10" i="2"/>
  <c r="M11" i="2"/>
  <c r="N11" i="2"/>
  <c r="O11" i="2"/>
  <c r="P11" i="2"/>
  <c r="L7" i="2"/>
  <c r="L8" i="2"/>
  <c r="L9" i="2"/>
  <c r="L10" i="2"/>
  <c r="L11" i="2"/>
  <c r="L6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G7" i="2"/>
  <c r="G8" i="2"/>
  <c r="G9" i="2"/>
  <c r="G10" i="2"/>
  <c r="G11" i="2"/>
  <c r="G6" i="2"/>
  <c r="U14" i="2" l="1"/>
  <c r="V14" i="2"/>
  <c r="W14" i="2"/>
  <c r="X14" i="2"/>
  <c r="U15" i="2"/>
  <c r="V15" i="2"/>
  <c r="W15" i="2"/>
  <c r="X15" i="2"/>
  <c r="U16" i="2"/>
  <c r="V16" i="2"/>
  <c r="W16" i="2"/>
  <c r="X16" i="2"/>
  <c r="U17" i="2"/>
  <c r="V17" i="2"/>
  <c r="W17" i="2"/>
  <c r="X17" i="2"/>
  <c r="U18" i="2"/>
  <c r="V18" i="2"/>
  <c r="W18" i="2"/>
  <c r="X18" i="2"/>
  <c r="U19" i="2"/>
  <c r="V19" i="2"/>
  <c r="X19" i="2"/>
  <c r="T15" i="2"/>
  <c r="T16" i="2"/>
  <c r="T17" i="2"/>
  <c r="T18" i="2"/>
  <c r="T19" i="2"/>
  <c r="T14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F19" i="2"/>
  <c r="B15" i="2"/>
  <c r="B16" i="2"/>
  <c r="B17" i="2"/>
  <c r="B18" i="2"/>
  <c r="B19" i="2"/>
  <c r="B14" i="2"/>
  <c r="E6" i="2" l="1"/>
  <c r="F6" i="2"/>
  <c r="E7" i="2"/>
  <c r="F7" i="2"/>
  <c r="E8" i="2"/>
  <c r="F8" i="2"/>
  <c r="E9" i="2"/>
  <c r="F9" i="2"/>
  <c r="E10" i="2"/>
  <c r="F10" i="2"/>
  <c r="F11" i="2"/>
  <c r="D7" i="2"/>
  <c r="D8" i="2"/>
  <c r="D9" i="2"/>
  <c r="D10" i="2"/>
  <c r="D11" i="2"/>
  <c r="D6" i="2"/>
  <c r="C7" i="2"/>
  <c r="C8" i="2"/>
  <c r="C9" i="2"/>
  <c r="C10" i="2"/>
  <c r="C11" i="2"/>
  <c r="C6" i="2"/>
  <c r="B7" i="2"/>
  <c r="B8" i="2"/>
  <c r="B9" i="2"/>
  <c r="B10" i="2"/>
  <c r="B11" i="2"/>
  <c r="AH59" i="2" l="1"/>
  <c r="AF59" i="2"/>
  <c r="AE59" i="2"/>
  <c r="AD59" i="2"/>
  <c r="AC59" i="2"/>
  <c r="AA59" i="2"/>
  <c r="Z59" i="2"/>
  <c r="Y59" i="2"/>
  <c r="X59" i="2"/>
  <c r="V59" i="2"/>
  <c r="U59" i="2"/>
  <c r="T59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AJ14" i="2"/>
  <c r="AJ6" i="2" l="1"/>
  <c r="AJ54" i="2" l="1"/>
  <c r="AJ45" i="2"/>
  <c r="AJ38" i="2"/>
  <c r="AJ30" i="2"/>
  <c r="AJ22" i="2"/>
  <c r="AJ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<sst xmlns="http://schemas.openxmlformats.org/spreadsheetml/2006/main" count="5330" uniqueCount="402">
  <si>
    <t>月１</t>
    <rPh sb="0" eb="1">
      <t>ゲツ</t>
    </rPh>
    <phoneticPr fontId="1"/>
  </si>
  <si>
    <t>月２</t>
    <rPh sb="0" eb="1">
      <t>ゲツ</t>
    </rPh>
    <phoneticPr fontId="1"/>
  </si>
  <si>
    <t>月３</t>
    <rPh sb="0" eb="1">
      <t>ゲツ</t>
    </rPh>
    <phoneticPr fontId="1"/>
  </si>
  <si>
    <t>月４</t>
    <rPh sb="0" eb="1">
      <t>ゲツ</t>
    </rPh>
    <phoneticPr fontId="1"/>
  </si>
  <si>
    <t>月５</t>
    <rPh sb="0" eb="1">
      <t>ゲツ</t>
    </rPh>
    <phoneticPr fontId="1"/>
  </si>
  <si>
    <t>月６</t>
    <rPh sb="0" eb="1">
      <t>ゲツ</t>
    </rPh>
    <phoneticPr fontId="1"/>
  </si>
  <si>
    <t>火１</t>
    <phoneticPr fontId="1"/>
  </si>
  <si>
    <t>火２</t>
    <phoneticPr fontId="1"/>
  </si>
  <si>
    <t>火３</t>
    <phoneticPr fontId="1"/>
  </si>
  <si>
    <t>火４</t>
    <phoneticPr fontId="1"/>
  </si>
  <si>
    <t>火５</t>
    <phoneticPr fontId="1"/>
  </si>
  <si>
    <t>火６</t>
    <phoneticPr fontId="1"/>
  </si>
  <si>
    <t>水１</t>
    <phoneticPr fontId="1"/>
  </si>
  <si>
    <t>水２</t>
    <phoneticPr fontId="1"/>
  </si>
  <si>
    <t>水３</t>
    <phoneticPr fontId="1"/>
  </si>
  <si>
    <t>水４</t>
    <phoneticPr fontId="1"/>
  </si>
  <si>
    <t>水５</t>
    <phoneticPr fontId="1"/>
  </si>
  <si>
    <t>水６</t>
    <phoneticPr fontId="1"/>
  </si>
  <si>
    <t>木１</t>
    <phoneticPr fontId="1"/>
  </si>
  <si>
    <t>木２</t>
    <phoneticPr fontId="1"/>
  </si>
  <si>
    <t>木３</t>
    <phoneticPr fontId="1"/>
  </si>
  <si>
    <t>木４</t>
    <phoneticPr fontId="1"/>
  </si>
  <si>
    <t>木５</t>
    <phoneticPr fontId="1"/>
  </si>
  <si>
    <t>木６</t>
    <phoneticPr fontId="1"/>
  </si>
  <si>
    <t>金１</t>
    <phoneticPr fontId="1"/>
  </si>
  <si>
    <t>金２</t>
    <phoneticPr fontId="1"/>
  </si>
  <si>
    <t>金３</t>
    <phoneticPr fontId="1"/>
  </si>
  <si>
    <t>金４</t>
    <phoneticPr fontId="1"/>
  </si>
  <si>
    <t>金５</t>
    <phoneticPr fontId="1"/>
  </si>
  <si>
    <t>金６</t>
    <phoneticPr fontId="1"/>
  </si>
  <si>
    <t>月</t>
    <rPh sb="0" eb="1">
      <t>ツキ</t>
    </rPh>
    <phoneticPr fontId="1"/>
  </si>
  <si>
    <t>火</t>
    <rPh sb="0" eb="1">
      <t>ヒ</t>
    </rPh>
    <phoneticPr fontId="1"/>
  </si>
  <si>
    <t>日</t>
    <rPh sb="0" eb="1">
      <t>ヒ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</si>
  <si>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</si>
  <si>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</si>
  <si>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</si>
  <si>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火１</t>
  </si>
  <si>
    <t>火２</t>
  </si>
  <si>
    <t>火３</t>
  </si>
  <si>
    <t>火４</t>
  </si>
  <si>
    <t>火５</t>
  </si>
  <si>
    <t>火６</t>
  </si>
  <si>
    <t>水１</t>
  </si>
  <si>
    <t>水２</t>
  </si>
  <si>
    <t>水３</t>
  </si>
  <si>
    <t>水４</t>
  </si>
  <si>
    <t>水５</t>
  </si>
  <si>
    <t>水６</t>
  </si>
  <si>
    <t>木１</t>
  </si>
  <si>
    <t>木２</t>
  </si>
  <si>
    <t>木３</t>
  </si>
  <si>
    <t>木４</t>
  </si>
  <si>
    <t>木５</t>
  </si>
  <si>
    <t>木６</t>
  </si>
  <si>
    <t>金１</t>
  </si>
  <si>
    <t>金２</t>
  </si>
  <si>
    <t>金３</t>
  </si>
  <si>
    <t>金４</t>
  </si>
  <si>
    <t>金５</t>
  </si>
  <si>
    <t>金６</t>
  </si>
  <si>
    <t>＜1年間　　累計＞</t>
    <rPh sb="2" eb="4">
      <t>ネンカン</t>
    </rPh>
    <rPh sb="6" eb="8">
      <t>ルイケイ</t>
    </rPh>
    <phoneticPr fontId="1"/>
  </si>
  <si>
    <t>入学式</t>
    <rPh sb="0" eb="3">
      <t>ニュウガクシキ</t>
    </rPh>
    <phoneticPr fontId="1"/>
  </si>
  <si>
    <t>修了式</t>
    <rPh sb="0" eb="3">
      <t>シュウリョウシキ</t>
    </rPh>
    <phoneticPr fontId="1"/>
  </si>
  <si>
    <t>定期テスト①</t>
    <rPh sb="0" eb="2">
      <t>テイキ</t>
    </rPh>
    <phoneticPr fontId="1"/>
  </si>
  <si>
    <t>定期テスト②</t>
    <rPh sb="0" eb="2">
      <t>テイキ</t>
    </rPh>
    <phoneticPr fontId="1"/>
  </si>
  <si>
    <t>定期テスト④</t>
    <rPh sb="0" eb="2">
      <t>テイキ</t>
    </rPh>
    <phoneticPr fontId="1"/>
  </si>
  <si>
    <t>12年定期テスト⑤</t>
    <rPh sb="2" eb="3">
      <t>ネン</t>
    </rPh>
    <rPh sb="3" eb="5">
      <t>テイキ</t>
    </rPh>
    <phoneticPr fontId="1"/>
  </si>
  <si>
    <t>定期テスト③</t>
    <rPh sb="0" eb="2">
      <t>テイキ</t>
    </rPh>
    <phoneticPr fontId="1"/>
  </si>
  <si>
    <t>道総学いれるか</t>
    <rPh sb="0" eb="1">
      <t>ドウ</t>
    </rPh>
    <rPh sb="1" eb="2">
      <t>ソウ</t>
    </rPh>
    <rPh sb="2" eb="3">
      <t>ガク</t>
    </rPh>
    <phoneticPr fontId="1"/>
  </si>
  <si>
    <t>教育カレンダー　時間数</t>
    <rPh sb="0" eb="2">
      <t>キョウイク</t>
    </rPh>
    <rPh sb="8" eb="11">
      <t>ジカンスウ</t>
    </rPh>
    <phoneticPr fontId="1"/>
  </si>
  <si>
    <t>１年</t>
    <rPh sb="1" eb="2">
      <t>ネン</t>
    </rPh>
    <phoneticPr fontId="1"/>
  </si>
  <si>
    <t>２年</t>
    <rPh sb="1" eb="2">
      <t>ネン</t>
    </rPh>
    <phoneticPr fontId="1"/>
  </si>
  <si>
    <t>３年</t>
    <rPh sb="1" eb="2">
      <t>ネン</t>
    </rPh>
    <phoneticPr fontId="1"/>
  </si>
  <si>
    <t>＜12月末まで　累計＞</t>
    <rPh sb="3" eb="4">
      <t>ガツ</t>
    </rPh>
    <rPh sb="4" eb="5">
      <t>マツ</t>
    </rPh>
    <rPh sb="8" eb="10">
      <t>ルイケイ</t>
    </rPh>
    <phoneticPr fontId="1"/>
  </si>
  <si>
    <t>式</t>
    <rPh sb="0" eb="1">
      <t>シキ</t>
    </rPh>
    <phoneticPr fontId="1"/>
  </si>
  <si>
    <t>水６</t>
    <rPh sb="0" eb="1">
      <t>スイ</t>
    </rPh>
    <phoneticPr fontId="1"/>
  </si>
  <si>
    <t>集会</t>
    <rPh sb="0" eb="2">
      <t>シュウカイ</t>
    </rPh>
    <phoneticPr fontId="1"/>
  </si>
  <si>
    <t>テ</t>
    <phoneticPr fontId="1"/>
  </si>
  <si>
    <t>2学期終業式</t>
    <rPh sb="1" eb="3">
      <t>ガッキ</t>
    </rPh>
    <rPh sb="3" eb="6">
      <t>シュウギョウシキ</t>
    </rPh>
    <phoneticPr fontId="1"/>
  </si>
  <si>
    <t>写真</t>
    <rPh sb="0" eb="2">
      <t>シャシン</t>
    </rPh>
    <phoneticPr fontId="1"/>
  </si>
  <si>
    <t>月</t>
  </si>
  <si>
    <t>火</t>
  </si>
  <si>
    <t>水</t>
  </si>
  <si>
    <t>木</t>
  </si>
  <si>
    <t>金</t>
  </si>
  <si>
    <t>土</t>
  </si>
  <si>
    <t>日</t>
  </si>
  <si>
    <t>事前指導</t>
    <rPh sb="0" eb="2">
      <t>ジゼン</t>
    </rPh>
    <rPh sb="2" eb="4">
      <t>シドウ</t>
    </rPh>
    <phoneticPr fontId="1"/>
  </si>
  <si>
    <t>金５</t>
    <rPh sb="0" eb="1">
      <t>キン</t>
    </rPh>
    <phoneticPr fontId="1"/>
  </si>
  <si>
    <t>火３</t>
    <rPh sb="0" eb="1">
      <t>ヒ</t>
    </rPh>
    <phoneticPr fontId="1"/>
  </si>
  <si>
    <t>火４</t>
    <rPh sb="0" eb="1">
      <t>ヒ</t>
    </rPh>
    <phoneticPr fontId="1"/>
  </si>
  <si>
    <t>実力テスト</t>
    <rPh sb="0" eb="2">
      <t>ジツリョク</t>
    </rPh>
    <phoneticPr fontId="1"/>
  </si>
  <si>
    <t>火２</t>
    <rPh sb="0" eb="1">
      <t>ヒ</t>
    </rPh>
    <phoneticPr fontId="1"/>
  </si>
  <si>
    <t>木５</t>
    <rPh sb="0" eb="1">
      <t>モク</t>
    </rPh>
    <phoneticPr fontId="1"/>
  </si>
  <si>
    <t>火１</t>
    <rPh sb="0" eb="1">
      <t>ヒ</t>
    </rPh>
    <phoneticPr fontId="1"/>
  </si>
  <si>
    <t>金２</t>
    <rPh sb="0" eb="1">
      <t>キン</t>
    </rPh>
    <phoneticPr fontId="1"/>
  </si>
  <si>
    <t>金４</t>
    <rPh sb="0" eb="1">
      <t>キン</t>
    </rPh>
    <phoneticPr fontId="1"/>
  </si>
  <si>
    <t>金６</t>
    <rPh sb="0" eb="1">
      <t>キン</t>
    </rPh>
    <phoneticPr fontId="1"/>
  </si>
  <si>
    <t>水２</t>
    <rPh sb="0" eb="1">
      <t>スイ</t>
    </rPh>
    <phoneticPr fontId="1"/>
  </si>
  <si>
    <t>水３</t>
    <rPh sb="0" eb="1">
      <t>スイ</t>
    </rPh>
    <phoneticPr fontId="1"/>
  </si>
  <si>
    <t>水４</t>
    <rPh sb="0" eb="1">
      <t>スイ</t>
    </rPh>
    <phoneticPr fontId="1"/>
  </si>
  <si>
    <t>水５</t>
    <rPh sb="0" eb="1">
      <t>スイ</t>
    </rPh>
    <phoneticPr fontId="1"/>
  </si>
  <si>
    <t>木４</t>
    <rPh sb="0" eb="1">
      <t>モク</t>
    </rPh>
    <phoneticPr fontId="1"/>
  </si>
  <si>
    <t>稲武事前指導</t>
    <rPh sb="0" eb="2">
      <t>イナブ</t>
    </rPh>
    <rPh sb="2" eb="4">
      <t>ジゼン</t>
    </rPh>
    <rPh sb="4" eb="6">
      <t>シドウ</t>
    </rPh>
    <phoneticPr fontId="1"/>
  </si>
  <si>
    <t>1年生</t>
    <rPh sb="1" eb="3">
      <t>ネンセイ</t>
    </rPh>
    <phoneticPr fontId="1"/>
  </si>
  <si>
    <t>2年生</t>
    <rPh sb="1" eb="3">
      <t>ネンセイ</t>
    </rPh>
    <phoneticPr fontId="1"/>
  </si>
  <si>
    <t>３年生</t>
    <rPh sb="1" eb="3">
      <t>ネンセイ</t>
    </rPh>
    <phoneticPr fontId="1"/>
  </si>
  <si>
    <t>着任式　始業式</t>
  </si>
  <si>
    <t>入学式　</t>
  </si>
  <si>
    <t>身体測定(1年･IJ)ノー部活デー</t>
  </si>
  <si>
    <t>身体測定(2年)（ランチ４月スタート分〆切）</t>
  </si>
  <si>
    <t/>
  </si>
  <si>
    <t>学級写真撮影　部活紹介　</t>
  </si>
  <si>
    <t xml:space="preserve">身体測定(欠席者)仮時間割　ランチ開始 </t>
  </si>
  <si>
    <t>避難訓練</t>
  </si>
  <si>
    <t>認証式　</t>
  </si>
  <si>
    <t>眼科検診(2･3年午後)</t>
  </si>
  <si>
    <t>稲武野外学習説明会(2年)</t>
  </si>
  <si>
    <t>全国学調(国･数･英3技能･質)</t>
  </si>
  <si>
    <t>眼科検診(IJ･1年･色覚午後)部活動集会</t>
  </si>
  <si>
    <t>授業参観(午前)Ｐ総会・学級懇(午後)</t>
  </si>
  <si>
    <t>内科検診(3年午後)</t>
  </si>
  <si>
    <t>昭和の日</t>
  </si>
  <si>
    <t>⑤全国学調(英話すこと）</t>
  </si>
  <si>
    <t>憲法記念日</t>
  </si>
  <si>
    <t>みどりの日</t>
  </si>
  <si>
    <t>こどもの日</t>
  </si>
  <si>
    <t>日曜日祝日による休業日</t>
  </si>
  <si>
    <t>本時間割新体力テスト準備</t>
  </si>
  <si>
    <t>新体力テスト</t>
  </si>
  <si>
    <t>新体力テスト予備日</t>
  </si>
  <si>
    <t>内科検診(2年午後)</t>
  </si>
  <si>
    <t>①確認テスト</t>
  </si>
  <si>
    <t>①確認テスト内科検診(IJ･1年午後)</t>
  </si>
  <si>
    <t>歯科健診(3年午前)</t>
  </si>
  <si>
    <t>①ＷＥＢＱＵ</t>
  </si>
  <si>
    <t>稲武事前指導(2年)</t>
  </si>
  <si>
    <t>稲武野外学習(2年)</t>
  </si>
  <si>
    <t>稲武野外学習(2年)⑥サイバー犯罪防止講話(1年)</t>
  </si>
  <si>
    <t>道徳</t>
    <rPh sb="0" eb="2">
      <t>ドウトク</t>
    </rPh>
    <phoneticPr fontId="1"/>
  </si>
  <si>
    <t>火６</t>
    <rPh sb="0" eb="1">
      <t>カ</t>
    </rPh>
    <phoneticPr fontId="1"/>
  </si>
  <si>
    <t>総合２３</t>
    <rPh sb="0" eb="2">
      <t>ソウゴウ</t>
    </rPh>
    <phoneticPr fontId="1"/>
  </si>
  <si>
    <t>学活</t>
    <rPh sb="0" eb="2">
      <t>ガッカツ</t>
    </rPh>
    <phoneticPr fontId="1"/>
  </si>
  <si>
    <t>総合</t>
    <rPh sb="0" eb="2">
      <t>ソウゴウ</t>
    </rPh>
    <phoneticPr fontId="1"/>
  </si>
  <si>
    <t>入学式準備</t>
    <rPh sb="0" eb="3">
      <t>ニュウガクシキ</t>
    </rPh>
    <rPh sb="3" eb="5">
      <t>ジュンビ</t>
    </rPh>
    <phoneticPr fontId="1"/>
  </si>
  <si>
    <t>家庭学習</t>
    <rPh sb="0" eb="4">
      <t>カテイガクシュウ</t>
    </rPh>
    <phoneticPr fontId="1"/>
  </si>
  <si>
    <t>生徒会オリ・対面式　身体測定(3年)</t>
    <phoneticPr fontId="1"/>
  </si>
  <si>
    <t>身体測定</t>
    <rPh sb="0" eb="4">
      <t>シンタイソク</t>
    </rPh>
    <phoneticPr fontId="1"/>
  </si>
  <si>
    <t>数テ</t>
    <rPh sb="0" eb="1">
      <t>スウ</t>
    </rPh>
    <phoneticPr fontId="1"/>
  </si>
  <si>
    <t>国テ</t>
    <rPh sb="0" eb="1">
      <t>コク</t>
    </rPh>
    <phoneticPr fontId="1"/>
  </si>
  <si>
    <t>英テ</t>
    <rPh sb="0" eb="1">
      <t>エイ</t>
    </rPh>
    <phoneticPr fontId="1"/>
  </si>
  <si>
    <t>英テ</t>
    <phoneticPr fontId="1"/>
  </si>
  <si>
    <t>部活動</t>
    <rPh sb="0" eb="3">
      <t>ブカツドウ</t>
    </rPh>
    <phoneticPr fontId="1"/>
  </si>
  <si>
    <t>火２</t>
    <rPh sb="0" eb="1">
      <t>カ</t>
    </rPh>
    <phoneticPr fontId="1"/>
  </si>
  <si>
    <t>火３</t>
    <rPh sb="0" eb="1">
      <t>カ</t>
    </rPh>
    <phoneticPr fontId="1"/>
  </si>
  <si>
    <t>火４</t>
    <rPh sb="0" eb="1">
      <t>カ</t>
    </rPh>
    <phoneticPr fontId="1"/>
  </si>
  <si>
    <t>訓練</t>
    <rPh sb="0" eb="2">
      <t>クンレン</t>
    </rPh>
    <phoneticPr fontId="1"/>
  </si>
  <si>
    <t>全</t>
    <rPh sb="0" eb="1">
      <t>ゼン</t>
    </rPh>
    <phoneticPr fontId="1"/>
  </si>
  <si>
    <t>国</t>
    <rPh sb="0" eb="1">
      <t>コク</t>
    </rPh>
    <phoneticPr fontId="1"/>
  </si>
  <si>
    <t>学</t>
    <rPh sb="0" eb="1">
      <t>ガク</t>
    </rPh>
    <phoneticPr fontId="1"/>
  </si>
  <si>
    <t>説明会</t>
    <rPh sb="0" eb="3">
      <t>セツメイカイ</t>
    </rPh>
    <phoneticPr fontId="1"/>
  </si>
  <si>
    <t>学級懇</t>
    <rPh sb="0" eb="2">
      <t>ガッキュウ</t>
    </rPh>
    <rPh sb="2" eb="3">
      <t>コン</t>
    </rPh>
    <phoneticPr fontId="1"/>
  </si>
  <si>
    <t>PTA総会</t>
    <rPh sb="3" eb="5">
      <t>ソウカイ</t>
    </rPh>
    <phoneticPr fontId="1"/>
  </si>
  <si>
    <t>学調</t>
    <rPh sb="0" eb="1">
      <t>ガク</t>
    </rPh>
    <rPh sb="1" eb="2">
      <t>チョウ</t>
    </rPh>
    <phoneticPr fontId="1"/>
  </si>
  <si>
    <t>修学旅行</t>
    <rPh sb="0" eb="4">
      <t>シュウガクリョコウ</t>
    </rPh>
    <phoneticPr fontId="1"/>
  </si>
  <si>
    <t>進路説明会</t>
    <rPh sb="0" eb="5">
      <t>シンロセツメイカイ</t>
    </rPh>
    <phoneticPr fontId="1"/>
  </si>
  <si>
    <t>確テ</t>
    <rPh sb="0" eb="1">
      <t>アキラ</t>
    </rPh>
    <phoneticPr fontId="1"/>
  </si>
  <si>
    <t>稲武1日目</t>
    <rPh sb="0" eb="2">
      <t>イナブ</t>
    </rPh>
    <rPh sb="3" eb="5">
      <t>ニチメ</t>
    </rPh>
    <phoneticPr fontId="1"/>
  </si>
  <si>
    <t>稲武2日目</t>
    <rPh sb="0" eb="2">
      <t>イナブ</t>
    </rPh>
    <rPh sb="3" eb="4">
      <t>ニチ</t>
    </rPh>
    <rPh sb="4" eb="5">
      <t>メ</t>
    </rPh>
    <phoneticPr fontId="1"/>
  </si>
  <si>
    <t>稲武3日目</t>
    <rPh sb="0" eb="2">
      <t>イナブ</t>
    </rPh>
    <rPh sb="3" eb="5">
      <t>ニチメ</t>
    </rPh>
    <phoneticPr fontId="1"/>
  </si>
  <si>
    <t>耳鼻科検診(1年午後)</t>
  </si>
  <si>
    <t>耳鼻科検診(IJ･2･3年抽出午後)</t>
  </si>
  <si>
    <t>歯科健診(1年午前)</t>
  </si>
  <si>
    <t>修学旅行事前指導(3年)心臓検診(1年午前)</t>
  </si>
  <si>
    <t>腎臓検診①</t>
  </si>
  <si>
    <t>教育相談（全学年）</t>
    <phoneticPr fontId="1"/>
  </si>
  <si>
    <t>修学旅行(３年)</t>
    <phoneticPr fontId="1"/>
  </si>
  <si>
    <t>火１</t>
    <rPh sb="0" eb="1">
      <t>カ</t>
    </rPh>
    <phoneticPr fontId="1"/>
  </si>
  <si>
    <t>教育相談（全学年）歯科健診(IJ･2年午前)</t>
    <phoneticPr fontId="1"/>
  </si>
  <si>
    <t>教育相談</t>
    <rPh sb="0" eb="2">
      <t>キョウイク</t>
    </rPh>
    <rPh sb="2" eb="4">
      <t>ソウダン</t>
    </rPh>
    <phoneticPr fontId="1"/>
  </si>
  <si>
    <t>１学期期末テスト</t>
    <rPh sb="1" eb="2">
      <t>ガク</t>
    </rPh>
    <rPh sb="3" eb="5">
      <t>キマツ</t>
    </rPh>
    <phoneticPr fontId="1"/>
  </si>
  <si>
    <t>１学期期末テスト保護者試食会</t>
    <rPh sb="1" eb="3">
      <t>ガッキ</t>
    </rPh>
    <phoneticPr fontId="1"/>
  </si>
  <si>
    <t>＜２期中テまで　累計＞</t>
    <rPh sb="2" eb="3">
      <t>キ</t>
    </rPh>
    <rPh sb="3" eb="4">
      <t>チュウ</t>
    </rPh>
    <rPh sb="8" eb="10">
      <t>ルイケイ</t>
    </rPh>
    <phoneticPr fontId="1"/>
  </si>
  <si>
    <t>＜１期末テまで　累計＞</t>
    <rPh sb="2" eb="4">
      <t>キマツ</t>
    </rPh>
    <rPh sb="8" eb="10">
      <t>ルイケイ</t>
    </rPh>
    <phoneticPr fontId="1"/>
  </si>
  <si>
    <t>＜確認テストまで＞</t>
    <rPh sb="1" eb="3">
      <t>カクニン</t>
    </rPh>
    <phoneticPr fontId="1"/>
  </si>
  <si>
    <t>＜確テ～１期末テ＞</t>
    <rPh sb="1" eb="2">
      <t>カク</t>
    </rPh>
    <rPh sb="5" eb="6">
      <t>キ</t>
    </rPh>
    <rPh sb="6" eb="7">
      <t>スエ</t>
    </rPh>
    <phoneticPr fontId="1"/>
  </si>
  <si>
    <t>＜１期末テ～２期中テ＞</t>
    <rPh sb="2" eb="4">
      <t>キマツ</t>
    </rPh>
    <rPh sb="7" eb="8">
      <t>キ</t>
    </rPh>
    <phoneticPr fontId="1"/>
  </si>
  <si>
    <t>＜２期中テ～２期末テ＞</t>
    <rPh sb="2" eb="3">
      <t>キ</t>
    </rPh>
    <rPh sb="3" eb="4">
      <t>チュウ</t>
    </rPh>
    <rPh sb="7" eb="9">
      <t>キマツ</t>
    </rPh>
    <phoneticPr fontId="1"/>
  </si>
  <si>
    <t>＜２期末テ～12月末＞</t>
    <rPh sb="2" eb="4">
      <t>キマツ</t>
    </rPh>
    <rPh sb="8" eb="9">
      <t>ガツ</t>
    </rPh>
    <rPh sb="9" eb="10">
      <t>マツ</t>
    </rPh>
    <phoneticPr fontId="1"/>
  </si>
  <si>
    <t>＜１２年学年末テスト後＞</t>
    <rPh sb="3" eb="4">
      <t>ネン</t>
    </rPh>
    <rPh sb="4" eb="7">
      <t>ガクネンマツ</t>
    </rPh>
    <rPh sb="10" eb="11">
      <t>ゴ</t>
    </rPh>
    <phoneticPr fontId="1"/>
  </si>
  <si>
    <t>＜1月初め～１２年学年末テ＞</t>
    <rPh sb="2" eb="3">
      <t>ガツ</t>
    </rPh>
    <rPh sb="3" eb="4">
      <t>ハジ</t>
    </rPh>
    <rPh sb="8" eb="9">
      <t>ネン</t>
    </rPh>
    <rPh sb="9" eb="12">
      <t>ガクネンマツ</t>
    </rPh>
    <phoneticPr fontId="1"/>
  </si>
  <si>
    <t>＜２期末テまで　累計＞</t>
    <rPh sb="2" eb="4">
      <t>キマツ</t>
    </rPh>
    <rPh sb="8" eb="10">
      <t>ルイケイ</t>
    </rPh>
    <phoneticPr fontId="1"/>
  </si>
  <si>
    <t>＜１２年学年末テまで　累計＞</t>
    <rPh sb="3" eb="4">
      <t>ネン</t>
    </rPh>
    <rPh sb="4" eb="7">
      <t>ガクネンマツ</t>
    </rPh>
    <rPh sb="11" eb="13">
      <t>ルイケイ</t>
    </rPh>
    <phoneticPr fontId="1"/>
  </si>
  <si>
    <t>腎臓検診②</t>
  </si>
  <si>
    <t>選挙管理委員会</t>
  </si>
  <si>
    <t>大掃除小中努力点交流会</t>
  </si>
  <si>
    <t>終業式</t>
  </si>
  <si>
    <t>ノー部活デー</t>
  </si>
  <si>
    <t>海の日夏季休業開始</t>
  </si>
  <si>
    <t>保護者会（全）・成績一覧表提出</t>
    <phoneticPr fontId="1"/>
  </si>
  <si>
    <t>保護者会（全）・第１回いじめ防対会議</t>
    <phoneticPr fontId="1"/>
  </si>
  <si>
    <t>保護者会（全）・通知表（仮）提出</t>
    <phoneticPr fontId="1"/>
  </si>
  <si>
    <t>保護者会（全）</t>
  </si>
  <si>
    <t>保護者会</t>
    <rPh sb="0" eb="4">
      <t>ホゴシャカイ</t>
    </rPh>
    <phoneticPr fontId="1"/>
  </si>
  <si>
    <t>保護者会</t>
    <rPh sb="0" eb="4">
      <t>ホゴシャ</t>
    </rPh>
    <phoneticPr fontId="1"/>
  </si>
  <si>
    <t>思春期セミナー（3年）</t>
  </si>
  <si>
    <t>立会演説会･選管</t>
  </si>
  <si>
    <t>⑤⑥小中授業交流会</t>
  </si>
  <si>
    <t>敬老の日ノー部活ウィーク</t>
  </si>
  <si>
    <t>│国民の休日│</t>
  </si>
  <si>
    <t>│秋分の日│</t>
  </si>
  <si>
    <t>││</t>
  </si>
  <si>
    <t>││　　　　　専修合同説明会</t>
  </si>
  <si>
    <t>│↓</t>
  </si>
  <si>
    <t>中間テスト｜ノー部活デー</t>
  </si>
  <si>
    <t>｜↓　　　　　専修合同説明会</t>
  </si>
  <si>
    <t>体育大会係生徒打合せ生徒会･体育委員リハ</t>
  </si>
  <si>
    <t>始業式・防災訓練</t>
    <phoneticPr fontId="1"/>
  </si>
  <si>
    <t>⑤⑥修学旅行・進路説明会(3年)部活保護者会</t>
    <phoneticPr fontId="1"/>
  </si>
  <si>
    <t>整理</t>
    <rPh sb="0" eb="2">
      <t>セイリ</t>
    </rPh>
    <phoneticPr fontId="1"/>
  </si>
  <si>
    <t>　　新体力テスト</t>
    <rPh sb="2" eb="5">
      <t>シンタイリョク</t>
    </rPh>
    <phoneticPr fontId="1"/>
  </si>
  <si>
    <t>金４</t>
    <rPh sb="0" eb="1">
      <t>キン</t>
    </rPh>
    <phoneticPr fontId="4"/>
  </si>
  <si>
    <t>木５</t>
    <rPh sb="0" eb="1">
      <t>モク</t>
    </rPh>
    <phoneticPr fontId="4"/>
  </si>
  <si>
    <t>木１</t>
    <rPh sb="0" eb="1">
      <t>モク</t>
    </rPh>
    <phoneticPr fontId="4"/>
  </si>
  <si>
    <t>木２</t>
    <rPh sb="0" eb="1">
      <t>モク</t>
    </rPh>
    <phoneticPr fontId="4"/>
  </si>
  <si>
    <t>木３</t>
    <rPh sb="0" eb="1">
      <t>モク</t>
    </rPh>
    <phoneticPr fontId="4"/>
  </si>
  <si>
    <t>金１</t>
    <rPh sb="0" eb="1">
      <t>キン</t>
    </rPh>
    <phoneticPr fontId="4"/>
  </si>
  <si>
    <t xml:space="preserve">　 </t>
    <phoneticPr fontId="1"/>
  </si>
  <si>
    <t>大掃除</t>
    <rPh sb="0" eb="3">
      <t>オオソウジ</t>
    </rPh>
    <phoneticPr fontId="1"/>
  </si>
  <si>
    <t>火５</t>
    <rPh sb="0" eb="1">
      <t>カ</t>
    </rPh>
    <phoneticPr fontId="1"/>
  </si>
  <si>
    <t>　総　合　練　習</t>
    <rPh sb="1" eb="2">
      <t>ソウ</t>
    </rPh>
    <rPh sb="3" eb="4">
      <t>ゴウ</t>
    </rPh>
    <rPh sb="5" eb="6">
      <t>ネリ</t>
    </rPh>
    <rPh sb="7" eb="8">
      <t>シュウ</t>
    </rPh>
    <phoneticPr fontId="1"/>
  </si>
  <si>
    <t>　　体　育　大　会　</t>
    <rPh sb="2" eb="3">
      <t>カラダ</t>
    </rPh>
    <rPh sb="4" eb="5">
      <t>イク</t>
    </rPh>
    <rPh sb="6" eb="7">
      <t>ダイ</t>
    </rPh>
    <rPh sb="8" eb="9">
      <t>カイ</t>
    </rPh>
    <phoneticPr fontId="1"/>
  </si>
  <si>
    <t>定</t>
    <rPh sb="0" eb="1">
      <t>サダム</t>
    </rPh>
    <phoneticPr fontId="9"/>
  </si>
  <si>
    <t>ノー部活デー</t>
    <rPh sb="2" eb="4">
      <t>ブカツ</t>
    </rPh>
    <phoneticPr fontId="9"/>
  </si>
  <si>
    <t>委</t>
    <rPh sb="0" eb="1">
      <t>イ</t>
    </rPh>
    <phoneticPr fontId="9"/>
  </si>
  <si>
    <t>貼り付け用データ</t>
    <rPh sb="0" eb="1">
      <t>ハ</t>
    </rPh>
    <rPh sb="2" eb="3">
      <t>ツ</t>
    </rPh>
    <rPh sb="4" eb="5">
      <t>ヨウ</t>
    </rPh>
    <phoneticPr fontId="1"/>
  </si>
  <si>
    <t>1行目</t>
    <rPh sb="1" eb="3">
      <t>ギョウメ</t>
    </rPh>
    <phoneticPr fontId="1"/>
  </si>
  <si>
    <t>会議</t>
    <rPh sb="0" eb="2">
      <t>カイギ</t>
    </rPh>
    <phoneticPr fontId="1"/>
  </si>
  <si>
    <t>避難訓練 進2</t>
  </si>
  <si>
    <t xml:space="preserve"> 進路説明会(3年)(午後)議</t>
  </si>
  <si>
    <t>体育大会総合練習・学9</t>
  </si>
  <si>
    <t xml:space="preserve"> </t>
  </si>
  <si>
    <t xml:space="preserve">体育大会総合練習予備日 </t>
  </si>
  <si>
    <t xml:space="preserve">体育大会準備 </t>
  </si>
  <si>
    <t>体育大会 ノー部活デー・定</t>
  </si>
  <si>
    <t xml:space="preserve">体育大会予備日 </t>
  </si>
  <si>
    <t xml:space="preserve">スポーツの日 </t>
  </si>
  <si>
    <t xml:space="preserve"> ・▼実力テスト②(3年)</t>
  </si>
  <si>
    <t xml:space="preserve">ノー部活デー </t>
  </si>
  <si>
    <t xml:space="preserve"> ・委</t>
  </si>
  <si>
    <t xml:space="preserve">授業参観(午前) </t>
  </si>
  <si>
    <t xml:space="preserve"> ・教支</t>
  </si>
  <si>
    <t xml:space="preserve">文化の日 </t>
  </si>
  <si>
    <t xml:space="preserve">文化祭(音楽発表会)準備 </t>
  </si>
  <si>
    <t xml:space="preserve">文化祭（音楽発表会） </t>
  </si>
  <si>
    <t>歯科指導(1年) ・集</t>
  </si>
  <si>
    <t xml:space="preserve">保護者会(3年)
教育相談(1・2年)
│ノー部活ウィーク </t>
  </si>
  <si>
    <t>││ ││</t>
  </si>
  <si>
    <t>││ ↓↓</t>
  </si>
  <si>
    <t>期末テスト  ｜入学説明会</t>
  </si>
  <si>
    <t>｜ ↓</t>
  </si>
  <si>
    <t xml:space="preserve"> ・進3</t>
  </si>
  <si>
    <t xml:space="preserve">勤労感謝の日 </t>
  </si>
  <si>
    <t xml:space="preserve"> ・学10</t>
  </si>
  <si>
    <t xml:space="preserve"> （栄養教員新採研）・3年成績一覧表提出</t>
  </si>
  <si>
    <t>ノー部活デー ・職9</t>
  </si>
  <si>
    <t xml:space="preserve">県民の日学校ホリデー </t>
  </si>
  <si>
    <t xml:space="preserve"> 集</t>
  </si>
  <si>
    <t>保護者会(全) ｜　　1･2年成績一覧表提出</t>
  </si>
  <si>
    <t>｜ ｜　  第２回いじめ防対会議</t>
  </si>
  <si>
    <t>｜ ｜</t>
  </si>
  <si>
    <t>｜ ↓　　　　　　通知表(仮)提出</t>
  </si>
  <si>
    <t xml:space="preserve"> 議</t>
  </si>
  <si>
    <t xml:space="preserve"> ・進4</t>
  </si>
  <si>
    <t xml:space="preserve"> ・4</t>
  </si>
  <si>
    <t xml:space="preserve"> 運10</t>
  </si>
  <si>
    <t xml:space="preserve">大掃除 </t>
  </si>
  <si>
    <t>終業式 ・定</t>
  </si>
  <si>
    <t xml:space="preserve">冬季休業開始 </t>
  </si>
  <si>
    <t>ノー部活ウィーク ｜</t>
  </si>
  <si>
    <t>元日ノー部活ウィーク</t>
  </si>
  <si>
    <t>始業式　　　　　 ノー部活デー卒認</t>
  </si>
  <si>
    <t xml:space="preserve"> ・学11</t>
  </si>
  <si>
    <t>成人の日 ノー部活デー</t>
  </si>
  <si>
    <t>保護者会(3年) │</t>
  </si>
  <si>
    <t>｜ ｜【私立専修推薦･特色入試】</t>
  </si>
  <si>
    <t>｜　　 ↓　　・委</t>
  </si>
  <si>
    <t xml:space="preserve"> 進5</t>
  </si>
  <si>
    <t>職場体験（2年） 【私立専修一般入試】・定</t>
  </si>
  <si>
    <t>職場訪問(1年)・職場体験（2年） 【私立専修一般入試】</t>
  </si>
  <si>
    <t xml:space="preserve"> 【私立専修一般入試】</t>
  </si>
  <si>
    <t xml:space="preserve"> 【通信制前期入試】</t>
  </si>
  <si>
    <t xml:space="preserve"> ・▼実力テスト④(3年)</t>
  </si>
  <si>
    <t xml:space="preserve"> 【守山高等部産業科・
　若宮高等支援学校入学者選考】・議</t>
  </si>
  <si>
    <t>選挙管理委員会 【通信制前期合格発表】</t>
  </si>
  <si>
    <t xml:space="preserve"> ・部反①</t>
  </si>
  <si>
    <t>集部反②</t>
  </si>
  <si>
    <t>ノー部活ウィーク │・▼評</t>
  </si>
  <si>
    <t>│ │　　 　　　第２回NCS会議</t>
  </si>
  <si>
    <t>│ │【公立推薦･特色入試】</t>
  </si>
  <si>
    <t>│ │</t>
  </si>
  <si>
    <t>│ ↓【公立推薦･特色合格発表】・学保</t>
  </si>
  <si>
    <t>│建国記念の日 │</t>
  </si>
  <si>
    <t xml:space="preserve"> ・3年成績一覧表提出</t>
  </si>
  <si>
    <t xml:space="preserve"> 教</t>
  </si>
  <si>
    <t xml:space="preserve">天皇誕生日 </t>
  </si>
  <si>
    <t>3送会リハ① 【公立一般Ｂ面接】</t>
  </si>
  <si>
    <t>３　月</t>
    <phoneticPr fontId="9"/>
  </si>
  <si>
    <t>3送会準備・リハ②</t>
  </si>
  <si>
    <t>3年生を送る会</t>
    <rPh sb="1" eb="3">
      <t>ネンセイ</t>
    </rPh>
    <rPh sb="4" eb="5">
      <t>オク</t>
    </rPh>
    <rPh sb="6" eb="7">
      <t>カイ</t>
    </rPh>
    <phoneticPr fontId="9"/>
  </si>
  <si>
    <t>卒業式準備</t>
    <rPh sb="0" eb="3">
      <t>ソツギョウシキ</t>
    </rPh>
    <rPh sb="3" eb="5">
      <t>ジュンビ</t>
    </rPh>
    <phoneticPr fontId="9"/>
  </si>
  <si>
    <t>卒業式</t>
    <rPh sb="0" eb="3">
      <t>ソツギョウシキ</t>
    </rPh>
    <phoneticPr fontId="9"/>
  </si>
  <si>
    <t>1･2年成績一覧表提出</t>
    <rPh sb="3" eb="4">
      <t>ネン</t>
    </rPh>
    <rPh sb="4" eb="6">
      <t>セイセキ</t>
    </rPh>
    <rPh sb="6" eb="9">
      <t>イチランヒョウ</t>
    </rPh>
    <rPh sb="9" eb="11">
      <t>テイシュツ</t>
    </rPh>
    <phoneticPr fontId="9"/>
  </si>
  <si>
    <t>進認</t>
    <rPh sb="0" eb="1">
      <t>ススム</t>
    </rPh>
    <rPh sb="1" eb="2">
      <t>ニン</t>
    </rPh>
    <phoneticPr fontId="9"/>
  </si>
  <si>
    <t>【公立一般合格発表】</t>
    <phoneticPr fontId="9"/>
  </si>
  <si>
    <t>職11</t>
    <rPh sb="0" eb="1">
      <t>ショク</t>
    </rPh>
    <phoneticPr fontId="9"/>
  </si>
  <si>
    <t>選挙管理委員会
　　　▼小中連絡会(汐路)</t>
    <phoneticPr fontId="9"/>
  </si>
  <si>
    <t>1･2年通知表（本）提出</t>
    <phoneticPr fontId="9"/>
  </si>
  <si>
    <t>▼小中連絡会(陽明)</t>
  </si>
  <si>
    <t>学年保護者会(2年)</t>
    <rPh sb="0" eb="5">
      <t>ガクネンホゴシャ</t>
    </rPh>
    <rPh sb="5" eb="6">
      <t>カイ</t>
    </rPh>
    <rPh sb="8" eb="9">
      <t>ネン</t>
    </rPh>
    <phoneticPr fontId="9"/>
  </si>
  <si>
    <t>立候補者連絡会</t>
  </si>
  <si>
    <t>編1</t>
    <rPh sb="0" eb="1">
      <t>ヘン</t>
    </rPh>
    <phoneticPr fontId="9"/>
  </si>
  <si>
    <t>立会演説会・選管</t>
    <rPh sb="0" eb="5">
      <t>タチアイエンゼツカイ</t>
    </rPh>
    <rPh sb="6" eb="8">
      <t>センカン</t>
    </rPh>
    <phoneticPr fontId="9"/>
  </si>
  <si>
    <t>1･2年通知表（本）提出</t>
    <rPh sb="3" eb="4">
      <t>ネン</t>
    </rPh>
    <rPh sb="4" eb="7">
      <t>ツウチヒョウ</t>
    </rPh>
    <rPh sb="8" eb="9">
      <t>ホン</t>
    </rPh>
    <rPh sb="10" eb="12">
      <t>テイシュツ</t>
    </rPh>
    <phoneticPr fontId="9"/>
  </si>
  <si>
    <t>R7生徒会オリ(リハ)</t>
    <phoneticPr fontId="9"/>
  </si>
  <si>
    <t>【全日制･定時制２次選抜】</t>
    <rPh sb="1" eb="4">
      <t>ゼンニチセイ</t>
    </rPh>
    <rPh sb="10" eb="12">
      <t>センバツ</t>
    </rPh>
    <phoneticPr fontId="9"/>
  </si>
  <si>
    <t>【全日制･定時制２次合格発表】</t>
    <rPh sb="1" eb="4">
      <t>ゼンニチセイ</t>
    </rPh>
    <rPh sb="10" eb="14">
      <t>ゴウカクハッピョウ</t>
    </rPh>
    <phoneticPr fontId="9"/>
  </si>
  <si>
    <t>編2</t>
    <rPh sb="0" eb="1">
      <t>ヘン</t>
    </rPh>
    <phoneticPr fontId="9"/>
  </si>
  <si>
    <t>(小学校卒業式)</t>
    <rPh sb="1" eb="4">
      <t>ショウガッコウ</t>
    </rPh>
    <rPh sb="4" eb="7">
      <t>ソツギョウシキ</t>
    </rPh>
    <phoneticPr fontId="9"/>
  </si>
  <si>
    <t>採</t>
    <rPh sb="0" eb="1">
      <t>サイ</t>
    </rPh>
    <phoneticPr fontId="9"/>
  </si>
  <si>
    <t>春分の日</t>
    <rPh sb="0" eb="2">
      <t>シュンブン</t>
    </rPh>
    <rPh sb="3" eb="4">
      <t>ヒ</t>
    </rPh>
    <phoneticPr fontId="9"/>
  </si>
  <si>
    <t>大掃除</t>
  </si>
  <si>
    <t>【通信制後期入試】</t>
  </si>
  <si>
    <t>修了式・離任式</t>
    <rPh sb="0" eb="3">
      <t>シュウリョウシキ</t>
    </rPh>
    <rPh sb="4" eb="7">
      <t>リニンシキ</t>
    </rPh>
    <phoneticPr fontId="9"/>
  </si>
  <si>
    <t>【通信制後期合格発表】</t>
    <rPh sb="4" eb="6">
      <t>コウキ</t>
    </rPh>
    <phoneticPr fontId="9"/>
  </si>
  <si>
    <t>学年末休業開始</t>
    <rPh sb="0" eb="2">
      <t>ガクネン</t>
    </rPh>
    <rPh sb="2" eb="3">
      <t>マツ</t>
    </rPh>
    <rPh sb="3" eb="5">
      <t>キュウギョウ</t>
    </rPh>
    <rPh sb="5" eb="7">
      <t>カイシ</t>
    </rPh>
    <phoneticPr fontId="9"/>
  </si>
  <si>
    <t>旧運</t>
    <rPh sb="0" eb="1">
      <t>キュウ</t>
    </rPh>
    <rPh sb="1" eb="2">
      <t>ウン</t>
    </rPh>
    <phoneticPr fontId="9"/>
  </si>
  <si>
    <t xml:space="preserve">3年生を送る会 </t>
  </si>
  <si>
    <t xml:space="preserve">卒業式準備 </t>
  </si>
  <si>
    <t>卒業式 ・定1･2年成績一覧表提出</t>
  </si>
  <si>
    <t xml:space="preserve"> 【公立一般合格発表】進認職11</t>
  </si>
  <si>
    <t>選挙管理委員会
　　　▼小中連絡会(汐路) 1･2年通知表（本）提出</t>
  </si>
  <si>
    <t xml:space="preserve"> ・編1</t>
  </si>
  <si>
    <t>立会演説会・選管 ・1･2年通知表（本）提出</t>
  </si>
  <si>
    <t>R7生徒会オリ(リハ) 【全日制･定時制２次選抜】</t>
  </si>
  <si>
    <t xml:space="preserve"> 【全日制･定時制２次合格発表】</t>
  </si>
  <si>
    <t xml:space="preserve"> (小学校卒業式)・編2</t>
  </si>
  <si>
    <t xml:space="preserve"> ・採</t>
  </si>
  <si>
    <t xml:space="preserve">春分の日 </t>
  </si>
  <si>
    <t xml:space="preserve">日曜日祝日による休業日 </t>
  </si>
  <si>
    <t>大掃除 【通信制後期入試】</t>
  </si>
  <si>
    <t>修了式・離任式 【通信制後期合格発表】</t>
  </si>
  <si>
    <t xml:space="preserve">学年末休業開始 </t>
  </si>
  <si>
    <t xml:space="preserve"> ・旧運</t>
  </si>
  <si>
    <t>　実　力　テ　ス　ト</t>
    <rPh sb="1" eb="2">
      <t>ジツ</t>
    </rPh>
    <rPh sb="3" eb="4">
      <t>チカラ</t>
    </rPh>
    <phoneticPr fontId="1"/>
  </si>
  <si>
    <t>認証式⑥ＷＥＢＱＵ ・集</t>
    <phoneticPr fontId="1"/>
  </si>
  <si>
    <t>合唱</t>
    <rPh sb="0" eb="2">
      <t>ガッショウ</t>
    </rPh>
    <phoneticPr fontId="1"/>
  </si>
  <si>
    <t>掃除</t>
    <rPh sb="0" eb="2">
      <t>ソウジ</t>
    </rPh>
    <phoneticPr fontId="1"/>
  </si>
  <si>
    <t>　　　職　場　体　験</t>
    <rPh sb="3" eb="4">
      <t>ショク</t>
    </rPh>
    <rPh sb="5" eb="6">
      <t>バ</t>
    </rPh>
    <rPh sb="7" eb="8">
      <t>カラダ</t>
    </rPh>
    <rPh sb="9" eb="10">
      <t>ゲン</t>
    </rPh>
    <phoneticPr fontId="1"/>
  </si>
  <si>
    <t>生徒議会</t>
    <rPh sb="0" eb="2">
      <t>セイト</t>
    </rPh>
    <rPh sb="2" eb="4">
      <t>ギカイ</t>
    </rPh>
    <phoneticPr fontId="1"/>
  </si>
  <si>
    <t>学年末テスト</t>
    <rPh sb="0" eb="3">
      <t>ガクネンマツ</t>
    </rPh>
    <phoneticPr fontId="1"/>
  </si>
  <si>
    <t xml:space="preserve"> 学年末テスト・学123年通知表(仮)提出</t>
    <phoneticPr fontId="1"/>
  </si>
  <si>
    <t xml:space="preserve"> 送る会</t>
    <rPh sb="1" eb="2">
      <t>オク</t>
    </rPh>
    <rPh sb="3" eb="4">
      <t>カイ</t>
    </rPh>
    <phoneticPr fontId="1"/>
  </si>
  <si>
    <t>　準備</t>
    <rPh sb="1" eb="3">
      <t>ジュンビ</t>
    </rPh>
    <phoneticPr fontId="1"/>
  </si>
  <si>
    <t>練習</t>
    <rPh sb="0" eb="2">
      <t>レンシュウ</t>
    </rPh>
    <phoneticPr fontId="1"/>
  </si>
  <si>
    <t xml:space="preserve"> 合同練習</t>
    <rPh sb="1" eb="5">
      <t>ゴウドウレンシュウ</t>
    </rPh>
    <phoneticPr fontId="1"/>
  </si>
  <si>
    <t>練１</t>
    <rPh sb="0" eb="1">
      <t>ネリ</t>
    </rPh>
    <phoneticPr fontId="1"/>
  </si>
  <si>
    <t>練２</t>
    <rPh sb="0" eb="1">
      <t>レン</t>
    </rPh>
    <phoneticPr fontId="1"/>
  </si>
  <si>
    <t>練３</t>
    <rPh sb="0" eb="1">
      <t>レン</t>
    </rPh>
    <phoneticPr fontId="1"/>
  </si>
  <si>
    <t>練４</t>
    <rPh sb="0" eb="1">
      <t>レン</t>
    </rPh>
    <phoneticPr fontId="1"/>
  </si>
  <si>
    <t>水６</t>
    <rPh sb="0" eb="2">
      <t>スイ</t>
    </rPh>
    <phoneticPr fontId="1"/>
  </si>
  <si>
    <t>　家 庭 学 習 日</t>
    <rPh sb="1" eb="2">
      <t>イエ</t>
    </rPh>
    <rPh sb="3" eb="4">
      <t>ニワ</t>
    </rPh>
    <rPh sb="5" eb="6">
      <t>ガク</t>
    </rPh>
    <rPh sb="7" eb="8">
      <t>シュウ</t>
    </rPh>
    <rPh sb="9" eb="10">
      <t>ヒ</t>
    </rPh>
    <phoneticPr fontId="1"/>
  </si>
  <si>
    <t>　　卒　業　式</t>
    <rPh sb="2" eb="3">
      <t>ソツ</t>
    </rPh>
    <rPh sb="4" eb="5">
      <t>ゴウ</t>
    </rPh>
    <rPh sb="6" eb="7">
      <t>シキ</t>
    </rPh>
    <phoneticPr fontId="1"/>
  </si>
  <si>
    <t>演説</t>
    <rPh sb="0" eb="2">
      <t>エンゼツ</t>
    </rPh>
    <phoneticPr fontId="1"/>
  </si>
  <si>
    <t>火</t>
    <phoneticPr fontId="1"/>
  </si>
  <si>
    <t>水</t>
    <phoneticPr fontId="1"/>
  </si>
  <si>
    <t xml:space="preserve"> 説明会</t>
    <rPh sb="1" eb="4">
      <t>セツメイカイ</t>
    </rPh>
    <phoneticPr fontId="1"/>
  </si>
  <si>
    <t>木２</t>
    <rPh sb="0" eb="1">
      <t>モク</t>
    </rPh>
    <phoneticPr fontId="1"/>
  </si>
  <si>
    <t>木３</t>
    <rPh sb="0" eb="1">
      <t>モク</t>
    </rPh>
    <phoneticPr fontId="1"/>
  </si>
  <si>
    <t xml:space="preserve"> 【公立一般Ａ面接】
　　　　3年通知表(本)提出・運11</t>
    <phoneticPr fontId="1"/>
  </si>
  <si>
    <t>保護</t>
    <rPh sb="0" eb="2">
      <t>ホゴ</t>
    </rPh>
    <phoneticPr fontId="1"/>
  </si>
  <si>
    <t xml:space="preserve"> 学年保護者会(1年)【公立一般学力検査】</t>
    <phoneticPr fontId="1"/>
  </si>
  <si>
    <t>立候補者連絡会・委</t>
    <phoneticPr fontId="1"/>
  </si>
  <si>
    <t xml:space="preserve"> 学年保護者会(2年) ・▼小中連絡会(陽明)</t>
    <phoneticPr fontId="1"/>
  </si>
  <si>
    <t>　 音 楽 発 表 会</t>
    <rPh sb="2" eb="3">
      <t>オト</t>
    </rPh>
    <rPh sb="4" eb="5">
      <t>ラク</t>
    </rPh>
    <rPh sb="6" eb="7">
      <t>ハッ</t>
    </rPh>
    <rPh sb="8" eb="9">
      <t>オモテ</t>
    </rPh>
    <rPh sb="10" eb="11">
      <t>カイ</t>
    </rPh>
    <phoneticPr fontId="1"/>
  </si>
  <si>
    <t>金６</t>
    <rPh sb="0" eb="1">
      <t>キン</t>
    </rPh>
    <phoneticPr fontId="4"/>
  </si>
  <si>
    <t>水１</t>
    <rPh sb="0" eb="1">
      <t>スイ</t>
    </rPh>
    <phoneticPr fontId="1"/>
  </si>
  <si>
    <t>金１</t>
    <rPh sb="0" eb="1">
      <t>キン</t>
    </rPh>
    <phoneticPr fontId="1"/>
  </si>
  <si>
    <t>金３</t>
    <rPh sb="0" eb="1">
      <t>キン</t>
    </rPh>
    <phoneticPr fontId="1"/>
  </si>
  <si>
    <t>木１</t>
    <rPh sb="0" eb="1">
      <t>モク</t>
    </rPh>
    <phoneticPr fontId="1"/>
  </si>
  <si>
    <t>金３</t>
    <phoneticPr fontId="4"/>
  </si>
  <si>
    <t>金6</t>
    <rPh sb="0" eb="1">
      <t>キン</t>
    </rPh>
    <phoneticPr fontId="1"/>
  </si>
  <si>
    <t>火6</t>
    <rPh sb="0" eb="1">
      <t>カ</t>
    </rPh>
    <phoneticPr fontId="1"/>
  </si>
  <si>
    <t>月６</t>
    <rPh sb="0" eb="1">
      <t>ガツ</t>
    </rPh>
    <phoneticPr fontId="1"/>
  </si>
  <si>
    <t>台風でなし（水３水４）</t>
    <rPh sb="0" eb="2">
      <t>タイフウ</t>
    </rPh>
    <rPh sb="6" eb="7">
      <t>スイ</t>
    </rPh>
    <rPh sb="8" eb="9">
      <t>スイ</t>
    </rPh>
    <phoneticPr fontId="1"/>
  </si>
  <si>
    <t>聖火</t>
    <rPh sb="0" eb="2">
      <t>セイカ</t>
    </rPh>
    <phoneticPr fontId="1"/>
  </si>
  <si>
    <t>学校聖火リレー</t>
    <rPh sb="0" eb="2">
      <t>ガッコウ</t>
    </rPh>
    <rPh sb="2" eb="4">
      <t>セイカ</t>
    </rPh>
    <phoneticPr fontId="1"/>
  </si>
  <si>
    <t>アジパラ観戦</t>
    <rPh sb="4" eb="6">
      <t>カンセン</t>
    </rPh>
    <phoneticPr fontId="1"/>
  </si>
  <si>
    <t>パラスポ</t>
    <phoneticPr fontId="1"/>
  </si>
  <si>
    <t>実テ</t>
    <rPh sb="0" eb="1">
      <t>ミノル</t>
    </rPh>
    <phoneticPr fontId="1"/>
  </si>
  <si>
    <t>未来マップ</t>
  </si>
  <si>
    <t>未来マップ</t>
    <rPh sb="0" eb="2">
      <t>ミライ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</si>
</sst>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name val="Arial"/>
      <family val="2"/>
    </font>
    <font>
      <b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rgb="FF0070C0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UD デジタル 教科書体 NK"/>
      <family val="1"/>
      <charset val="128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3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 shrinkToFi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56" fontId="5" fillId="2" borderId="6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shrinkToFit="1"/>
    </xf>
    <xf numFmtId="0" fontId="5" fillId="3" borderId="0" xfId="0" applyFont="1" applyFill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left" vertical="center"/>
    </xf>
    <xf numFmtId="0" fontId="4" fillId="3" borderId="30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5" fillId="3" borderId="24" xfId="0" applyFont="1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>
      <alignment vertical="center"/>
    </xf>
    <xf numFmtId="0" fontId="0" fillId="0" borderId="14" xfId="0" applyBorder="1">
      <alignment vertical="center"/>
    </xf>
    <xf numFmtId="0" fontId="0" fillId="0" borderId="45" xfId="0" applyBorder="1">
      <alignment vertical="center"/>
    </xf>
    <xf numFmtId="0" fontId="0" fillId="0" borderId="18" xfId="0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1" fontId="8" fillId="0" borderId="32" xfId="1" applyNumberFormat="1" applyFont="1" applyBorder="1" applyAlignment="1">
      <alignment vertical="center"/>
    </xf>
    <xf numFmtId="1" fontId="8" fillId="0" borderId="48" xfId="1" applyNumberFormat="1" applyFont="1" applyBorder="1" applyAlignment="1">
      <alignment horizontal="center" vertical="center"/>
    </xf>
    <xf numFmtId="1" fontId="11" fillId="7" borderId="49" xfId="1" applyNumberFormat="1" applyFont="1" applyFill="1" applyBorder="1" applyAlignment="1">
      <alignment vertical="center"/>
    </xf>
    <xf numFmtId="1" fontId="11" fillId="0" borderId="46" xfId="1" applyNumberFormat="1" applyFont="1" applyBorder="1" applyAlignment="1">
      <alignment horizontal="justify" vertical="center"/>
    </xf>
    <xf numFmtId="1" fontId="11" fillId="0" borderId="49" xfId="1" applyNumberFormat="1" applyFont="1" applyBorder="1" applyAlignment="1">
      <alignment vertical="center"/>
    </xf>
    <xf numFmtId="1" fontId="12" fillId="0" borderId="50" xfId="1" applyNumberFormat="1" applyFont="1" applyBorder="1" applyAlignment="1">
      <alignment horizontal="center" vertical="center"/>
    </xf>
    <xf numFmtId="1" fontId="11" fillId="0" borderId="46" xfId="1" applyNumberFormat="1" applyFont="1" applyBorder="1" applyAlignment="1">
      <alignment vertical="center"/>
    </xf>
    <xf numFmtId="1" fontId="12" fillId="0" borderId="52" xfId="1" applyNumberFormat="1" applyFont="1" applyBorder="1" applyAlignment="1">
      <alignment horizontal="center" vertical="center"/>
    </xf>
    <xf numFmtId="1" fontId="11" fillId="0" borderId="51" xfId="1" applyNumberFormat="1" applyFont="1" applyBorder="1" applyAlignment="1">
      <alignment vertical="center"/>
    </xf>
    <xf numFmtId="1" fontId="12" fillId="7" borderId="49" xfId="1" applyNumberFormat="1" applyFont="1" applyFill="1" applyBorder="1" applyAlignment="1">
      <alignment vertical="center"/>
    </xf>
    <xf numFmtId="1" fontId="12" fillId="7" borderId="46" xfId="1" applyNumberFormat="1" applyFont="1" applyFill="1" applyBorder="1" applyAlignment="1">
      <alignment horizontal="justify" vertical="center"/>
    </xf>
    <xf numFmtId="1" fontId="11" fillId="0" borderId="53" xfId="1" applyNumberFormat="1" applyFont="1" applyBorder="1" applyAlignment="1">
      <alignment vertical="center"/>
    </xf>
    <xf numFmtId="1" fontId="13" fillId="0" borderId="49" xfId="1" applyNumberFormat="1" applyFont="1" applyBorder="1" applyAlignment="1">
      <alignment vertical="center"/>
    </xf>
    <xf numFmtId="1" fontId="0" fillId="0" borderId="0" xfId="0" applyNumberFormat="1">
      <alignment vertical="center"/>
    </xf>
    <xf numFmtId="1" fontId="8" fillId="0" borderId="55" xfId="1" applyNumberFormat="1" applyFont="1" applyBorder="1" applyAlignment="1">
      <alignment horizontal="center" vertical="center"/>
    </xf>
    <xf numFmtId="1" fontId="10" fillId="7" borderId="56" xfId="1" applyNumberFormat="1" applyFont="1" applyFill="1" applyBorder="1" applyAlignment="1">
      <alignment horizontal="center" vertical="center"/>
    </xf>
    <xf numFmtId="1" fontId="10" fillId="0" borderId="57" xfId="1" applyNumberFormat="1" applyFont="1" applyBorder="1" applyAlignment="1">
      <alignment horizontal="center" vertical="center"/>
    </xf>
    <xf numFmtId="1" fontId="12" fillId="0" borderId="46" xfId="1" applyNumberFormat="1" applyFont="1" applyBorder="1" applyAlignment="1">
      <alignment vertical="center"/>
    </xf>
    <xf numFmtId="1" fontId="10" fillId="0" borderId="56" xfId="1" applyNumberFormat="1" applyFont="1" applyBorder="1" applyAlignment="1">
      <alignment horizontal="center" vertical="center"/>
    </xf>
    <xf numFmtId="1" fontId="10" fillId="7" borderId="57" xfId="1" applyNumberFormat="1" applyFont="1" applyFill="1" applyBorder="1" applyAlignment="1">
      <alignment horizontal="center" vertical="center"/>
    </xf>
    <xf numFmtId="1" fontId="11" fillId="0" borderId="46" xfId="1" applyNumberFormat="1" applyFont="1" applyBorder="1" applyAlignment="1">
      <alignment vertical="center" shrinkToFit="1"/>
    </xf>
    <xf numFmtId="1" fontId="12" fillId="0" borderId="49" xfId="1" applyNumberFormat="1" applyFont="1" applyBorder="1" applyAlignment="1">
      <alignment vertical="center"/>
    </xf>
    <xf numFmtId="1" fontId="12" fillId="0" borderId="46" xfId="1" applyNumberFormat="1" applyFont="1" applyBorder="1" applyAlignment="1">
      <alignment horizontal="justify" vertical="center"/>
    </xf>
    <xf numFmtId="1" fontId="15" fillId="0" borderId="46" xfId="1" applyNumberFormat="1" applyFont="1" applyBorder="1" applyAlignment="1">
      <alignment vertical="center"/>
    </xf>
    <xf numFmtId="1" fontId="12" fillId="0" borderId="51" xfId="1" applyNumberFormat="1" applyFont="1" applyBorder="1" applyAlignment="1">
      <alignment vertical="center"/>
    </xf>
    <xf numFmtId="1" fontId="12" fillId="0" borderId="49" xfId="1" applyNumberFormat="1" applyFont="1" applyBorder="1" applyAlignment="1">
      <alignment horizontal="justify" vertical="center"/>
    </xf>
    <xf numFmtId="1" fontId="12" fillId="0" borderId="54" xfId="1" applyNumberFormat="1" applyFont="1" applyBorder="1" applyAlignment="1">
      <alignment vertical="center"/>
    </xf>
    <xf numFmtId="1" fontId="10" fillId="0" borderId="58" xfId="1" applyNumberFormat="1" applyFont="1" applyBorder="1" applyAlignment="1">
      <alignment horizontal="center" vertical="center"/>
    </xf>
    <xf numFmtId="1" fontId="13" fillId="0" borderId="53" xfId="1" applyNumberFormat="1" applyFont="1" applyBorder="1" applyAlignment="1">
      <alignment vertical="center"/>
    </xf>
    <xf numFmtId="1" fontId="11" fillId="0" borderId="49" xfId="1" applyNumberFormat="1" applyFont="1" applyBorder="1" applyAlignment="1">
      <alignment horizontal="justify" vertical="center"/>
    </xf>
    <xf numFmtId="1" fontId="12" fillId="7" borderId="46" xfId="1" applyNumberFormat="1" applyFont="1" applyFill="1" applyBorder="1" applyAlignment="1">
      <alignment horizontal="left" vertical="center"/>
    </xf>
    <xf numFmtId="1" fontId="11" fillId="0" borderId="53" xfId="1" applyNumberFormat="1" applyFont="1" applyBorder="1" applyAlignment="1">
      <alignment vertical="center" wrapText="1"/>
    </xf>
    <xf numFmtId="1" fontId="12" fillId="0" borderId="59" xfId="1" applyNumberFormat="1" applyFont="1" applyBorder="1" applyAlignment="1">
      <alignment horizontal="center" vertical="center"/>
    </xf>
    <xf numFmtId="1" fontId="12" fillId="7" borderId="50" xfId="1" applyNumberFormat="1" applyFont="1" applyFill="1" applyBorder="1" applyAlignment="1">
      <alignment horizontal="center" vertical="center"/>
    </xf>
    <xf numFmtId="1" fontId="12" fillId="7" borderId="59" xfId="1" applyNumberFormat="1" applyFont="1" applyFill="1" applyBorder="1" applyAlignment="1">
      <alignment horizontal="center" vertical="center"/>
    </xf>
    <xf numFmtId="1" fontId="11" fillId="0" borderId="60" xfId="1" applyNumberFormat="1" applyFont="1" applyBorder="1" applyAlignment="1">
      <alignment vertical="center"/>
    </xf>
    <xf numFmtId="1" fontId="12" fillId="0" borderId="61" xfId="1" applyNumberFormat="1" applyFont="1" applyBorder="1" applyAlignment="1">
      <alignment vertical="center"/>
    </xf>
    <xf numFmtId="1" fontId="12" fillId="0" borderId="50" xfId="1" applyNumberFormat="1" applyFont="1" applyBorder="1" applyAlignment="1">
      <alignment horizontal="left" vertical="center"/>
    </xf>
    <xf numFmtId="1" fontId="12" fillId="0" borderId="62" xfId="1" applyNumberFormat="1" applyFont="1" applyBorder="1" applyAlignment="1">
      <alignment horizontal="center" vertical="center"/>
    </xf>
    <xf numFmtId="1" fontId="14" fillId="0" borderId="59" xfId="1" applyNumberFormat="1" applyFont="1" applyBorder="1" applyAlignment="1">
      <alignment horizontal="right" vertical="center"/>
    </xf>
    <xf numFmtId="1" fontId="11" fillId="7" borderId="53" xfId="1" applyNumberFormat="1" applyFont="1" applyFill="1" applyBorder="1" applyAlignment="1">
      <alignment vertical="center"/>
    </xf>
    <xf numFmtId="1" fontId="12" fillId="0" borderId="53" xfId="1" applyNumberFormat="1" applyFont="1" applyBorder="1" applyAlignment="1">
      <alignment vertical="center" shrinkToFit="1"/>
    </xf>
    <xf numFmtId="1" fontId="11" fillId="0" borderId="46" xfId="1" applyNumberFormat="1" applyFont="1" applyBorder="1" applyAlignment="1">
      <alignment vertical="center" wrapText="1"/>
    </xf>
    <xf numFmtId="1" fontId="12" fillId="0" borderId="50" xfId="1" applyNumberFormat="1" applyFont="1" applyBorder="1" applyAlignment="1">
      <alignment vertical="center" wrapText="1"/>
    </xf>
    <xf numFmtId="1" fontId="11" fillId="0" borderId="63" xfId="1" applyNumberFormat="1" applyFont="1" applyBorder="1" applyAlignment="1">
      <alignment horizontal="right" vertical="center"/>
    </xf>
    <xf numFmtId="1" fontId="12" fillId="0" borderId="50" xfId="1" applyNumberFormat="1" applyFont="1" applyBorder="1" applyAlignment="1">
      <alignment horizontal="center" vertical="center" shrinkToFit="1"/>
    </xf>
    <xf numFmtId="1" fontId="12" fillId="7" borderId="46" xfId="1" applyNumberFormat="1" applyFont="1" applyFill="1" applyBorder="1" applyAlignment="1">
      <alignment vertical="center" shrinkToFit="1"/>
    </xf>
    <xf numFmtId="1" fontId="12" fillId="7" borderId="50" xfId="1" applyNumberFormat="1" applyFont="1" applyFill="1" applyBorder="1" applyAlignment="1">
      <alignment horizontal="center" vertical="center" shrinkToFit="1"/>
    </xf>
    <xf numFmtId="1" fontId="12" fillId="7" borderId="46" xfId="1" applyNumberFormat="1" applyFont="1" applyFill="1" applyBorder="1" applyAlignment="1">
      <alignment horizontal="center" vertical="center"/>
    </xf>
    <xf numFmtId="1" fontId="14" fillId="0" borderId="62" xfId="1" applyNumberFormat="1" applyFont="1" applyBorder="1" applyAlignment="1">
      <alignment horizontal="right" vertical="center"/>
    </xf>
    <xf numFmtId="1" fontId="12" fillId="0" borderId="64" xfId="1" applyNumberFormat="1" applyFont="1" applyBorder="1" applyAlignment="1">
      <alignment horizontal="center" vertical="center"/>
    </xf>
    <xf numFmtId="1" fontId="13" fillId="7" borderId="50" xfId="1" applyNumberFormat="1" applyFont="1" applyFill="1" applyBorder="1" applyAlignment="1">
      <alignment horizontal="center" vertical="center"/>
    </xf>
    <xf numFmtId="1" fontId="12" fillId="0" borderId="50" xfId="1" applyNumberFormat="1" applyFont="1" applyBorder="1" applyAlignment="1">
      <alignment vertical="center"/>
    </xf>
    <xf numFmtId="1" fontId="12" fillId="0" borderId="65" xfId="1" applyNumberFormat="1" applyFont="1" applyBorder="1" applyAlignment="1">
      <alignment horizontal="center" vertical="center"/>
    </xf>
    <xf numFmtId="1" fontId="12" fillId="0" borderId="66" xfId="1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4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9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2" borderId="8" xfId="0" applyFont="1" applyFill="1" applyBorder="1">
      <alignment vertical="center"/>
    </xf>
    <xf numFmtId="0" fontId="5" fillId="3" borderId="24" xfId="0" applyFont="1" applyFill="1" applyBorder="1">
      <alignment vertical="center"/>
    </xf>
    <xf numFmtId="0" fontId="5" fillId="3" borderId="30" xfId="0" applyFont="1" applyFill="1" applyBorder="1">
      <alignment vertical="center"/>
    </xf>
    <xf numFmtId="0" fontId="4" fillId="4" borderId="31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56" fontId="5" fillId="0" borderId="6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8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9" xfId="0" applyFont="1" applyBorder="1">
      <alignment vertical="center"/>
    </xf>
    <xf numFmtId="0" fontId="5" fillId="5" borderId="1" xfId="0" applyFont="1" applyFill="1" applyBorder="1">
      <alignment vertical="center"/>
    </xf>
    <xf numFmtId="0" fontId="5" fillId="5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56" fontId="5" fillId="0" borderId="8" xfId="0" applyNumberFormat="1" applyFont="1" applyBorder="1" applyAlignment="1">
      <alignment horizontal="center" vertical="center"/>
    </xf>
    <xf numFmtId="56" fontId="5" fillId="0" borderId="35" xfId="0" applyNumberFormat="1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 shrinkToFit="1"/>
    </xf>
    <xf numFmtId="0" fontId="5" fillId="5" borderId="1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56" fontId="5" fillId="2" borderId="8" xfId="0" applyNumberFormat="1" applyFont="1" applyFill="1" applyBorder="1" applyAlignment="1">
      <alignment horizontal="center" vertical="center"/>
    </xf>
    <xf numFmtId="56" fontId="5" fillId="2" borderId="35" xfId="0" applyNumberFormat="1" applyFont="1" applyFill="1" applyBorder="1" applyAlignment="1">
      <alignment horizontal="center" vertical="center"/>
    </xf>
    <xf numFmtId="0" fontId="5" fillId="6" borderId="47" xfId="0" applyFont="1" applyFill="1" applyBorder="1" applyAlignment="1">
      <alignment horizontal="center" vertical="center"/>
    </xf>
    <xf numFmtId="0" fontId="16" fillId="6" borderId="47" xfId="0" applyFont="1" applyFill="1" applyBorder="1" applyAlignment="1">
      <alignment horizontal="center" vertical="center"/>
    </xf>
    <xf numFmtId="56" fontId="5" fillId="8" borderId="6" xfId="0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 shrinkToFit="1"/>
    </xf>
    <xf numFmtId="0" fontId="5" fillId="8" borderId="8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0" xfId="0" applyFont="1" applyFill="1">
      <alignment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8" borderId="1" xfId="0" applyFont="1" applyFill="1" applyBorder="1">
      <alignment vertical="center"/>
    </xf>
    <xf numFmtId="0" fontId="5" fillId="8" borderId="15" xfId="0" applyFont="1" applyFill="1" applyBorder="1">
      <alignment vertical="center"/>
    </xf>
    <xf numFmtId="0" fontId="5" fillId="8" borderId="9" xfId="0" applyFont="1" applyFill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0" fontId="5" fillId="5" borderId="67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56" fontId="5" fillId="0" borderId="72" xfId="0" applyNumberFormat="1" applyFont="1" applyBorder="1" applyAlignment="1">
      <alignment horizontal="center" vertical="center"/>
    </xf>
    <xf numFmtId="56" fontId="5" fillId="0" borderId="20" xfId="0" applyNumberFormat="1" applyFont="1" applyBorder="1" applyAlignment="1">
      <alignment horizontal="center" vertical="center"/>
    </xf>
    <xf numFmtId="56" fontId="5" fillId="2" borderId="72" xfId="0" applyNumberFormat="1" applyFont="1" applyFill="1" applyBorder="1" applyAlignment="1">
      <alignment horizontal="center" vertical="center"/>
    </xf>
    <xf numFmtId="56" fontId="5" fillId="2" borderId="20" xfId="0" applyNumberFormat="1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 shrinkToFit="1"/>
    </xf>
    <xf numFmtId="0" fontId="5" fillId="2" borderId="69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 shrinkToFit="1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 shrinkToFit="1"/>
    </xf>
    <xf numFmtId="0" fontId="5" fillId="5" borderId="21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 shrinkToFit="1"/>
    </xf>
    <xf numFmtId="56" fontId="5" fillId="2" borderId="10" xfId="0" applyNumberFormat="1" applyFont="1" applyFill="1" applyBorder="1" applyAlignment="1">
      <alignment horizontal="center" vertical="center"/>
    </xf>
    <xf numFmtId="0" fontId="5" fillId="2" borderId="76" xfId="0" applyFont="1" applyFill="1" applyBorder="1" applyAlignment="1">
      <alignment horizontal="center" vertical="center" shrinkToFit="1"/>
    </xf>
    <xf numFmtId="0" fontId="5" fillId="3" borderId="71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2" borderId="10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16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>
      <alignment vertical="center"/>
    </xf>
    <xf numFmtId="0" fontId="5" fillId="0" borderId="71" xfId="0" applyFont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8" borderId="8" xfId="0" applyFont="1" applyFill="1" applyBorder="1">
      <alignment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71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46" xfId="0" applyFont="1" applyFill="1" applyBorder="1" applyAlignment="1">
      <alignment horizontal="center" vertical="center"/>
    </xf>
    <xf numFmtId="0" fontId="5" fillId="8" borderId="67" xfId="0" applyFont="1" applyFill="1" applyBorder="1" applyAlignment="1">
      <alignment horizontal="center" vertical="center"/>
    </xf>
    <xf numFmtId="0" fontId="5" fillId="8" borderId="69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8" borderId="0" xfId="0" applyFill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3" borderId="2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 shrinkToFit="1"/>
    </xf>
    <xf numFmtId="0" fontId="5" fillId="3" borderId="27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0" fillId="8" borderId="30" xfId="0" applyFill="1" applyBorder="1">
      <alignment vertical="center"/>
    </xf>
    <xf numFmtId="0" fontId="0" fillId="8" borderId="19" xfId="0" applyFill="1" applyBorder="1">
      <alignment vertical="center"/>
    </xf>
    <xf numFmtId="0" fontId="0" fillId="8" borderId="3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5" fillId="11" borderId="42" xfId="0" applyFont="1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" fontId="11" fillId="0" borderId="46" xfId="1" applyNumberFormat="1" applyFont="1" applyBorder="1" applyAlignment="1">
      <alignment horizontal="left" vertical="center" wrapText="1"/>
    </xf>
    <xf numFmtId="1" fontId="11" fillId="0" borderId="50" xfId="1" applyNumberFormat="1" applyFont="1" applyBorder="1" applyAlignment="1">
      <alignment horizontal="left" vertical="center" wrapText="1"/>
    </xf>
    <xf numFmtId="1" fontId="14" fillId="0" borderId="53" xfId="1" applyNumberFormat="1" applyFont="1" applyBorder="1" applyAlignment="1">
      <alignment vertical="center" wrapText="1"/>
    </xf>
    <xf numFmtId="0" fontId="7" fillId="0" borderId="63" xfId="1" applyBorder="1" applyAlignment="1">
      <alignment vertical="center" wrapText="1"/>
    </xf>
    <xf numFmtId="1" fontId="13" fillId="0" borderId="53" xfId="1" applyNumberFormat="1" applyFont="1" applyBorder="1" applyAlignment="1">
      <alignment vertical="center" shrinkToFit="1"/>
    </xf>
    <xf numFmtId="1" fontId="13" fillId="0" borderId="63" xfId="1" applyNumberFormat="1" applyFont="1" applyBorder="1" applyAlignment="1">
      <alignment vertical="center" shrinkToFit="1"/>
    </xf>
    <xf numFmtId="0" fontId="5" fillId="7" borderId="1" xfId="0" applyFont="1" applyFill="1" applyBorder="1" applyAlignment="1">
      <alignment horizontal="center" vertical="center"/>
    </xf>
  </cellXfs>
  <cellStyles count="2">
    <cellStyle name="標準" xfId="0" builtinId="0"/>
    <cellStyle name="標準 3" xfId="1" xr:uid="{1F5D0535-0560-4172-8522-2FEF7F54AE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78443</xdr:colOff>
      <xdr:row>31</xdr:row>
      <xdr:rowOff>226359</xdr:rowOff>
    </xdr:from>
    <xdr:to>
      <xdr:col>36</xdr:col>
      <xdr:colOff>201707</xdr:colOff>
      <xdr:row>33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3FA6532-BEEE-4D18-8B26-1A8768A61E24}"/>
            </a:ext>
          </a:extLst>
        </xdr:cNvPr>
        <xdr:cNvSpPr txBox="1"/>
      </xdr:nvSpPr>
      <xdr:spPr>
        <a:xfrm>
          <a:off x="9589996" y="6752665"/>
          <a:ext cx="1467970" cy="3541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di</a:t>
          </a:r>
          <a:r>
            <a:rPr kumimoji="1" lang="ja-JP" altLang="en-US" sz="1100"/>
            <a:t>　→　</a:t>
          </a:r>
          <a:r>
            <a:rPr kumimoji="1" lang="en-US" altLang="ja-JP" sz="1100"/>
            <a:t>jo</a:t>
          </a:r>
          <a:r>
            <a:rPr kumimoji="1" lang="ja-JP" altLang="en-US" sz="1100"/>
            <a:t>　→　</a:t>
          </a:r>
          <a:r>
            <a:rPr kumimoji="1" lang="en-US" altLang="ja-JP" sz="1100"/>
            <a:t>pu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1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BB4A14-70D1-452B-A888-179D206D0866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c20fed73-8d92-4e61-abce-595dd01df1d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8D10-4C4D-4E4D-84C3-06538BA2DED5}">
  <dimension ref="A1:AP369"/>
  <sheetViews>
    <sheetView view="pageBreakPreview" topLeftCell="A234" zoomScaleNormal="85" zoomScaleSheetLayoutView="100" workbookViewId="0">
      <selection activeCell="I240" sqref="I240"/>
    </sheetView>
  </sheetViews>
  <sheetFormatPr defaultColWidth="9" defaultRowHeight="17.649999999999999"/>
  <cols>
    <col min="1" max="1" width="8.75" style="52" customWidth="1"/>
    <col min="2" max="2" width="3.5" style="52" customWidth="1"/>
    <col min="3" max="3" width="23.25" style="49" customWidth="1"/>
    <col min="4" max="4" width="4.375" style="157" customWidth="1"/>
    <col min="5" max="21" width="4.375" style="52" customWidth="1"/>
    <col min="22" max="22" width="9" style="44"/>
    <col min="23" max="23" width="13.375" style="44" customWidth="1"/>
    <col min="24" max="43" width="4.375" style="44" customWidth="1"/>
    <col min="44" max="16384" width="9" style="44"/>
  </cols>
  <sheetData>
    <row r="1" spans="1:41" ht="18" thickBot="1">
      <c r="A1" s="243"/>
      <c r="B1" s="237"/>
      <c r="C1" s="50"/>
      <c r="D1" s="316" t="s">
        <v>104</v>
      </c>
      <c r="E1" s="314"/>
      <c r="F1" s="314"/>
      <c r="G1" s="314"/>
      <c r="H1" s="314"/>
      <c r="I1" s="314"/>
      <c r="J1" s="316" t="s">
        <v>105</v>
      </c>
      <c r="K1" s="314"/>
      <c r="L1" s="314"/>
      <c r="M1" s="314"/>
      <c r="N1" s="314"/>
      <c r="O1" s="314"/>
      <c r="P1" s="316" t="s">
        <v>106</v>
      </c>
      <c r="Q1" s="314"/>
      <c r="R1" s="314"/>
      <c r="S1" s="314"/>
      <c r="T1" s="314"/>
      <c r="U1" s="314"/>
    </row>
    <row r="2" spans="1:41" ht="18" thickBot="1">
      <c r="A2" s="42" t="s">
        <v>30</v>
      </c>
      <c r="B2" s="43" t="s">
        <v>32</v>
      </c>
      <c r="C2" s="57"/>
      <c r="D2" s="42">
        <v>1</v>
      </c>
      <c r="E2" s="137">
        <v>2</v>
      </c>
      <c r="F2" s="137">
        <v>3</v>
      </c>
      <c r="G2" s="137">
        <v>4</v>
      </c>
      <c r="H2" s="137">
        <v>5</v>
      </c>
      <c r="I2" s="138">
        <v>6</v>
      </c>
      <c r="J2" s="42">
        <v>1</v>
      </c>
      <c r="K2" s="137">
        <v>2</v>
      </c>
      <c r="L2" s="137">
        <v>3</v>
      </c>
      <c r="M2" s="137">
        <v>4</v>
      </c>
      <c r="N2" s="137">
        <v>5</v>
      </c>
      <c r="O2" s="43">
        <v>6</v>
      </c>
      <c r="P2" s="42">
        <v>1</v>
      </c>
      <c r="Q2" s="137">
        <v>2</v>
      </c>
      <c r="R2" s="137">
        <v>3</v>
      </c>
      <c r="S2" s="137">
        <v>4</v>
      </c>
      <c r="T2" s="137">
        <v>5</v>
      </c>
      <c r="U2" s="43">
        <v>6</v>
      </c>
    </row>
    <row r="3" spans="1:41">
      <c r="A3" s="45">
        <v>46113</v>
      </c>
      <c r="B3" s="46" t="s">
        <v>33</v>
      </c>
      <c r="C3" s="55" t="s">
        <v>5</v>
      </c>
      <c r="D3" s="139" t="s">
        <v>139</v>
      </c>
      <c r="E3" s="140"/>
      <c r="F3" s="140"/>
      <c r="G3" s="140"/>
      <c r="H3" s="140"/>
      <c r="I3" s="141"/>
      <c r="J3" s="139"/>
      <c r="K3" s="140"/>
      <c r="L3" s="140"/>
      <c r="M3" s="140"/>
      <c r="N3" s="140"/>
      <c r="O3" s="142"/>
      <c r="P3" s="139"/>
      <c r="Q3" s="140"/>
      <c r="R3" s="140"/>
      <c r="S3" s="140"/>
      <c r="T3" s="140"/>
      <c r="U3" s="142"/>
    </row>
    <row r="4" spans="1:41">
      <c r="A4" s="45">
        <v>46114</v>
      </c>
      <c r="B4" s="46" t="s">
        <v>34</v>
      </c>
      <c r="C4" s="55" t="s">
        <v>140</v>
      </c>
      <c r="D4" s="143" t="s">
        <v>141</v>
      </c>
      <c r="E4" s="144"/>
      <c r="F4" s="144"/>
      <c r="G4" s="144"/>
      <c r="H4" s="144"/>
      <c r="I4" s="145"/>
      <c r="J4" s="143"/>
      <c r="K4" s="144"/>
      <c r="L4" s="144"/>
      <c r="M4" s="144"/>
      <c r="N4" s="144"/>
      <c r="O4" s="46"/>
      <c r="P4" s="143"/>
      <c r="Q4" s="144"/>
      <c r="R4" s="144"/>
      <c r="S4" s="144"/>
      <c r="T4" s="144"/>
      <c r="U4" s="46"/>
    </row>
    <row r="5" spans="1:41">
      <c r="A5" s="45">
        <v>46115</v>
      </c>
      <c r="B5" s="46" t="s">
        <v>84</v>
      </c>
      <c r="C5" s="55" t="s">
        <v>75</v>
      </c>
      <c r="D5" s="143" t="s">
        <v>142</v>
      </c>
      <c r="E5" s="144"/>
      <c r="F5" s="144"/>
      <c r="G5" s="144"/>
      <c r="H5" s="144"/>
      <c r="I5" s="145"/>
      <c r="J5" s="143"/>
      <c r="K5" s="144"/>
      <c r="L5" s="144"/>
      <c r="M5" s="144"/>
      <c r="N5" s="144"/>
      <c r="O5" s="46"/>
      <c r="P5" s="143"/>
      <c r="Q5" s="144"/>
      <c r="R5" s="144"/>
      <c r="S5" s="144"/>
      <c r="T5" s="144"/>
      <c r="U5" s="46"/>
    </row>
    <row r="6" spans="1:41">
      <c r="A6" s="45">
        <v>46116</v>
      </c>
      <c r="B6" s="46" t="s">
        <v>85</v>
      </c>
      <c r="C6" s="55" t="s">
        <v>97</v>
      </c>
      <c r="D6" s="143" t="s">
        <v>143</v>
      </c>
      <c r="E6" s="144"/>
      <c r="F6" s="144"/>
      <c r="G6" s="144"/>
      <c r="H6" s="144"/>
      <c r="I6" s="145"/>
      <c r="J6" s="143"/>
      <c r="K6" s="144"/>
      <c r="L6" s="144"/>
      <c r="M6" s="144"/>
      <c r="N6" s="144"/>
      <c r="O6" s="46"/>
      <c r="P6" s="143"/>
      <c r="Q6" s="144"/>
      <c r="R6" s="144"/>
      <c r="S6" s="144"/>
      <c r="T6" s="144"/>
      <c r="U6" s="46"/>
    </row>
    <row r="7" spans="1:41">
      <c r="A7" s="45">
        <v>46117</v>
      </c>
      <c r="B7" s="46" t="s">
        <v>86</v>
      </c>
      <c r="C7" s="55"/>
      <c r="D7" s="143"/>
      <c r="E7" s="144"/>
      <c r="F7" s="144"/>
      <c r="G7" s="144"/>
      <c r="H7" s="144"/>
      <c r="I7" s="145"/>
      <c r="J7" s="143"/>
      <c r="K7" s="144"/>
      <c r="L7" s="144"/>
      <c r="M7" s="144"/>
      <c r="N7" s="144"/>
      <c r="O7" s="46"/>
      <c r="P7" s="143"/>
      <c r="Q7" s="144"/>
      <c r="R7" s="144"/>
      <c r="S7" s="144"/>
      <c r="T7" s="144"/>
      <c r="U7" s="46"/>
      <c r="W7" s="44" t="s">
        <v>61</v>
      </c>
    </row>
    <row r="8" spans="1:41">
      <c r="A8" s="187">
        <v>46118</v>
      </c>
      <c r="B8" s="48" t="s">
        <v>80</v>
      </c>
      <c r="C8" s="41" t="s">
        <v>107</v>
      </c>
      <c r="D8" s="147"/>
      <c r="E8" s="148"/>
      <c r="F8" s="148"/>
      <c r="G8" s="148"/>
      <c r="H8" s="148"/>
      <c r="I8" s="276"/>
      <c r="J8" s="150" t="s">
        <v>74</v>
      </c>
      <c r="K8" s="151" t="s">
        <v>47</v>
      </c>
      <c r="L8" s="58" t="s">
        <v>144</v>
      </c>
      <c r="M8" s="152"/>
      <c r="N8" s="148"/>
      <c r="O8" s="149"/>
      <c r="P8" s="150" t="s">
        <v>74</v>
      </c>
      <c r="Q8" s="153" t="s">
        <v>47</v>
      </c>
      <c r="R8" s="58" t="s">
        <v>144</v>
      </c>
      <c r="S8" s="152"/>
      <c r="T8" s="148"/>
      <c r="U8" s="149"/>
    </row>
    <row r="9" spans="1:41">
      <c r="A9" s="187">
        <v>46119</v>
      </c>
      <c r="B9" s="48" t="s">
        <v>81</v>
      </c>
      <c r="C9" s="41" t="s">
        <v>108</v>
      </c>
      <c r="D9" s="154" t="s">
        <v>74</v>
      </c>
      <c r="E9" s="152"/>
      <c r="F9" s="153" t="s">
        <v>75</v>
      </c>
      <c r="G9" s="148"/>
      <c r="H9" s="148"/>
      <c r="I9" s="276"/>
      <c r="J9" s="155"/>
      <c r="K9" s="59" t="s">
        <v>145</v>
      </c>
      <c r="L9" s="152"/>
      <c r="M9" s="148"/>
      <c r="N9" s="148"/>
      <c r="O9" s="149"/>
      <c r="P9" s="155"/>
      <c r="Q9" s="59" t="s">
        <v>145</v>
      </c>
      <c r="R9" s="152"/>
      <c r="S9" s="148"/>
      <c r="T9" s="148"/>
      <c r="U9" s="149"/>
      <c r="X9" s="44" t="s">
        <v>0</v>
      </c>
      <c r="Y9" s="44" t="s">
        <v>1</v>
      </c>
      <c r="Z9" s="44" t="s">
        <v>2</v>
      </c>
      <c r="AA9" s="44" t="s">
        <v>3</v>
      </c>
      <c r="AB9" s="44" t="s">
        <v>4</v>
      </c>
      <c r="AC9" s="44" t="s">
        <v>5</v>
      </c>
      <c r="AD9" s="44" t="s">
        <v>0</v>
      </c>
      <c r="AE9" s="44" t="s">
        <v>1</v>
      </c>
      <c r="AF9" s="44" t="s">
        <v>2</v>
      </c>
      <c r="AG9" s="44" t="s">
        <v>3</v>
      </c>
      <c r="AH9" s="44" t="s">
        <v>4</v>
      </c>
      <c r="AI9" s="44" t="s">
        <v>5</v>
      </c>
      <c r="AJ9" s="44" t="s">
        <v>0</v>
      </c>
      <c r="AK9" s="44" t="s">
        <v>1</v>
      </c>
      <c r="AL9" s="44" t="s">
        <v>2</v>
      </c>
      <c r="AM9" s="44" t="s">
        <v>3</v>
      </c>
      <c r="AN9" s="44" t="s">
        <v>4</v>
      </c>
      <c r="AO9" s="44" t="s">
        <v>5</v>
      </c>
    </row>
    <row r="10" spans="1:41">
      <c r="A10" s="187">
        <v>46120</v>
      </c>
      <c r="B10" s="48" t="s">
        <v>82</v>
      </c>
      <c r="C10" s="41" t="s">
        <v>146</v>
      </c>
      <c r="D10" s="150" t="s">
        <v>74</v>
      </c>
      <c r="E10" s="153" t="s">
        <v>76</v>
      </c>
      <c r="F10" s="153" t="s">
        <v>75</v>
      </c>
      <c r="G10" s="153" t="s">
        <v>75</v>
      </c>
      <c r="H10" s="148"/>
      <c r="I10" s="276"/>
      <c r="J10" s="150" t="s">
        <v>74</v>
      </c>
      <c r="K10" s="153" t="s">
        <v>75</v>
      </c>
      <c r="L10" s="153" t="s">
        <v>149</v>
      </c>
      <c r="M10" s="153" t="s">
        <v>75</v>
      </c>
      <c r="N10" s="148"/>
      <c r="O10" s="149"/>
      <c r="P10" s="150" t="s">
        <v>74</v>
      </c>
      <c r="Q10" s="153" t="s">
        <v>75</v>
      </c>
      <c r="R10" s="58" t="s">
        <v>147</v>
      </c>
      <c r="S10" s="152"/>
      <c r="T10" s="148"/>
      <c r="U10" s="149"/>
      <c r="X10" s="44" t="s">
        <v>36</v>
      </c>
      <c r="Y10" s="44" t="s">
        <v>37</v>
      </c>
      <c r="Z10" s="44" t="s">
        <v>38</v>
      </c>
      <c r="AA10" s="44" t="s">
        <v>39</v>
      </c>
      <c r="AB10" s="44" t="s">
        <v>40</v>
      </c>
      <c r="AC10" s="44" t="s">
        <v>41</v>
      </c>
      <c r="AD10" s="44" t="s">
        <v>36</v>
      </c>
      <c r="AE10" s="44" t="s">
        <v>37</v>
      </c>
      <c r="AF10" s="44" t="s">
        <v>38</v>
      </c>
      <c r="AG10" s="44" t="s">
        <v>39</v>
      </c>
      <c r="AH10" s="44" t="s">
        <v>40</v>
      </c>
      <c r="AI10" s="44" t="s">
        <v>41</v>
      </c>
      <c r="AJ10" s="44" t="s">
        <v>36</v>
      </c>
      <c r="AK10" s="44" t="s">
        <v>37</v>
      </c>
      <c r="AL10" s="44" t="s">
        <v>38</v>
      </c>
      <c r="AM10" s="44" t="s">
        <v>39</v>
      </c>
      <c r="AN10" s="44" t="s">
        <v>40</v>
      </c>
      <c r="AO10" s="44" t="s">
        <v>41</v>
      </c>
    </row>
    <row r="11" spans="1:41">
      <c r="A11" s="187">
        <v>46121</v>
      </c>
      <c r="B11" s="48" t="s">
        <v>83</v>
      </c>
      <c r="C11" s="41" t="s">
        <v>109</v>
      </c>
      <c r="D11" s="150" t="s">
        <v>75</v>
      </c>
      <c r="E11" s="153" t="s">
        <v>148</v>
      </c>
      <c r="F11" s="58" t="s">
        <v>147</v>
      </c>
      <c r="G11" s="152"/>
      <c r="H11" s="148"/>
      <c r="I11" s="276"/>
      <c r="J11" s="150" t="s">
        <v>150</v>
      </c>
      <c r="K11" s="153" t="s">
        <v>76</v>
      </c>
      <c r="L11" s="153" t="s">
        <v>75</v>
      </c>
      <c r="M11" s="153" t="s">
        <v>75</v>
      </c>
      <c r="N11" s="148"/>
      <c r="O11" s="149"/>
      <c r="P11" s="150" t="s">
        <v>76</v>
      </c>
      <c r="Q11" s="153" t="s">
        <v>75</v>
      </c>
      <c r="R11" s="153" t="s">
        <v>149</v>
      </c>
      <c r="S11" s="153" t="s">
        <v>75</v>
      </c>
      <c r="T11" s="148"/>
      <c r="U11" s="149"/>
      <c r="X11" s="44" t="s">
        <v>42</v>
      </c>
      <c r="Y11" s="44" t="s">
        <v>43</v>
      </c>
      <c r="Z11" s="44" t="s">
        <v>44</v>
      </c>
      <c r="AA11" s="44" t="s">
        <v>45</v>
      </c>
      <c r="AB11" s="44" t="s">
        <v>46</v>
      </c>
      <c r="AC11" s="44" t="s">
        <v>47</v>
      </c>
      <c r="AD11" s="44" t="s">
        <v>42</v>
      </c>
      <c r="AE11" s="44" t="s">
        <v>43</v>
      </c>
      <c r="AF11" s="44" t="s">
        <v>44</v>
      </c>
      <c r="AG11" s="44" t="s">
        <v>45</v>
      </c>
      <c r="AH11" s="44" t="s">
        <v>46</v>
      </c>
      <c r="AI11" s="44" t="s">
        <v>47</v>
      </c>
      <c r="AJ11" s="44" t="s">
        <v>42</v>
      </c>
      <c r="AK11" s="44" t="s">
        <v>43</v>
      </c>
      <c r="AL11" s="44" t="s">
        <v>44</v>
      </c>
      <c r="AM11" s="44" t="s">
        <v>45</v>
      </c>
      <c r="AN11" s="44" t="s">
        <v>46</v>
      </c>
      <c r="AO11" s="44" t="s">
        <v>47</v>
      </c>
    </row>
    <row r="12" spans="1:41">
      <c r="A12" s="187">
        <v>46122</v>
      </c>
      <c r="B12" s="48" t="s">
        <v>84</v>
      </c>
      <c r="C12" s="41" t="s">
        <v>110</v>
      </c>
      <c r="D12" s="154" t="s">
        <v>75</v>
      </c>
      <c r="E12" s="153" t="s">
        <v>149</v>
      </c>
      <c r="F12" s="153" t="s">
        <v>150</v>
      </c>
      <c r="G12" s="153" t="s">
        <v>75</v>
      </c>
      <c r="H12" s="148"/>
      <c r="I12" s="276"/>
      <c r="J12" s="150" t="s">
        <v>75</v>
      </c>
      <c r="K12" s="153" t="s">
        <v>148</v>
      </c>
      <c r="L12" s="58" t="s">
        <v>147</v>
      </c>
      <c r="M12" s="152"/>
      <c r="N12" s="148"/>
      <c r="O12" s="149"/>
      <c r="P12" s="150" t="s">
        <v>151</v>
      </c>
      <c r="Q12" s="153" t="s">
        <v>148</v>
      </c>
      <c r="R12" s="153" t="s">
        <v>75</v>
      </c>
      <c r="S12" s="153" t="s">
        <v>75</v>
      </c>
      <c r="T12" s="148"/>
      <c r="U12" s="149"/>
      <c r="X12" s="44" t="s">
        <v>48</v>
      </c>
      <c r="Y12" s="44" t="s">
        <v>49</v>
      </c>
      <c r="Z12" s="44" t="s">
        <v>50</v>
      </c>
      <c r="AA12" s="44" t="s">
        <v>51</v>
      </c>
      <c r="AB12" s="44" t="s">
        <v>52</v>
      </c>
      <c r="AD12" s="44" t="s">
        <v>48</v>
      </c>
      <c r="AE12" s="44" t="s">
        <v>49</v>
      </c>
      <c r="AF12" s="44" t="s">
        <v>50</v>
      </c>
      <c r="AG12" s="44" t="s">
        <v>51</v>
      </c>
      <c r="AH12" s="44" t="s">
        <v>52</v>
      </c>
      <c r="AJ12" s="44" t="s">
        <v>48</v>
      </c>
      <c r="AK12" s="44" t="s">
        <v>49</v>
      </c>
      <c r="AL12" s="44" t="s">
        <v>50</v>
      </c>
      <c r="AM12" s="44" t="s">
        <v>51</v>
      </c>
      <c r="AN12" s="44" t="s">
        <v>52</v>
      </c>
    </row>
    <row r="13" spans="1:41">
      <c r="A13" s="45">
        <v>46123</v>
      </c>
      <c r="B13" s="46" t="s">
        <v>85</v>
      </c>
      <c r="C13" s="55" t="s">
        <v>111</v>
      </c>
      <c r="D13" s="143"/>
      <c r="E13" s="144"/>
      <c r="F13" s="144"/>
      <c r="G13" s="144"/>
      <c r="H13" s="144"/>
      <c r="I13" s="145"/>
      <c r="J13" s="143"/>
      <c r="K13" s="144"/>
      <c r="L13" s="144"/>
      <c r="M13" s="144"/>
      <c r="N13" s="144"/>
      <c r="O13" s="46"/>
      <c r="P13" s="143"/>
      <c r="Q13" s="144"/>
      <c r="R13" s="144"/>
      <c r="S13" s="144"/>
      <c r="T13" s="144"/>
      <c r="U13" s="46"/>
      <c r="X13" s="44" t="s">
        <v>54</v>
      </c>
      <c r="Y13" s="44" t="s">
        <v>55</v>
      </c>
      <c r="Z13" s="44" t="s">
        <v>56</v>
      </c>
      <c r="AA13" s="44" t="s">
        <v>57</v>
      </c>
      <c r="AB13" s="44" t="s">
        <v>58</v>
      </c>
      <c r="AC13" s="44" t="s">
        <v>59</v>
      </c>
      <c r="AD13" s="44" t="s">
        <v>54</v>
      </c>
      <c r="AE13" s="44" t="s">
        <v>55</v>
      </c>
      <c r="AF13" s="44" t="s">
        <v>56</v>
      </c>
      <c r="AG13" s="44" t="s">
        <v>57</v>
      </c>
      <c r="AH13" s="44" t="s">
        <v>58</v>
      </c>
      <c r="AI13" s="44" t="s">
        <v>59</v>
      </c>
      <c r="AJ13" s="44" t="s">
        <v>54</v>
      </c>
      <c r="AK13" s="44" t="s">
        <v>55</v>
      </c>
      <c r="AL13" s="44" t="s">
        <v>56</v>
      </c>
      <c r="AM13" s="44" t="s">
        <v>57</v>
      </c>
      <c r="AN13" s="44" t="s">
        <v>58</v>
      </c>
      <c r="AO13" s="44" t="s">
        <v>59</v>
      </c>
    </row>
    <row r="14" spans="1:41">
      <c r="A14" s="45">
        <v>46124</v>
      </c>
      <c r="B14" s="46" t="s">
        <v>86</v>
      </c>
      <c r="C14" s="55" t="s">
        <v>111</v>
      </c>
      <c r="D14" s="143"/>
      <c r="E14" s="144"/>
      <c r="F14" s="144"/>
      <c r="G14" s="144"/>
      <c r="H14" s="144"/>
      <c r="I14" s="145"/>
      <c r="J14" s="143"/>
      <c r="K14" s="144"/>
      <c r="L14" s="144"/>
      <c r="M14" s="144"/>
      <c r="N14" s="144"/>
      <c r="O14" s="46"/>
      <c r="P14" s="143"/>
      <c r="Q14" s="144"/>
      <c r="R14" s="144"/>
      <c r="S14" s="144"/>
      <c r="T14" s="144"/>
      <c r="U14" s="46"/>
    </row>
    <row r="15" spans="1:41">
      <c r="A15" s="187">
        <v>46125</v>
      </c>
      <c r="B15" s="48" t="s">
        <v>80</v>
      </c>
      <c r="C15" s="41" t="s">
        <v>112</v>
      </c>
      <c r="D15" s="150" t="s">
        <v>79</v>
      </c>
      <c r="E15" s="153" t="s">
        <v>75</v>
      </c>
      <c r="F15" s="153" t="s">
        <v>75</v>
      </c>
      <c r="G15" s="153" t="s">
        <v>152</v>
      </c>
      <c r="H15" s="148"/>
      <c r="I15" s="276"/>
      <c r="J15" s="150" t="s">
        <v>79</v>
      </c>
      <c r="K15" s="153" t="s">
        <v>75</v>
      </c>
      <c r="L15" s="153" t="s">
        <v>75</v>
      </c>
      <c r="M15" s="148"/>
      <c r="N15" s="148"/>
      <c r="O15" s="149"/>
      <c r="P15" s="150" t="s">
        <v>79</v>
      </c>
      <c r="Q15" s="153" t="s">
        <v>75</v>
      </c>
      <c r="R15" s="153" t="s">
        <v>75</v>
      </c>
      <c r="S15" s="148"/>
      <c r="T15" s="148"/>
      <c r="U15" s="149"/>
    </row>
    <row r="16" spans="1:41">
      <c r="A16" s="187">
        <v>46126</v>
      </c>
      <c r="B16" s="48" t="s">
        <v>81</v>
      </c>
      <c r="C16" s="41" t="s">
        <v>113</v>
      </c>
      <c r="D16" s="150" t="s">
        <v>94</v>
      </c>
      <c r="E16" s="153" t="s">
        <v>153</v>
      </c>
      <c r="F16" s="153" t="s">
        <v>154</v>
      </c>
      <c r="G16" s="153" t="s">
        <v>155</v>
      </c>
      <c r="H16" s="156" t="s">
        <v>10</v>
      </c>
      <c r="I16" s="276"/>
      <c r="J16" s="150" t="s">
        <v>94</v>
      </c>
      <c r="K16" s="153" t="s">
        <v>153</v>
      </c>
      <c r="L16" s="153" t="s">
        <v>154</v>
      </c>
      <c r="M16" s="153" t="s">
        <v>155</v>
      </c>
      <c r="N16" s="156" t="s">
        <v>10</v>
      </c>
      <c r="O16" s="149"/>
      <c r="P16" s="150" t="s">
        <v>94</v>
      </c>
      <c r="Q16" s="153" t="s">
        <v>153</v>
      </c>
      <c r="R16" s="153" t="s">
        <v>154</v>
      </c>
      <c r="S16" s="153" t="s">
        <v>155</v>
      </c>
      <c r="T16" s="156" t="s">
        <v>10</v>
      </c>
      <c r="U16" s="149"/>
    </row>
    <row r="17" spans="1:22">
      <c r="A17" s="187">
        <v>46127</v>
      </c>
      <c r="B17" s="48" t="s">
        <v>82</v>
      </c>
      <c r="C17" s="41" t="s">
        <v>111</v>
      </c>
      <c r="D17" s="80" t="s">
        <v>42</v>
      </c>
      <c r="E17" s="52" t="s">
        <v>43</v>
      </c>
      <c r="F17" s="52" t="s">
        <v>44</v>
      </c>
      <c r="G17" s="52" t="s">
        <v>45</v>
      </c>
      <c r="H17" s="159" t="s">
        <v>46</v>
      </c>
      <c r="I17" s="180" t="s">
        <v>47</v>
      </c>
      <c r="J17" s="158" t="s">
        <v>42</v>
      </c>
      <c r="K17" s="159" t="s">
        <v>43</v>
      </c>
      <c r="L17" s="159" t="s">
        <v>44</v>
      </c>
      <c r="M17" s="159" t="s">
        <v>45</v>
      </c>
      <c r="N17" s="159" t="s">
        <v>46</v>
      </c>
      <c r="O17" s="77" t="s">
        <v>47</v>
      </c>
      <c r="P17" s="158" t="s">
        <v>42</v>
      </c>
      <c r="Q17" s="159" t="s">
        <v>43</v>
      </c>
      <c r="R17" s="159" t="s">
        <v>44</v>
      </c>
      <c r="S17" s="159" t="s">
        <v>45</v>
      </c>
      <c r="T17" s="159" t="s">
        <v>46</v>
      </c>
      <c r="U17" s="77" t="s">
        <v>47</v>
      </c>
      <c r="V17" s="188"/>
    </row>
    <row r="18" spans="1:22">
      <c r="A18" s="187">
        <v>46128</v>
      </c>
      <c r="B18" s="48" t="s">
        <v>83</v>
      </c>
      <c r="C18" s="41" t="s">
        <v>111</v>
      </c>
      <c r="D18" s="158" t="s">
        <v>18</v>
      </c>
      <c r="E18" s="159" t="s">
        <v>19</v>
      </c>
      <c r="F18" s="159" t="s">
        <v>20</v>
      </c>
      <c r="G18" s="159" t="s">
        <v>21</v>
      </c>
      <c r="H18" s="159" t="s">
        <v>52</v>
      </c>
      <c r="I18" s="276"/>
      <c r="J18" s="158" t="s">
        <v>18</v>
      </c>
      <c r="K18" s="159" t="s">
        <v>19</v>
      </c>
      <c r="L18" s="159" t="s">
        <v>20</v>
      </c>
      <c r="M18" s="159" t="s">
        <v>21</v>
      </c>
      <c r="N18" s="159" t="s">
        <v>52</v>
      </c>
      <c r="O18" s="149"/>
      <c r="P18" s="158" t="s">
        <v>18</v>
      </c>
      <c r="Q18" s="159" t="s">
        <v>19</v>
      </c>
      <c r="R18" s="159" t="s">
        <v>20</v>
      </c>
      <c r="S18" s="159" t="s">
        <v>21</v>
      </c>
      <c r="T18" s="159" t="s">
        <v>52</v>
      </c>
      <c r="U18" s="149"/>
    </row>
    <row r="19" spans="1:22">
      <c r="A19" s="187">
        <v>46129</v>
      </c>
      <c r="B19" s="48" t="s">
        <v>84</v>
      </c>
      <c r="C19" s="41" t="s">
        <v>114</v>
      </c>
      <c r="D19" s="80" t="s">
        <v>54</v>
      </c>
      <c r="E19" s="52" t="s">
        <v>55</v>
      </c>
      <c r="F19" s="52" t="s">
        <v>56</v>
      </c>
      <c r="G19" s="52" t="s">
        <v>57</v>
      </c>
      <c r="H19" s="52" t="s">
        <v>58</v>
      </c>
      <c r="I19" s="163" t="s">
        <v>156</v>
      </c>
      <c r="J19" s="80" t="s">
        <v>54</v>
      </c>
      <c r="K19" s="52" t="s">
        <v>55</v>
      </c>
      <c r="L19" s="52" t="s">
        <v>56</v>
      </c>
      <c r="M19" s="52" t="s">
        <v>57</v>
      </c>
      <c r="N19" s="52" t="s">
        <v>58</v>
      </c>
      <c r="O19" s="48" t="s">
        <v>156</v>
      </c>
      <c r="P19" s="81" t="s">
        <v>54</v>
      </c>
      <c r="Q19" s="161" t="s">
        <v>55</v>
      </c>
      <c r="R19" s="161" t="s">
        <v>56</v>
      </c>
      <c r="S19" s="161" t="s">
        <v>57</v>
      </c>
      <c r="T19" s="161" t="s">
        <v>58</v>
      </c>
      <c r="U19" s="162" t="s">
        <v>156</v>
      </c>
    </row>
    <row r="20" spans="1:22">
      <c r="A20" s="45">
        <v>46130</v>
      </c>
      <c r="B20" s="46" t="s">
        <v>85</v>
      </c>
      <c r="C20" s="55" t="s">
        <v>111</v>
      </c>
      <c r="D20" s="143"/>
      <c r="E20" s="144"/>
      <c r="F20" s="144"/>
      <c r="G20" s="144"/>
      <c r="H20" s="144"/>
      <c r="I20" s="145"/>
      <c r="J20" s="143"/>
      <c r="K20" s="144"/>
      <c r="L20" s="144"/>
      <c r="M20" s="144"/>
      <c r="N20" s="144"/>
      <c r="O20" s="46"/>
      <c r="P20" s="143"/>
      <c r="Q20" s="144"/>
      <c r="R20" s="144"/>
      <c r="S20" s="144"/>
      <c r="T20" s="144"/>
      <c r="U20" s="46"/>
    </row>
    <row r="21" spans="1:22">
      <c r="A21" s="45">
        <v>46131</v>
      </c>
      <c r="B21" s="46" t="s">
        <v>86</v>
      </c>
      <c r="C21" s="55" t="s">
        <v>111</v>
      </c>
      <c r="D21" s="143"/>
      <c r="E21" s="144"/>
      <c r="F21" s="144"/>
      <c r="G21" s="144"/>
      <c r="H21" s="144"/>
      <c r="I21" s="145"/>
      <c r="J21" s="143"/>
      <c r="K21" s="144"/>
      <c r="L21" s="144"/>
      <c r="M21" s="144"/>
      <c r="N21" s="144"/>
      <c r="O21" s="46"/>
      <c r="P21" s="143"/>
      <c r="Q21" s="144"/>
      <c r="R21" s="144"/>
      <c r="S21" s="144"/>
      <c r="T21" s="144"/>
      <c r="U21" s="46"/>
    </row>
    <row r="22" spans="1:22">
      <c r="A22" s="187">
        <v>46132</v>
      </c>
      <c r="B22" s="48" t="s">
        <v>80</v>
      </c>
      <c r="C22" s="41" t="s">
        <v>115</v>
      </c>
      <c r="D22" s="80" t="s">
        <v>0</v>
      </c>
      <c r="E22" s="52" t="s">
        <v>1</v>
      </c>
      <c r="F22" s="52" t="s">
        <v>2</v>
      </c>
      <c r="G22" s="52" t="s">
        <v>3</v>
      </c>
      <c r="H22" s="52" t="s">
        <v>4</v>
      </c>
      <c r="I22" s="163" t="s">
        <v>5</v>
      </c>
      <c r="J22" s="80" t="s">
        <v>0</v>
      </c>
      <c r="K22" s="52" t="s">
        <v>1</v>
      </c>
      <c r="L22" s="52" t="s">
        <v>2</v>
      </c>
      <c r="M22" s="52" t="s">
        <v>3</v>
      </c>
      <c r="N22" s="52" t="s">
        <v>4</v>
      </c>
      <c r="O22" s="48" t="s">
        <v>5</v>
      </c>
      <c r="P22" s="80" t="s">
        <v>0</v>
      </c>
      <c r="Q22" s="52" t="s">
        <v>1</v>
      </c>
      <c r="R22" s="52" t="s">
        <v>2</v>
      </c>
      <c r="S22" s="52" t="s">
        <v>3</v>
      </c>
      <c r="T22" s="52" t="s">
        <v>4</v>
      </c>
      <c r="U22" s="48" t="s">
        <v>5</v>
      </c>
    </row>
    <row r="23" spans="1:22">
      <c r="A23" s="187">
        <v>46133</v>
      </c>
      <c r="B23" s="48" t="s">
        <v>81</v>
      </c>
      <c r="C23" s="41" t="s">
        <v>116</v>
      </c>
      <c r="D23" s="80" t="s">
        <v>36</v>
      </c>
      <c r="E23" s="52" t="s">
        <v>37</v>
      </c>
      <c r="F23" s="52" t="s">
        <v>38</v>
      </c>
      <c r="G23" s="52" t="s">
        <v>39</v>
      </c>
      <c r="H23" s="52" t="s">
        <v>40</v>
      </c>
      <c r="I23" s="163" t="s">
        <v>41</v>
      </c>
      <c r="J23" s="80" t="s">
        <v>36</v>
      </c>
      <c r="K23" s="52" t="s">
        <v>37</v>
      </c>
      <c r="L23" s="52" t="s">
        <v>38</v>
      </c>
      <c r="M23" s="52" t="s">
        <v>39</v>
      </c>
      <c r="N23" s="52" t="s">
        <v>40</v>
      </c>
      <c r="O23" s="48" t="s">
        <v>41</v>
      </c>
      <c r="P23" s="80" t="s">
        <v>36</v>
      </c>
      <c r="Q23" s="52" t="s">
        <v>37</v>
      </c>
      <c r="R23" s="52" t="s">
        <v>38</v>
      </c>
      <c r="S23" s="52" t="s">
        <v>39</v>
      </c>
      <c r="T23" s="52" t="s">
        <v>40</v>
      </c>
      <c r="U23" s="48" t="s">
        <v>41</v>
      </c>
    </row>
    <row r="24" spans="1:22">
      <c r="A24" s="187">
        <v>46134</v>
      </c>
      <c r="B24" s="48" t="s">
        <v>82</v>
      </c>
      <c r="C24" s="41" t="s">
        <v>117</v>
      </c>
      <c r="D24" s="80" t="s">
        <v>42</v>
      </c>
      <c r="E24" s="52" t="s">
        <v>43</v>
      </c>
      <c r="F24" s="52" t="s">
        <v>44</v>
      </c>
      <c r="G24" s="52" t="s">
        <v>45</v>
      </c>
      <c r="H24" s="52" t="s">
        <v>46</v>
      </c>
      <c r="I24" s="178" t="s">
        <v>93</v>
      </c>
      <c r="J24" s="80" t="s">
        <v>42</v>
      </c>
      <c r="K24" s="52" t="s">
        <v>43</v>
      </c>
      <c r="L24" s="52" t="s">
        <v>44</v>
      </c>
      <c r="M24" s="52" t="s">
        <v>45</v>
      </c>
      <c r="N24" s="52" t="s">
        <v>46</v>
      </c>
      <c r="O24" s="199" t="s">
        <v>93</v>
      </c>
      <c r="P24" s="80" t="s">
        <v>42</v>
      </c>
      <c r="Q24" s="52" t="s">
        <v>43</v>
      </c>
      <c r="R24" s="52" t="s">
        <v>44</v>
      </c>
      <c r="S24" s="52" t="s">
        <v>45</v>
      </c>
      <c r="T24" s="52" t="s">
        <v>46</v>
      </c>
      <c r="U24" s="199" t="s">
        <v>93</v>
      </c>
    </row>
    <row r="25" spans="1:22">
      <c r="A25" s="187">
        <v>46135</v>
      </c>
      <c r="B25" s="48" t="s">
        <v>83</v>
      </c>
      <c r="C25" s="41" t="s">
        <v>118</v>
      </c>
      <c r="D25" s="80" t="s">
        <v>48</v>
      </c>
      <c r="E25" s="52" t="s">
        <v>49</v>
      </c>
      <c r="F25" s="52" t="s">
        <v>50</v>
      </c>
      <c r="G25" s="52" t="s">
        <v>51</v>
      </c>
      <c r="H25" s="178" t="s">
        <v>47</v>
      </c>
      <c r="I25" s="276"/>
      <c r="J25" s="80" t="s">
        <v>48</v>
      </c>
      <c r="K25" s="52" t="s">
        <v>49</v>
      </c>
      <c r="L25" s="52" t="s">
        <v>50</v>
      </c>
      <c r="M25" s="52" t="s">
        <v>51</v>
      </c>
      <c r="N25" s="48" t="s">
        <v>160</v>
      </c>
      <c r="O25" s="149"/>
      <c r="P25" s="164" t="s">
        <v>157</v>
      </c>
      <c r="Q25" s="165" t="s">
        <v>158</v>
      </c>
      <c r="R25" s="165" t="s">
        <v>159</v>
      </c>
      <c r="S25" s="157" t="s">
        <v>77</v>
      </c>
      <c r="T25" s="178" t="s">
        <v>47</v>
      </c>
      <c r="U25" s="149"/>
    </row>
    <row r="26" spans="1:22">
      <c r="A26" s="187">
        <v>46136</v>
      </c>
      <c r="B26" s="48" t="s">
        <v>84</v>
      </c>
      <c r="C26" s="41" t="s">
        <v>119</v>
      </c>
      <c r="D26" s="80" t="s">
        <v>54</v>
      </c>
      <c r="E26" s="52" t="s">
        <v>55</v>
      </c>
      <c r="F26" s="52" t="s">
        <v>56</v>
      </c>
      <c r="G26" s="52" t="s">
        <v>27</v>
      </c>
      <c r="H26" s="52" t="s">
        <v>28</v>
      </c>
      <c r="I26" s="163" t="s">
        <v>29</v>
      </c>
      <c r="J26" s="80" t="s">
        <v>54</v>
      </c>
      <c r="K26" s="52" t="s">
        <v>55</v>
      </c>
      <c r="L26" s="52" t="s">
        <v>56</v>
      </c>
      <c r="M26" s="52" t="s">
        <v>27</v>
      </c>
      <c r="N26" s="52" t="s">
        <v>28</v>
      </c>
      <c r="O26" s="48" t="s">
        <v>29</v>
      </c>
      <c r="P26" s="80" t="s">
        <v>54</v>
      </c>
      <c r="Q26" s="52" t="s">
        <v>55</v>
      </c>
      <c r="R26" s="52" t="s">
        <v>56</v>
      </c>
      <c r="S26" s="52" t="s">
        <v>27</v>
      </c>
      <c r="T26" s="52" t="s">
        <v>28</v>
      </c>
      <c r="U26" s="48" t="s">
        <v>29</v>
      </c>
    </row>
    <row r="27" spans="1:22">
      <c r="A27" s="45">
        <v>46137</v>
      </c>
      <c r="B27" s="46" t="s">
        <v>85</v>
      </c>
      <c r="C27" s="55" t="s">
        <v>111</v>
      </c>
      <c r="D27" s="143"/>
      <c r="E27" s="144"/>
      <c r="F27" s="144"/>
      <c r="G27" s="144"/>
      <c r="H27" s="144"/>
      <c r="I27" s="145"/>
      <c r="J27" s="143"/>
      <c r="K27" s="144"/>
      <c r="L27" s="144"/>
      <c r="M27" s="144"/>
      <c r="N27" s="144"/>
      <c r="O27" s="46"/>
      <c r="P27" s="143"/>
      <c r="Q27" s="144"/>
      <c r="R27" s="144"/>
      <c r="S27" s="144"/>
      <c r="T27" s="144"/>
      <c r="U27" s="46"/>
    </row>
    <row r="28" spans="1:22">
      <c r="A28" s="45">
        <v>46138</v>
      </c>
      <c r="B28" s="46" t="s">
        <v>86</v>
      </c>
      <c r="C28" s="55" t="s">
        <v>111</v>
      </c>
      <c r="D28" s="143"/>
      <c r="E28" s="144"/>
      <c r="F28" s="144"/>
      <c r="G28" s="144"/>
      <c r="H28" s="144"/>
      <c r="I28" s="145"/>
      <c r="J28" s="143"/>
      <c r="K28" s="144"/>
      <c r="L28" s="144"/>
      <c r="M28" s="144"/>
      <c r="N28" s="144"/>
      <c r="O28" s="46"/>
      <c r="P28" s="143"/>
      <c r="Q28" s="144"/>
      <c r="R28" s="144"/>
      <c r="S28" s="144"/>
      <c r="T28" s="144"/>
      <c r="U28" s="46"/>
    </row>
    <row r="29" spans="1:22">
      <c r="A29" s="187">
        <v>46139</v>
      </c>
      <c r="B29" s="48" t="s">
        <v>80</v>
      </c>
      <c r="C29" s="41" t="s">
        <v>120</v>
      </c>
      <c r="D29" s="80" t="s">
        <v>0</v>
      </c>
      <c r="E29" s="52" t="s">
        <v>1</v>
      </c>
      <c r="F29" s="52" t="s">
        <v>2</v>
      </c>
      <c r="G29" s="52" t="s">
        <v>3</v>
      </c>
      <c r="H29" s="52" t="s">
        <v>162</v>
      </c>
      <c r="I29" s="163" t="s">
        <v>161</v>
      </c>
      <c r="J29" s="80" t="s">
        <v>0</v>
      </c>
      <c r="K29" s="52" t="s">
        <v>1</v>
      </c>
      <c r="L29" s="52" t="s">
        <v>2</v>
      </c>
      <c r="M29" s="52" t="s">
        <v>3</v>
      </c>
      <c r="N29" s="52" t="s">
        <v>162</v>
      </c>
      <c r="O29" s="48" t="s">
        <v>161</v>
      </c>
      <c r="P29" s="80" t="s">
        <v>0</v>
      </c>
      <c r="Q29" s="52" t="s">
        <v>1</v>
      </c>
      <c r="R29" s="52" t="s">
        <v>2</v>
      </c>
      <c r="S29" s="52" t="s">
        <v>3</v>
      </c>
      <c r="T29" s="52" t="s">
        <v>162</v>
      </c>
      <c r="U29" s="48" t="s">
        <v>161</v>
      </c>
    </row>
    <row r="30" spans="1:22">
      <c r="A30" s="187">
        <v>46140</v>
      </c>
      <c r="B30" s="48" t="s">
        <v>81</v>
      </c>
      <c r="C30" s="41" t="s">
        <v>121</v>
      </c>
      <c r="D30" s="80" t="s">
        <v>36</v>
      </c>
      <c r="E30" s="52" t="s">
        <v>37</v>
      </c>
      <c r="F30" s="52" t="s">
        <v>38</v>
      </c>
      <c r="G30" s="52" t="s">
        <v>39</v>
      </c>
      <c r="H30" s="52" t="s">
        <v>40</v>
      </c>
      <c r="I30" s="178" t="s">
        <v>28</v>
      </c>
      <c r="J30" s="80" t="s">
        <v>36</v>
      </c>
      <c r="K30" s="52" t="s">
        <v>37</v>
      </c>
      <c r="L30" s="52" t="s">
        <v>38</v>
      </c>
      <c r="M30" s="52" t="s">
        <v>39</v>
      </c>
      <c r="N30" s="52" t="s">
        <v>40</v>
      </c>
      <c r="O30" s="199" t="s">
        <v>28</v>
      </c>
      <c r="P30" s="80" t="s">
        <v>36</v>
      </c>
      <c r="Q30" s="52" t="s">
        <v>37</v>
      </c>
      <c r="R30" s="52" t="s">
        <v>38</v>
      </c>
      <c r="S30" s="52" t="s">
        <v>39</v>
      </c>
      <c r="T30" s="52" t="s">
        <v>40</v>
      </c>
      <c r="U30" s="199" t="s">
        <v>28</v>
      </c>
    </row>
    <row r="31" spans="1:22">
      <c r="A31" s="45">
        <v>46141</v>
      </c>
      <c r="B31" s="46" t="s">
        <v>82</v>
      </c>
      <c r="C31" s="55" t="s">
        <v>122</v>
      </c>
      <c r="D31" s="143"/>
      <c r="E31" s="144"/>
      <c r="F31" s="144"/>
      <c r="G31" s="144"/>
      <c r="H31" s="144"/>
      <c r="I31" s="145"/>
      <c r="J31" s="143"/>
      <c r="K31" s="144"/>
      <c r="L31" s="144"/>
      <c r="M31" s="144"/>
      <c r="N31" s="144"/>
      <c r="O31" s="46"/>
      <c r="P31" s="143"/>
      <c r="Q31" s="144"/>
      <c r="R31" s="144"/>
      <c r="S31" s="144"/>
      <c r="T31" s="144"/>
      <c r="U31" s="46"/>
    </row>
    <row r="32" spans="1:22" ht="18" thickBot="1">
      <c r="A32" s="244">
        <v>46142</v>
      </c>
      <c r="B32" s="266" t="s">
        <v>83</v>
      </c>
      <c r="C32" s="267" t="s">
        <v>123</v>
      </c>
      <c r="D32" s="233" t="s">
        <v>48</v>
      </c>
      <c r="E32" s="234" t="s">
        <v>49</v>
      </c>
      <c r="F32" s="234" t="s">
        <v>50</v>
      </c>
      <c r="G32" s="234" t="s">
        <v>51</v>
      </c>
      <c r="H32" s="234" t="s">
        <v>52</v>
      </c>
      <c r="I32" s="287"/>
      <c r="J32" s="233" t="s">
        <v>48</v>
      </c>
      <c r="K32" s="234" t="s">
        <v>49</v>
      </c>
      <c r="L32" s="234" t="s">
        <v>50</v>
      </c>
      <c r="M32" s="234" t="s">
        <v>51</v>
      </c>
      <c r="N32" s="234" t="s">
        <v>52</v>
      </c>
      <c r="O32" s="288"/>
      <c r="P32" s="233" t="s">
        <v>48</v>
      </c>
      <c r="Q32" s="234" t="s">
        <v>49</v>
      </c>
      <c r="R32" s="234" t="s">
        <v>50</v>
      </c>
      <c r="S32" s="234" t="s">
        <v>51</v>
      </c>
      <c r="T32" s="234" t="s">
        <v>163</v>
      </c>
      <c r="U32" s="288"/>
    </row>
    <row r="33" spans="1:21">
      <c r="A33" s="245">
        <v>46143</v>
      </c>
      <c r="B33" s="257" t="s">
        <v>84</v>
      </c>
      <c r="C33" s="258" t="s">
        <v>218</v>
      </c>
      <c r="D33" s="269" t="s">
        <v>54</v>
      </c>
      <c r="E33" s="260" t="s">
        <v>55</v>
      </c>
      <c r="F33" s="260" t="s">
        <v>56</v>
      </c>
      <c r="G33" s="260" t="s">
        <v>27</v>
      </c>
      <c r="H33" s="259" t="s">
        <v>75</v>
      </c>
      <c r="I33" s="289" t="s">
        <v>29</v>
      </c>
      <c r="J33" s="269" t="s">
        <v>54</v>
      </c>
      <c r="K33" s="260" t="s">
        <v>55</v>
      </c>
      <c r="L33" s="260" t="s">
        <v>56</v>
      </c>
      <c r="M33" s="260" t="s">
        <v>27</v>
      </c>
      <c r="N33" s="259" t="s">
        <v>75</v>
      </c>
      <c r="O33" s="257" t="s">
        <v>29</v>
      </c>
      <c r="P33" s="269" t="s">
        <v>54</v>
      </c>
      <c r="Q33" s="260" t="s">
        <v>55</v>
      </c>
      <c r="R33" s="260" t="s">
        <v>56</v>
      </c>
      <c r="S33" s="260" t="s">
        <v>27</v>
      </c>
      <c r="T33" s="260" t="s">
        <v>164</v>
      </c>
      <c r="U33" s="257" t="s">
        <v>165</v>
      </c>
    </row>
    <row r="34" spans="1:21">
      <c r="A34" s="45">
        <v>46144</v>
      </c>
      <c r="B34" s="46" t="s">
        <v>85</v>
      </c>
      <c r="C34" s="55" t="s">
        <v>111</v>
      </c>
      <c r="D34" s="143"/>
      <c r="E34" s="144"/>
      <c r="F34" s="144"/>
      <c r="G34" s="144"/>
      <c r="H34" s="144"/>
      <c r="I34" s="145"/>
      <c r="J34" s="143"/>
      <c r="K34" s="144"/>
      <c r="L34" s="144"/>
      <c r="M34" s="144"/>
      <c r="N34" s="144"/>
      <c r="O34" s="46"/>
      <c r="P34" s="143"/>
      <c r="Q34" s="144"/>
      <c r="R34" s="144"/>
      <c r="S34" s="144"/>
      <c r="T34" s="144"/>
      <c r="U34" s="46"/>
    </row>
    <row r="35" spans="1:21">
      <c r="A35" s="45">
        <v>46145</v>
      </c>
      <c r="B35" s="46" t="s">
        <v>86</v>
      </c>
      <c r="C35" s="55" t="s">
        <v>124</v>
      </c>
      <c r="D35" s="143"/>
      <c r="E35" s="144"/>
      <c r="F35" s="144"/>
      <c r="G35" s="144"/>
      <c r="H35" s="144"/>
      <c r="I35" s="145"/>
      <c r="J35" s="143"/>
      <c r="K35" s="144"/>
      <c r="L35" s="144"/>
      <c r="M35" s="144"/>
      <c r="N35" s="144"/>
      <c r="O35" s="46"/>
      <c r="P35" s="143"/>
      <c r="Q35" s="144"/>
      <c r="R35" s="144"/>
      <c r="S35" s="144"/>
      <c r="T35" s="144"/>
      <c r="U35" s="46"/>
    </row>
    <row r="36" spans="1:21">
      <c r="A36" s="45">
        <v>46146</v>
      </c>
      <c r="B36" s="46" t="s">
        <v>80</v>
      </c>
      <c r="C36" s="55" t="s">
        <v>125</v>
      </c>
      <c r="D36" s="143"/>
      <c r="E36" s="144"/>
      <c r="F36" s="144"/>
      <c r="G36" s="144"/>
      <c r="H36" s="144"/>
      <c r="I36" s="145"/>
      <c r="J36" s="143"/>
      <c r="K36" s="144"/>
      <c r="L36" s="144"/>
      <c r="M36" s="144"/>
      <c r="N36" s="144"/>
      <c r="O36" s="46"/>
      <c r="P36" s="143"/>
      <c r="Q36" s="144"/>
      <c r="R36" s="144"/>
      <c r="S36" s="144"/>
      <c r="T36" s="144"/>
      <c r="U36" s="46"/>
    </row>
    <row r="37" spans="1:21">
      <c r="A37" s="45">
        <v>46147</v>
      </c>
      <c r="B37" s="46" t="s">
        <v>81</v>
      </c>
      <c r="C37" s="55" t="s">
        <v>126</v>
      </c>
      <c r="D37" s="143"/>
      <c r="E37" s="144"/>
      <c r="F37" s="144"/>
      <c r="G37" s="144"/>
      <c r="H37" s="144"/>
      <c r="I37" s="145"/>
      <c r="J37" s="143"/>
      <c r="K37" s="144"/>
      <c r="L37" s="144"/>
      <c r="M37" s="144"/>
      <c r="N37" s="144"/>
      <c r="O37" s="46"/>
      <c r="P37" s="143"/>
      <c r="Q37" s="144"/>
      <c r="R37" s="144"/>
      <c r="S37" s="144"/>
      <c r="T37" s="144"/>
      <c r="U37" s="46"/>
    </row>
    <row r="38" spans="1:21">
      <c r="A38" s="45">
        <v>46148</v>
      </c>
      <c r="B38" s="46" t="s">
        <v>82</v>
      </c>
      <c r="C38" s="55" t="s">
        <v>127</v>
      </c>
      <c r="D38" s="143"/>
      <c r="E38" s="144"/>
      <c r="F38" s="144"/>
      <c r="G38" s="144"/>
      <c r="H38" s="144"/>
      <c r="I38" s="145"/>
      <c r="J38" s="143"/>
      <c r="K38" s="144"/>
      <c r="L38" s="144"/>
      <c r="M38" s="144"/>
      <c r="N38" s="144"/>
      <c r="O38" s="46"/>
      <c r="P38" s="143"/>
      <c r="Q38" s="144"/>
      <c r="R38" s="144"/>
      <c r="S38" s="144"/>
      <c r="T38" s="144"/>
      <c r="U38" s="46"/>
    </row>
    <row r="39" spans="1:21">
      <c r="A39" s="187">
        <v>46149</v>
      </c>
      <c r="B39" s="48" t="s">
        <v>83</v>
      </c>
      <c r="C39" s="41" t="s">
        <v>128</v>
      </c>
      <c r="D39" s="179" t="s">
        <v>0</v>
      </c>
      <c r="E39" s="168" t="s">
        <v>1</v>
      </c>
      <c r="F39" s="168" t="s">
        <v>2</v>
      </c>
      <c r="G39" s="168" t="s">
        <v>3</v>
      </c>
      <c r="H39" s="168" t="s">
        <v>4</v>
      </c>
      <c r="I39" s="276"/>
      <c r="J39" s="179" t="s">
        <v>0</v>
      </c>
      <c r="K39" s="168" t="s">
        <v>1</v>
      </c>
      <c r="L39" s="168" t="s">
        <v>2</v>
      </c>
      <c r="M39" s="168" t="s">
        <v>3</v>
      </c>
      <c r="N39" s="168" t="s">
        <v>4</v>
      </c>
      <c r="O39" s="149"/>
      <c r="P39" s="179" t="s">
        <v>0</v>
      </c>
      <c r="Q39" s="168" t="s">
        <v>1</v>
      </c>
      <c r="R39" s="168" t="s">
        <v>2</v>
      </c>
      <c r="S39" s="168" t="s">
        <v>3</v>
      </c>
      <c r="T39" s="168" t="s">
        <v>4</v>
      </c>
      <c r="U39" s="149"/>
    </row>
    <row r="40" spans="1:21">
      <c r="A40" s="187">
        <v>46150</v>
      </c>
      <c r="B40" s="48" t="s">
        <v>84</v>
      </c>
      <c r="C40" s="41" t="s">
        <v>129</v>
      </c>
      <c r="D40" s="79" t="s">
        <v>220</v>
      </c>
      <c r="H40" s="52" t="s">
        <v>219</v>
      </c>
      <c r="I40" s="276"/>
      <c r="J40" s="79" t="s">
        <v>220</v>
      </c>
      <c r="N40" s="52" t="s">
        <v>219</v>
      </c>
      <c r="O40" s="149"/>
      <c r="P40" s="79" t="s">
        <v>220</v>
      </c>
      <c r="T40" s="52" t="s">
        <v>219</v>
      </c>
      <c r="U40" s="149"/>
    </row>
    <row r="41" spans="1:21">
      <c r="A41" s="45">
        <v>46151</v>
      </c>
      <c r="B41" s="46" t="s">
        <v>85</v>
      </c>
      <c r="C41" s="55" t="s">
        <v>111</v>
      </c>
      <c r="D41" s="143"/>
      <c r="E41" s="144"/>
      <c r="F41" s="144"/>
      <c r="G41" s="144"/>
      <c r="H41" s="144"/>
      <c r="I41" s="145"/>
      <c r="J41" s="143"/>
      <c r="K41" s="144"/>
      <c r="L41" s="144"/>
      <c r="M41" s="144"/>
      <c r="N41" s="144"/>
      <c r="O41" s="46"/>
      <c r="P41" s="143"/>
      <c r="Q41" s="144"/>
      <c r="R41" s="144"/>
      <c r="S41" s="144"/>
      <c r="T41" s="144"/>
      <c r="U41" s="46"/>
    </row>
    <row r="42" spans="1:21">
      <c r="A42" s="45">
        <v>46152</v>
      </c>
      <c r="B42" s="46" t="s">
        <v>86</v>
      </c>
      <c r="C42" s="55" t="s">
        <v>111</v>
      </c>
      <c r="D42" s="143"/>
      <c r="E42" s="144"/>
      <c r="F42" s="144"/>
      <c r="G42" s="144"/>
      <c r="H42" s="144"/>
      <c r="I42" s="145"/>
      <c r="J42" s="143"/>
      <c r="K42" s="144"/>
      <c r="L42" s="144"/>
      <c r="M42" s="144"/>
      <c r="N42" s="144"/>
      <c r="O42" s="46"/>
      <c r="P42" s="143"/>
      <c r="Q42" s="144"/>
      <c r="R42" s="144"/>
      <c r="S42" s="144"/>
      <c r="T42" s="144"/>
      <c r="U42" s="46"/>
    </row>
    <row r="43" spans="1:21">
      <c r="A43" s="187">
        <v>46153</v>
      </c>
      <c r="B43" s="48" t="s">
        <v>80</v>
      </c>
      <c r="C43" s="41" t="s">
        <v>130</v>
      </c>
      <c r="D43" s="80" t="s">
        <v>0</v>
      </c>
      <c r="E43" s="52" t="s">
        <v>1</v>
      </c>
      <c r="F43" s="52" t="s">
        <v>2</v>
      </c>
      <c r="G43" s="52" t="s">
        <v>3</v>
      </c>
      <c r="H43" s="52" t="s">
        <v>4</v>
      </c>
      <c r="I43" s="163" t="s">
        <v>5</v>
      </c>
      <c r="J43" s="80" t="s">
        <v>0</v>
      </c>
      <c r="K43" s="52" t="s">
        <v>1</v>
      </c>
      <c r="L43" s="52" t="s">
        <v>2</v>
      </c>
      <c r="M43" s="52" t="s">
        <v>3</v>
      </c>
      <c r="N43" s="52" t="s">
        <v>4</v>
      </c>
      <c r="O43" s="48" t="s">
        <v>5</v>
      </c>
      <c r="P43" s="81" t="s">
        <v>0</v>
      </c>
      <c r="Q43" s="161" t="s">
        <v>1</v>
      </c>
      <c r="R43" s="161" t="s">
        <v>2</v>
      </c>
      <c r="S43" s="52" t="s">
        <v>3</v>
      </c>
      <c r="T43" s="52" t="s">
        <v>4</v>
      </c>
      <c r="U43" s="48" t="s">
        <v>5</v>
      </c>
    </row>
    <row r="44" spans="1:21">
      <c r="A44" s="187">
        <v>46154</v>
      </c>
      <c r="B44" s="48" t="s">
        <v>81</v>
      </c>
      <c r="C44" s="41" t="s">
        <v>111</v>
      </c>
      <c r="D44" s="80" t="s">
        <v>36</v>
      </c>
      <c r="E44" s="52" t="s">
        <v>37</v>
      </c>
      <c r="F44" s="52" t="s">
        <v>38</v>
      </c>
      <c r="G44" s="52" t="s">
        <v>39</v>
      </c>
      <c r="H44" s="52" t="s">
        <v>40</v>
      </c>
      <c r="I44" s="163" t="s">
        <v>41</v>
      </c>
      <c r="J44" s="80" t="s">
        <v>36</v>
      </c>
      <c r="K44" s="52" t="s">
        <v>37</v>
      </c>
      <c r="L44" s="52" t="s">
        <v>38</v>
      </c>
      <c r="M44" s="52" t="s">
        <v>39</v>
      </c>
      <c r="N44" s="52" t="s">
        <v>40</v>
      </c>
      <c r="O44" s="48" t="s">
        <v>41</v>
      </c>
      <c r="P44" s="80" t="s">
        <v>36</v>
      </c>
      <c r="Q44" s="52" t="s">
        <v>37</v>
      </c>
      <c r="R44" s="52" t="s">
        <v>38</v>
      </c>
      <c r="S44" s="52" t="s">
        <v>39</v>
      </c>
      <c r="T44" s="52" t="s">
        <v>40</v>
      </c>
      <c r="U44" s="48" t="s">
        <v>41</v>
      </c>
    </row>
    <row r="45" spans="1:21">
      <c r="A45" s="187">
        <v>46155</v>
      </c>
      <c r="B45" s="48" t="s">
        <v>82</v>
      </c>
      <c r="C45" s="41" t="s">
        <v>131</v>
      </c>
      <c r="D45" s="80" t="s">
        <v>42</v>
      </c>
      <c r="E45" s="52" t="s">
        <v>43</v>
      </c>
      <c r="F45" s="52" t="s">
        <v>44</v>
      </c>
      <c r="G45" s="52" t="s">
        <v>45</v>
      </c>
      <c r="H45" s="52" t="s">
        <v>46</v>
      </c>
      <c r="I45" s="163" t="s">
        <v>47</v>
      </c>
      <c r="J45" s="80" t="s">
        <v>42</v>
      </c>
      <c r="K45" s="52" t="s">
        <v>43</v>
      </c>
      <c r="L45" s="52" t="s">
        <v>44</v>
      </c>
      <c r="M45" s="52" t="s">
        <v>45</v>
      </c>
      <c r="N45" s="52" t="s">
        <v>16</v>
      </c>
      <c r="O45" s="48" t="s">
        <v>47</v>
      </c>
      <c r="P45" s="80" t="s">
        <v>42</v>
      </c>
      <c r="Q45" s="52" t="s">
        <v>43</v>
      </c>
      <c r="R45" s="52" t="s">
        <v>44</v>
      </c>
      <c r="S45" s="52" t="s">
        <v>45</v>
      </c>
      <c r="T45" s="52" t="s">
        <v>46</v>
      </c>
      <c r="U45" s="48" t="s">
        <v>47</v>
      </c>
    </row>
    <row r="46" spans="1:21">
      <c r="A46" s="187">
        <v>46156</v>
      </c>
      <c r="B46" s="48" t="s">
        <v>83</v>
      </c>
      <c r="C46" s="41" t="s">
        <v>111</v>
      </c>
      <c r="D46" s="80" t="s">
        <v>48</v>
      </c>
      <c r="E46" s="52" t="s">
        <v>49</v>
      </c>
      <c r="F46" s="52" t="s">
        <v>50</v>
      </c>
      <c r="G46" s="52" t="s">
        <v>51</v>
      </c>
      <c r="H46" s="52" t="s">
        <v>52</v>
      </c>
      <c r="I46" s="276"/>
      <c r="J46" s="80" t="s">
        <v>48</v>
      </c>
      <c r="K46" s="52" t="s">
        <v>49</v>
      </c>
      <c r="L46" s="52" t="s">
        <v>50</v>
      </c>
      <c r="M46" s="52" t="s">
        <v>51</v>
      </c>
      <c r="N46" s="52" t="s">
        <v>52</v>
      </c>
      <c r="O46" s="149"/>
      <c r="P46" s="80" t="s">
        <v>48</v>
      </c>
      <c r="Q46" s="52" t="s">
        <v>49</v>
      </c>
      <c r="R46" s="52" t="s">
        <v>50</v>
      </c>
      <c r="S46" s="52" t="s">
        <v>51</v>
      </c>
      <c r="T46" s="52" t="s">
        <v>52</v>
      </c>
      <c r="U46" s="149"/>
    </row>
    <row r="47" spans="1:21">
      <c r="A47" s="187">
        <v>46157</v>
      </c>
      <c r="B47" s="48" t="s">
        <v>84</v>
      </c>
      <c r="C47" s="41" t="s">
        <v>111</v>
      </c>
      <c r="D47" s="80" t="s">
        <v>54</v>
      </c>
      <c r="E47" s="52" t="s">
        <v>55</v>
      </c>
      <c r="F47" s="52" t="s">
        <v>56</v>
      </c>
      <c r="G47" s="52" t="s">
        <v>57</v>
      </c>
      <c r="H47" s="52" t="s">
        <v>58</v>
      </c>
      <c r="I47" s="276"/>
      <c r="J47" s="80" t="s">
        <v>54</v>
      </c>
      <c r="K47" s="52" t="s">
        <v>55</v>
      </c>
      <c r="L47" s="52" t="s">
        <v>56</v>
      </c>
      <c r="M47" s="52" t="s">
        <v>57</v>
      </c>
      <c r="N47" s="52" t="s">
        <v>58</v>
      </c>
      <c r="O47" s="149"/>
      <c r="P47" s="81" t="s">
        <v>54</v>
      </c>
      <c r="Q47" s="161" t="s">
        <v>55</v>
      </c>
      <c r="R47" s="161" t="s">
        <v>56</v>
      </c>
      <c r="S47" s="161" t="s">
        <v>57</v>
      </c>
      <c r="T47" s="161" t="s">
        <v>58</v>
      </c>
      <c r="U47" s="149"/>
    </row>
    <row r="48" spans="1:21" s="221" customFormat="1">
      <c r="A48" s="215">
        <v>46158</v>
      </c>
      <c r="B48" s="216" t="s">
        <v>85</v>
      </c>
      <c r="C48" s="217" t="s">
        <v>111</v>
      </c>
      <c r="D48" s="218"/>
      <c r="E48" s="219"/>
      <c r="F48" s="219"/>
      <c r="G48" s="219"/>
      <c r="H48" s="226"/>
      <c r="I48" s="227"/>
      <c r="J48" s="218"/>
      <c r="K48" s="219"/>
      <c r="L48" s="219"/>
      <c r="M48" s="219"/>
      <c r="N48" s="219"/>
      <c r="O48" s="216"/>
      <c r="P48" s="286"/>
      <c r="Q48" s="226"/>
      <c r="R48" s="226"/>
      <c r="S48" s="226"/>
      <c r="T48" s="226"/>
      <c r="U48" s="228"/>
    </row>
    <row r="49" spans="1:23">
      <c r="A49" s="45">
        <v>46159</v>
      </c>
      <c r="B49" s="46" t="s">
        <v>86</v>
      </c>
      <c r="C49" s="55" t="s">
        <v>111</v>
      </c>
      <c r="D49" s="143"/>
      <c r="E49" s="144"/>
      <c r="F49" s="144"/>
      <c r="G49" s="144"/>
      <c r="H49" s="144"/>
      <c r="I49" s="145"/>
      <c r="J49" s="143"/>
      <c r="K49" s="144"/>
      <c r="L49" s="144"/>
      <c r="M49" s="144"/>
      <c r="N49" s="144"/>
      <c r="O49" s="46"/>
      <c r="P49" s="174"/>
      <c r="Q49" s="144"/>
      <c r="R49" s="144"/>
      <c r="S49" s="144"/>
      <c r="T49" s="144"/>
      <c r="U49" s="167"/>
    </row>
    <row r="50" spans="1:23" s="221" customFormat="1">
      <c r="A50" s="187">
        <v>46160</v>
      </c>
      <c r="B50" s="77" t="s">
        <v>80</v>
      </c>
      <c r="C50" s="78" t="s">
        <v>132</v>
      </c>
      <c r="D50" s="224" t="s">
        <v>166</v>
      </c>
      <c r="E50" s="168" t="s">
        <v>1</v>
      </c>
      <c r="F50" s="168" t="s">
        <v>2</v>
      </c>
      <c r="G50" s="168" t="s">
        <v>4</v>
      </c>
      <c r="H50" s="168" t="s">
        <v>5</v>
      </c>
      <c r="I50" s="277"/>
      <c r="J50" s="224" t="s">
        <v>166</v>
      </c>
      <c r="K50" s="168" t="s">
        <v>1</v>
      </c>
      <c r="L50" s="168" t="s">
        <v>2</v>
      </c>
      <c r="M50" s="168" t="s">
        <v>4</v>
      </c>
      <c r="N50" s="168" t="s">
        <v>5</v>
      </c>
      <c r="O50" s="225"/>
      <c r="P50" s="224" t="s">
        <v>166</v>
      </c>
      <c r="Q50" s="168" t="s">
        <v>1</v>
      </c>
      <c r="R50" s="168" t="s">
        <v>2</v>
      </c>
      <c r="S50" s="168" t="s">
        <v>4</v>
      </c>
      <c r="T50" s="168" t="s">
        <v>5</v>
      </c>
      <c r="U50" s="225"/>
    </row>
    <row r="51" spans="1:23">
      <c r="A51" s="187">
        <v>46161</v>
      </c>
      <c r="B51" s="48" t="s">
        <v>81</v>
      </c>
      <c r="C51" s="41" t="s">
        <v>132</v>
      </c>
      <c r="D51" s="80" t="s">
        <v>166</v>
      </c>
      <c r="E51" s="168" t="s">
        <v>153</v>
      </c>
      <c r="F51" s="168" t="s">
        <v>154</v>
      </c>
      <c r="G51" s="168" t="s">
        <v>155</v>
      </c>
      <c r="H51" s="168" t="s">
        <v>140</v>
      </c>
      <c r="I51" s="276"/>
      <c r="J51" s="80" t="s">
        <v>166</v>
      </c>
      <c r="K51" s="168" t="s">
        <v>153</v>
      </c>
      <c r="L51" s="168" t="s">
        <v>154</v>
      </c>
      <c r="M51" s="168" t="s">
        <v>155</v>
      </c>
      <c r="N51" s="168" t="s">
        <v>11</v>
      </c>
      <c r="O51" s="149"/>
      <c r="P51" s="80" t="s">
        <v>166</v>
      </c>
      <c r="Q51" s="168" t="s">
        <v>153</v>
      </c>
      <c r="R51" s="168" t="s">
        <v>154</v>
      </c>
      <c r="S51" s="168" t="s">
        <v>155</v>
      </c>
      <c r="T51" s="168" t="s">
        <v>11</v>
      </c>
      <c r="U51" s="149"/>
    </row>
    <row r="52" spans="1:23">
      <c r="A52" s="187">
        <v>46162</v>
      </c>
      <c r="B52" s="48" t="s">
        <v>82</v>
      </c>
      <c r="C52" s="41" t="s">
        <v>133</v>
      </c>
      <c r="D52" s="80" t="s">
        <v>166</v>
      </c>
      <c r="E52" s="168" t="s">
        <v>43</v>
      </c>
      <c r="F52" s="168" t="s">
        <v>44</v>
      </c>
      <c r="G52" s="168" t="s">
        <v>45</v>
      </c>
      <c r="H52" s="168" t="s">
        <v>75</v>
      </c>
      <c r="I52" s="276"/>
      <c r="J52" s="80" t="s">
        <v>166</v>
      </c>
      <c r="K52" s="168" t="s">
        <v>43</v>
      </c>
      <c r="L52" s="168" t="s">
        <v>44</v>
      </c>
      <c r="M52" s="168" t="s">
        <v>45</v>
      </c>
      <c r="N52" s="168" t="s">
        <v>75</v>
      </c>
      <c r="O52" s="149"/>
      <c r="P52" s="80" t="s">
        <v>166</v>
      </c>
      <c r="Q52" s="168" t="s">
        <v>43</v>
      </c>
      <c r="R52" s="168" t="s">
        <v>44</v>
      </c>
      <c r="S52" s="168" t="s">
        <v>45</v>
      </c>
      <c r="T52" s="168" t="s">
        <v>17</v>
      </c>
      <c r="U52" s="149"/>
      <c r="W52" s="50"/>
    </row>
    <row r="53" spans="1:23">
      <c r="A53" s="187">
        <v>46163</v>
      </c>
      <c r="B53" s="48" t="s">
        <v>83</v>
      </c>
      <c r="C53" s="41" t="s">
        <v>134</v>
      </c>
      <c r="D53" s="80" t="s">
        <v>48</v>
      </c>
      <c r="E53" s="52" t="s">
        <v>49</v>
      </c>
      <c r="F53" s="52" t="s">
        <v>50</v>
      </c>
      <c r="G53" s="52" t="s">
        <v>51</v>
      </c>
      <c r="H53" s="52" t="s">
        <v>52</v>
      </c>
      <c r="I53" s="276"/>
      <c r="J53" s="80" t="s">
        <v>48</v>
      </c>
      <c r="K53" s="52" t="s">
        <v>49</v>
      </c>
      <c r="L53" s="52" t="s">
        <v>50</v>
      </c>
      <c r="M53" s="52" t="s">
        <v>51</v>
      </c>
      <c r="N53" s="52" t="s">
        <v>52</v>
      </c>
      <c r="O53" s="149"/>
      <c r="P53" s="80" t="s">
        <v>48</v>
      </c>
      <c r="Q53" s="52" t="s">
        <v>49</v>
      </c>
      <c r="R53" s="52" t="s">
        <v>50</v>
      </c>
      <c r="S53" s="52" t="s">
        <v>51</v>
      </c>
      <c r="T53" s="52" t="s">
        <v>52</v>
      </c>
      <c r="U53" s="149"/>
    </row>
    <row r="54" spans="1:23">
      <c r="A54" s="187">
        <v>46164</v>
      </c>
      <c r="B54" s="48" t="s">
        <v>84</v>
      </c>
      <c r="C54" s="41" t="s">
        <v>111</v>
      </c>
      <c r="D54" s="80" t="s">
        <v>54</v>
      </c>
      <c r="E54" s="52" t="s">
        <v>55</v>
      </c>
      <c r="F54" s="52" t="s">
        <v>56</v>
      </c>
      <c r="G54" s="52" t="s">
        <v>57</v>
      </c>
      <c r="H54" s="52" t="s">
        <v>58</v>
      </c>
      <c r="I54" s="163" t="s">
        <v>59</v>
      </c>
      <c r="J54" s="80" t="s">
        <v>54</v>
      </c>
      <c r="K54" s="52" t="s">
        <v>55</v>
      </c>
      <c r="L54" s="52" t="s">
        <v>56</v>
      </c>
      <c r="M54" s="52" t="s">
        <v>57</v>
      </c>
      <c r="N54" s="52" t="s">
        <v>58</v>
      </c>
      <c r="O54" s="48" t="s">
        <v>59</v>
      </c>
      <c r="P54" s="80" t="s">
        <v>54</v>
      </c>
      <c r="Q54" s="52" t="s">
        <v>55</v>
      </c>
      <c r="R54" s="52" t="s">
        <v>56</v>
      </c>
      <c r="S54" s="52" t="s">
        <v>57</v>
      </c>
      <c r="T54" s="52" t="s">
        <v>58</v>
      </c>
      <c r="U54" s="48" t="s">
        <v>59</v>
      </c>
    </row>
    <row r="55" spans="1:23">
      <c r="A55" s="45">
        <v>46165</v>
      </c>
      <c r="B55" s="46" t="s">
        <v>85</v>
      </c>
      <c r="C55" s="55" t="s">
        <v>111</v>
      </c>
      <c r="D55" s="143"/>
      <c r="E55" s="144"/>
      <c r="F55" s="144"/>
      <c r="G55" s="144"/>
      <c r="H55" s="144"/>
      <c r="I55" s="145"/>
      <c r="J55" s="143"/>
      <c r="K55" s="144"/>
      <c r="L55" s="144"/>
      <c r="M55" s="144"/>
      <c r="N55" s="144"/>
      <c r="O55" s="46"/>
      <c r="P55" s="143"/>
      <c r="Q55" s="144"/>
      <c r="R55" s="144"/>
      <c r="S55" s="144"/>
      <c r="T55" s="144"/>
      <c r="U55" s="46"/>
    </row>
    <row r="56" spans="1:23">
      <c r="A56" s="45">
        <v>46166</v>
      </c>
      <c r="B56" s="46" t="s">
        <v>86</v>
      </c>
      <c r="C56" s="55" t="s">
        <v>111</v>
      </c>
      <c r="D56" s="143"/>
      <c r="E56" s="144"/>
      <c r="F56" s="144"/>
      <c r="G56" s="144"/>
      <c r="H56" s="144"/>
      <c r="I56" s="145"/>
      <c r="J56" s="143"/>
      <c r="K56" s="144"/>
      <c r="L56" s="144"/>
      <c r="M56" s="144"/>
      <c r="N56" s="144"/>
      <c r="O56" s="46"/>
      <c r="P56" s="143"/>
      <c r="Q56" s="144"/>
      <c r="R56" s="144"/>
      <c r="S56" s="144"/>
      <c r="T56" s="144"/>
      <c r="U56" s="46"/>
    </row>
    <row r="57" spans="1:23">
      <c r="A57" s="187">
        <v>46167</v>
      </c>
      <c r="B57" s="48" t="s">
        <v>80</v>
      </c>
      <c r="C57" s="41" t="s">
        <v>135</v>
      </c>
      <c r="D57" s="179" t="s">
        <v>36</v>
      </c>
      <c r="E57" s="168" t="s">
        <v>38</v>
      </c>
      <c r="F57" s="168" t="s">
        <v>39</v>
      </c>
      <c r="G57" s="168" t="s">
        <v>40</v>
      </c>
      <c r="H57" s="178" t="s">
        <v>41</v>
      </c>
      <c r="I57" s="145"/>
      <c r="J57" s="179" t="s">
        <v>36</v>
      </c>
      <c r="K57" s="168" t="s">
        <v>38</v>
      </c>
      <c r="L57" s="168" t="s">
        <v>39</v>
      </c>
      <c r="M57" s="168" t="s">
        <v>40</v>
      </c>
      <c r="N57" s="178" t="s">
        <v>41</v>
      </c>
      <c r="O57" s="46"/>
      <c r="P57" s="179" t="s">
        <v>36</v>
      </c>
      <c r="Q57" s="168" t="s">
        <v>38</v>
      </c>
      <c r="R57" s="168" t="s">
        <v>39</v>
      </c>
      <c r="S57" s="168" t="s">
        <v>40</v>
      </c>
      <c r="T57" s="178" t="s">
        <v>41</v>
      </c>
      <c r="U57" s="46"/>
    </row>
    <row r="58" spans="1:23">
      <c r="A58" s="187">
        <v>46168</v>
      </c>
      <c r="B58" s="48" t="s">
        <v>81</v>
      </c>
      <c r="C58" s="41" t="s">
        <v>136</v>
      </c>
      <c r="D58" s="179" t="s">
        <v>0</v>
      </c>
      <c r="E58" s="168" t="s">
        <v>1</v>
      </c>
      <c r="F58" s="168" t="s">
        <v>2</v>
      </c>
      <c r="G58" s="168" t="s">
        <v>3</v>
      </c>
      <c r="H58" s="168" t="s">
        <v>4</v>
      </c>
      <c r="I58" s="178" t="s">
        <v>5</v>
      </c>
      <c r="J58" s="64" t="s">
        <v>103</v>
      </c>
      <c r="K58" s="165"/>
      <c r="L58" s="157"/>
      <c r="M58" s="144"/>
      <c r="N58" s="144"/>
      <c r="O58" s="46"/>
      <c r="P58" s="179" t="s">
        <v>0</v>
      </c>
      <c r="Q58" s="168" t="s">
        <v>1</v>
      </c>
      <c r="R58" s="168" t="s">
        <v>2</v>
      </c>
      <c r="S58" s="168" t="s">
        <v>3</v>
      </c>
      <c r="T58" s="168" t="s">
        <v>4</v>
      </c>
      <c r="U58" s="199" t="s">
        <v>5</v>
      </c>
    </row>
    <row r="59" spans="1:23">
      <c r="A59" s="187">
        <v>46169</v>
      </c>
      <c r="B59" s="48" t="s">
        <v>82</v>
      </c>
      <c r="C59" s="41" t="s">
        <v>137</v>
      </c>
      <c r="D59" s="80" t="s">
        <v>42</v>
      </c>
      <c r="E59" s="52" t="s">
        <v>43</v>
      </c>
      <c r="F59" s="52" t="s">
        <v>44</v>
      </c>
      <c r="G59" s="52" t="s">
        <v>45</v>
      </c>
      <c r="H59" s="52" t="s">
        <v>46</v>
      </c>
      <c r="I59" s="163" t="s">
        <v>47</v>
      </c>
      <c r="J59" s="64" t="s">
        <v>167</v>
      </c>
      <c r="K59" s="165"/>
      <c r="L59" s="165"/>
      <c r="M59" s="165"/>
      <c r="N59" s="165"/>
      <c r="O59" s="171"/>
      <c r="P59" s="80" t="s">
        <v>42</v>
      </c>
      <c r="Q59" s="52" t="s">
        <v>43</v>
      </c>
      <c r="R59" s="52" t="s">
        <v>44</v>
      </c>
      <c r="S59" s="52" t="s">
        <v>45</v>
      </c>
      <c r="T59" s="52" t="s">
        <v>46</v>
      </c>
      <c r="U59" s="48" t="s">
        <v>47</v>
      </c>
    </row>
    <row r="60" spans="1:23">
      <c r="A60" s="187">
        <v>46170</v>
      </c>
      <c r="B60" s="48" t="s">
        <v>83</v>
      </c>
      <c r="C60" s="41" t="s">
        <v>138</v>
      </c>
      <c r="D60" s="80" t="s">
        <v>48</v>
      </c>
      <c r="E60" s="52" t="s">
        <v>49</v>
      </c>
      <c r="F60" s="52" t="s">
        <v>50</v>
      </c>
      <c r="G60" s="52" t="s">
        <v>51</v>
      </c>
      <c r="H60" s="52" t="s">
        <v>52</v>
      </c>
      <c r="I60" s="145"/>
      <c r="J60" s="64" t="s">
        <v>168</v>
      </c>
      <c r="K60" s="165"/>
      <c r="L60" s="165"/>
      <c r="M60" s="165"/>
      <c r="N60" s="165"/>
      <c r="O60" s="171"/>
      <c r="P60" s="80" t="s">
        <v>48</v>
      </c>
      <c r="Q60" s="52" t="s">
        <v>49</v>
      </c>
      <c r="R60" s="52" t="s">
        <v>50</v>
      </c>
      <c r="S60" s="52" t="s">
        <v>51</v>
      </c>
      <c r="T60" s="52" t="s">
        <v>52</v>
      </c>
      <c r="U60" s="46"/>
    </row>
    <row r="61" spans="1:23">
      <c r="A61" s="187">
        <v>46171</v>
      </c>
      <c r="B61" s="48" t="s">
        <v>84</v>
      </c>
      <c r="C61" s="41" t="s">
        <v>137</v>
      </c>
      <c r="D61" s="80" t="s">
        <v>54</v>
      </c>
      <c r="E61" s="52" t="s">
        <v>55</v>
      </c>
      <c r="F61" s="52" t="s">
        <v>56</v>
      </c>
      <c r="G61" s="52" t="s">
        <v>57</v>
      </c>
      <c r="H61" s="52" t="s">
        <v>58</v>
      </c>
      <c r="I61" s="163" t="s">
        <v>29</v>
      </c>
      <c r="J61" s="64" t="s">
        <v>169</v>
      </c>
      <c r="K61" s="165"/>
      <c r="L61" s="165"/>
      <c r="M61" s="165"/>
      <c r="N61" s="165"/>
      <c r="O61" s="171"/>
      <c r="P61" s="80" t="s">
        <v>54</v>
      </c>
      <c r="Q61" s="52" t="s">
        <v>55</v>
      </c>
      <c r="R61" s="52" t="s">
        <v>56</v>
      </c>
      <c r="S61" s="52" t="s">
        <v>57</v>
      </c>
      <c r="T61" s="52" t="s">
        <v>58</v>
      </c>
      <c r="U61" s="48" t="s">
        <v>59</v>
      </c>
    </row>
    <row r="62" spans="1:23">
      <c r="A62" s="45">
        <v>46172</v>
      </c>
      <c r="B62" s="46" t="s">
        <v>85</v>
      </c>
      <c r="C62" s="55" t="s">
        <v>111</v>
      </c>
      <c r="D62" s="143"/>
      <c r="E62" s="144"/>
      <c r="F62" s="144"/>
      <c r="G62" s="144"/>
      <c r="H62" s="144"/>
      <c r="I62" s="145"/>
      <c r="J62" s="143"/>
      <c r="K62" s="144"/>
      <c r="L62" s="144"/>
      <c r="M62" s="144"/>
      <c r="N62" s="144"/>
      <c r="O62" s="46"/>
      <c r="P62" s="143"/>
      <c r="Q62" s="144"/>
      <c r="R62" s="144"/>
      <c r="S62" s="144"/>
      <c r="T62" s="144"/>
      <c r="U62" s="46"/>
    </row>
    <row r="63" spans="1:23" ht="18" thickBot="1">
      <c r="A63" s="212">
        <v>46173</v>
      </c>
      <c r="B63" s="51" t="s">
        <v>86</v>
      </c>
      <c r="C63" s="56" t="s">
        <v>111</v>
      </c>
      <c r="D63" s="182"/>
      <c r="E63" s="183"/>
      <c r="F63" s="183"/>
      <c r="G63" s="183"/>
      <c r="H63" s="183"/>
      <c r="I63" s="184"/>
      <c r="J63" s="182"/>
      <c r="K63" s="183"/>
      <c r="L63" s="183"/>
      <c r="M63" s="183"/>
      <c r="N63" s="183"/>
      <c r="O63" s="51"/>
      <c r="P63" s="182"/>
      <c r="Q63" s="183"/>
      <c r="R63" s="183"/>
      <c r="S63" s="183"/>
      <c r="T63" s="183"/>
      <c r="U63" s="51"/>
    </row>
    <row r="64" spans="1:23">
      <c r="A64" s="187">
        <v>46174</v>
      </c>
      <c r="B64" s="200" t="s">
        <v>80</v>
      </c>
      <c r="C64" s="201" t="s">
        <v>175</v>
      </c>
      <c r="D64" s="239" t="s">
        <v>0</v>
      </c>
      <c r="E64" s="240" t="s">
        <v>3</v>
      </c>
      <c r="F64" s="240" t="s">
        <v>4</v>
      </c>
      <c r="G64" s="240" t="s">
        <v>5</v>
      </c>
      <c r="H64" s="241" t="s">
        <v>179</v>
      </c>
      <c r="I64" s="242"/>
      <c r="J64" s="239" t="s">
        <v>0</v>
      </c>
      <c r="K64" s="240" t="s">
        <v>3</v>
      </c>
      <c r="L64" s="240" t="s">
        <v>4</v>
      </c>
      <c r="M64" s="240" t="s">
        <v>5</v>
      </c>
      <c r="N64" s="241" t="s">
        <v>179</v>
      </c>
      <c r="O64" s="210"/>
      <c r="P64" s="239" t="s">
        <v>0</v>
      </c>
      <c r="Q64" s="240" t="s">
        <v>3</v>
      </c>
      <c r="R64" s="240" t="s">
        <v>4</v>
      </c>
      <c r="S64" s="240" t="s">
        <v>5</v>
      </c>
      <c r="T64" s="241" t="s">
        <v>179</v>
      </c>
      <c r="U64" s="210"/>
    </row>
    <row r="65" spans="1:22">
      <c r="A65" s="187">
        <v>46175</v>
      </c>
      <c r="B65" s="48" t="s">
        <v>81</v>
      </c>
      <c r="C65" s="41" t="s">
        <v>175</v>
      </c>
      <c r="D65" s="229" t="s">
        <v>6</v>
      </c>
      <c r="E65" s="172" t="s">
        <v>153</v>
      </c>
      <c r="F65" s="172" t="s">
        <v>229</v>
      </c>
      <c r="G65" s="172" t="s">
        <v>140</v>
      </c>
      <c r="H65" s="68" t="s">
        <v>179</v>
      </c>
      <c r="I65" s="173"/>
      <c r="J65" s="229" t="s">
        <v>6</v>
      </c>
      <c r="K65" s="172" t="s">
        <v>153</v>
      </c>
      <c r="L65" s="172" t="s">
        <v>229</v>
      </c>
      <c r="M65" s="172" t="s">
        <v>140</v>
      </c>
      <c r="N65" s="68" t="s">
        <v>179</v>
      </c>
      <c r="O65" s="170"/>
      <c r="P65" s="229" t="s">
        <v>6</v>
      </c>
      <c r="Q65" s="172" t="s">
        <v>153</v>
      </c>
      <c r="R65" s="172" t="s">
        <v>229</v>
      </c>
      <c r="S65" s="172" t="s">
        <v>140</v>
      </c>
      <c r="T65" s="68" t="s">
        <v>179</v>
      </c>
      <c r="U65" s="170"/>
    </row>
    <row r="66" spans="1:22">
      <c r="A66" s="187">
        <v>46176</v>
      </c>
      <c r="B66" s="48" t="s">
        <v>82</v>
      </c>
      <c r="C66" s="41" t="s">
        <v>175</v>
      </c>
      <c r="D66" s="80" t="s">
        <v>12</v>
      </c>
      <c r="E66" s="290"/>
      <c r="F66" s="290"/>
      <c r="G66" s="168" t="s">
        <v>101</v>
      </c>
      <c r="H66" s="68" t="s">
        <v>179</v>
      </c>
      <c r="I66" s="173"/>
      <c r="J66" s="80" t="s">
        <v>12</v>
      </c>
      <c r="K66" s="290"/>
      <c r="L66" s="290"/>
      <c r="M66" s="168" t="s">
        <v>101</v>
      </c>
      <c r="N66" s="68" t="s">
        <v>179</v>
      </c>
      <c r="O66" s="170"/>
      <c r="P66" s="80" t="s">
        <v>12</v>
      </c>
      <c r="Q66" s="290"/>
      <c r="R66" s="290"/>
      <c r="S66" s="168" t="s">
        <v>101</v>
      </c>
      <c r="T66" s="68" t="s">
        <v>179</v>
      </c>
      <c r="U66" s="170"/>
      <c r="V66" s="44" t="s">
        <v>394</v>
      </c>
    </row>
    <row r="67" spans="1:22">
      <c r="A67" s="187">
        <v>46177</v>
      </c>
      <c r="B67" s="48" t="s">
        <v>83</v>
      </c>
      <c r="C67" s="41" t="s">
        <v>178</v>
      </c>
      <c r="D67" s="80" t="s">
        <v>223</v>
      </c>
      <c r="E67" s="52" t="s">
        <v>224</v>
      </c>
      <c r="F67" s="52" t="s">
        <v>20</v>
      </c>
      <c r="G67" s="52" t="s">
        <v>21</v>
      </c>
      <c r="H67" s="68" t="s">
        <v>179</v>
      </c>
      <c r="I67" s="173"/>
      <c r="J67" s="80" t="s">
        <v>223</v>
      </c>
      <c r="K67" s="52" t="s">
        <v>224</v>
      </c>
      <c r="L67" s="52" t="s">
        <v>20</v>
      </c>
      <c r="M67" s="52" t="s">
        <v>21</v>
      </c>
      <c r="N67" s="68" t="s">
        <v>179</v>
      </c>
      <c r="O67" s="170"/>
      <c r="P67" s="80" t="s">
        <v>223</v>
      </c>
      <c r="Q67" s="52" t="s">
        <v>224</v>
      </c>
      <c r="R67" s="52" t="s">
        <v>20</v>
      </c>
      <c r="S67" s="52" t="s">
        <v>21</v>
      </c>
      <c r="T67" s="68" t="s">
        <v>179</v>
      </c>
      <c r="U67" s="170"/>
    </row>
    <row r="68" spans="1:22">
      <c r="A68" s="187">
        <v>46178</v>
      </c>
      <c r="B68" s="48" t="s">
        <v>84</v>
      </c>
      <c r="C68" s="41" t="s">
        <v>175</v>
      </c>
      <c r="D68" s="80" t="s">
        <v>226</v>
      </c>
      <c r="E68" s="52" t="s">
        <v>221</v>
      </c>
      <c r="F68" s="168" t="s">
        <v>222</v>
      </c>
      <c r="G68" s="168" t="s">
        <v>385</v>
      </c>
      <c r="H68" s="68" t="s">
        <v>179</v>
      </c>
      <c r="I68" s="173"/>
      <c r="J68" s="80" t="s">
        <v>226</v>
      </c>
      <c r="K68" s="52" t="s">
        <v>221</v>
      </c>
      <c r="L68" s="168" t="s">
        <v>222</v>
      </c>
      <c r="M68" s="168" t="s">
        <v>385</v>
      </c>
      <c r="N68" s="68" t="s">
        <v>179</v>
      </c>
      <c r="O68" s="170"/>
      <c r="P68" s="80" t="s">
        <v>226</v>
      </c>
      <c r="Q68" s="52" t="s">
        <v>221</v>
      </c>
      <c r="R68" s="168" t="s">
        <v>222</v>
      </c>
      <c r="S68" s="168" t="s">
        <v>385</v>
      </c>
      <c r="T68" s="68" t="s">
        <v>179</v>
      </c>
      <c r="U68" s="170"/>
    </row>
    <row r="69" spans="1:22">
      <c r="A69" s="45">
        <v>46179</v>
      </c>
      <c r="B69" s="46" t="s">
        <v>85</v>
      </c>
      <c r="C69" s="55" t="s">
        <v>111</v>
      </c>
      <c r="D69" s="143"/>
      <c r="E69" s="144"/>
      <c r="F69" s="144"/>
      <c r="G69" s="144"/>
      <c r="H69" s="144"/>
      <c r="I69" s="145"/>
      <c r="J69" s="174"/>
      <c r="K69" s="166"/>
      <c r="L69" s="166"/>
      <c r="M69" s="166"/>
      <c r="N69" s="166"/>
      <c r="O69" s="167"/>
      <c r="P69" s="143"/>
      <c r="Q69" s="144"/>
      <c r="R69" s="144"/>
      <c r="S69" s="144"/>
      <c r="T69" s="144"/>
      <c r="U69" s="46"/>
    </row>
    <row r="70" spans="1:22">
      <c r="A70" s="45">
        <v>46180</v>
      </c>
      <c r="B70" s="46" t="s">
        <v>86</v>
      </c>
      <c r="C70" s="55"/>
      <c r="D70" s="143"/>
      <c r="E70" s="144"/>
      <c r="F70" s="144"/>
      <c r="G70" s="144"/>
      <c r="H70" s="144"/>
      <c r="I70" s="145"/>
      <c r="J70" s="174"/>
      <c r="K70" s="166"/>
      <c r="L70" s="166"/>
      <c r="M70" s="166"/>
      <c r="N70" s="166"/>
      <c r="O70" s="167"/>
      <c r="P70" s="143"/>
      <c r="Q70" s="144"/>
      <c r="R70" s="144"/>
      <c r="S70" s="144"/>
      <c r="T70" s="144"/>
      <c r="U70" s="46"/>
    </row>
    <row r="71" spans="1:22">
      <c r="A71" s="187">
        <v>46181</v>
      </c>
      <c r="B71" s="48" t="s">
        <v>80</v>
      </c>
      <c r="C71" s="41" t="s">
        <v>111</v>
      </c>
      <c r="D71" s="80" t="s">
        <v>0</v>
      </c>
      <c r="E71" s="52" t="s">
        <v>1</v>
      </c>
      <c r="F71" s="52" t="s">
        <v>2</v>
      </c>
      <c r="G71" s="52" t="s">
        <v>3</v>
      </c>
      <c r="H71" s="52" t="s">
        <v>4</v>
      </c>
      <c r="I71" s="163" t="s">
        <v>5</v>
      </c>
      <c r="J71" s="80" t="s">
        <v>0</v>
      </c>
      <c r="K71" s="52" t="s">
        <v>1</v>
      </c>
      <c r="L71" s="52" t="s">
        <v>2</v>
      </c>
      <c r="M71" s="52" t="s">
        <v>3</v>
      </c>
      <c r="N71" s="52" t="s">
        <v>4</v>
      </c>
      <c r="O71" s="48" t="s">
        <v>5</v>
      </c>
      <c r="P71" s="81" t="s">
        <v>0</v>
      </c>
      <c r="Q71" s="161" t="s">
        <v>1</v>
      </c>
      <c r="R71" s="161" t="s">
        <v>2</v>
      </c>
      <c r="S71" s="52" t="s">
        <v>3</v>
      </c>
      <c r="T71" s="52" t="s">
        <v>4</v>
      </c>
      <c r="U71" s="48" t="s">
        <v>5</v>
      </c>
    </row>
    <row r="72" spans="1:22">
      <c r="A72" s="187">
        <v>46182</v>
      </c>
      <c r="B72" s="48" t="s">
        <v>81</v>
      </c>
      <c r="C72" s="41" t="s">
        <v>170</v>
      </c>
      <c r="D72" s="80" t="s">
        <v>36</v>
      </c>
      <c r="E72" s="52" t="s">
        <v>37</v>
      </c>
      <c r="F72" s="52" t="s">
        <v>38</v>
      </c>
      <c r="G72" s="52" t="s">
        <v>39</v>
      </c>
      <c r="H72" s="52" t="s">
        <v>40</v>
      </c>
      <c r="I72" s="163" t="s">
        <v>41</v>
      </c>
      <c r="J72" s="80" t="s">
        <v>36</v>
      </c>
      <c r="K72" s="52" t="s">
        <v>7</v>
      </c>
      <c r="L72" s="52" t="s">
        <v>38</v>
      </c>
      <c r="M72" s="52" t="s">
        <v>39</v>
      </c>
      <c r="N72" s="52" t="s">
        <v>40</v>
      </c>
      <c r="O72" s="48" t="s">
        <v>41</v>
      </c>
      <c r="P72" s="80" t="s">
        <v>36</v>
      </c>
      <c r="Q72" s="52" t="s">
        <v>37</v>
      </c>
      <c r="R72" s="52" t="s">
        <v>38</v>
      </c>
      <c r="S72" s="52" t="s">
        <v>39</v>
      </c>
      <c r="T72" s="52" t="s">
        <v>40</v>
      </c>
      <c r="U72" s="48" t="s">
        <v>41</v>
      </c>
    </row>
    <row r="73" spans="1:22">
      <c r="A73" s="187">
        <v>46183</v>
      </c>
      <c r="B73" s="48" t="s">
        <v>82</v>
      </c>
      <c r="C73" s="41" t="s">
        <v>171</v>
      </c>
      <c r="D73" s="80" t="s">
        <v>42</v>
      </c>
      <c r="E73" s="52" t="s">
        <v>43</v>
      </c>
      <c r="F73" s="52" t="s">
        <v>44</v>
      </c>
      <c r="G73" s="52" t="s">
        <v>45</v>
      </c>
      <c r="H73" s="52" t="s">
        <v>46</v>
      </c>
      <c r="I73" s="163" t="s">
        <v>47</v>
      </c>
      <c r="J73" s="80" t="s">
        <v>42</v>
      </c>
      <c r="K73" s="52" t="s">
        <v>43</v>
      </c>
      <c r="L73" s="52" t="s">
        <v>44</v>
      </c>
      <c r="M73" s="52" t="s">
        <v>45</v>
      </c>
      <c r="N73" s="52" t="s">
        <v>46</v>
      </c>
      <c r="O73" s="48" t="s">
        <v>47</v>
      </c>
      <c r="P73" s="80" t="s">
        <v>42</v>
      </c>
      <c r="Q73" s="52" t="s">
        <v>43</v>
      </c>
      <c r="R73" s="52" t="s">
        <v>44</v>
      </c>
      <c r="S73" s="52" t="s">
        <v>45</v>
      </c>
      <c r="T73" s="52" t="s">
        <v>46</v>
      </c>
      <c r="U73" s="48" t="s">
        <v>47</v>
      </c>
    </row>
    <row r="74" spans="1:22">
      <c r="A74" s="187">
        <v>46184</v>
      </c>
      <c r="B74" s="48" t="s">
        <v>83</v>
      </c>
      <c r="C74" s="41" t="s">
        <v>172</v>
      </c>
      <c r="D74" s="80" t="s">
        <v>48</v>
      </c>
      <c r="E74" s="52" t="s">
        <v>49</v>
      </c>
      <c r="F74" s="52" t="s">
        <v>50</v>
      </c>
      <c r="G74" s="52" t="s">
        <v>51</v>
      </c>
      <c r="H74" s="52" t="s">
        <v>52</v>
      </c>
      <c r="I74" s="276"/>
      <c r="J74" s="80" t="s">
        <v>48</v>
      </c>
      <c r="K74" s="52" t="s">
        <v>49</v>
      </c>
      <c r="L74" s="52" t="s">
        <v>50</v>
      </c>
      <c r="M74" s="52" t="s">
        <v>51</v>
      </c>
      <c r="N74" s="52" t="s">
        <v>52</v>
      </c>
      <c r="O74" s="149"/>
      <c r="P74" s="80" t="s">
        <v>48</v>
      </c>
      <c r="Q74" s="52" t="s">
        <v>49</v>
      </c>
      <c r="R74" s="52" t="s">
        <v>50</v>
      </c>
      <c r="S74" s="52" t="s">
        <v>51</v>
      </c>
      <c r="T74" s="52" t="s">
        <v>52</v>
      </c>
      <c r="U74" s="149"/>
    </row>
    <row r="75" spans="1:22">
      <c r="A75" s="187">
        <v>46185</v>
      </c>
      <c r="B75" s="48" t="s">
        <v>84</v>
      </c>
      <c r="C75" s="41" t="s">
        <v>173</v>
      </c>
      <c r="D75" s="80" t="s">
        <v>54</v>
      </c>
      <c r="E75" s="52" t="s">
        <v>55</v>
      </c>
      <c r="F75" s="52" t="s">
        <v>56</v>
      </c>
      <c r="G75" s="52" t="s">
        <v>57</v>
      </c>
      <c r="H75" s="52" t="s">
        <v>58</v>
      </c>
      <c r="I75" s="163" t="s">
        <v>59</v>
      </c>
      <c r="J75" s="80" t="s">
        <v>54</v>
      </c>
      <c r="K75" s="52" t="s">
        <v>55</v>
      </c>
      <c r="L75" s="52" t="s">
        <v>56</v>
      </c>
      <c r="M75" s="52" t="s">
        <v>57</v>
      </c>
      <c r="N75" s="52" t="s">
        <v>58</v>
      </c>
      <c r="O75" s="48" t="s">
        <v>59</v>
      </c>
      <c r="P75" s="175" t="s">
        <v>87</v>
      </c>
      <c r="Q75" s="176"/>
      <c r="R75" s="160"/>
      <c r="S75" s="148"/>
      <c r="T75" s="148"/>
      <c r="U75" s="177"/>
    </row>
    <row r="76" spans="1:22">
      <c r="A76" s="45">
        <v>46186</v>
      </c>
      <c r="B76" s="46" t="s">
        <v>85</v>
      </c>
      <c r="C76" s="55" t="s">
        <v>227</v>
      </c>
      <c r="D76" s="143"/>
      <c r="E76" s="144"/>
      <c r="F76" s="144"/>
      <c r="G76" s="144"/>
      <c r="H76" s="144"/>
      <c r="I76" s="145"/>
      <c r="J76" s="143"/>
      <c r="K76" s="144"/>
      <c r="L76" s="144"/>
      <c r="M76" s="144"/>
      <c r="N76" s="144"/>
      <c r="O76" s="46"/>
      <c r="P76" s="143"/>
      <c r="Q76" s="144"/>
      <c r="R76" s="144"/>
      <c r="S76" s="144"/>
      <c r="T76" s="144"/>
      <c r="U76" s="46"/>
    </row>
    <row r="77" spans="1:22">
      <c r="A77" s="45">
        <v>46187</v>
      </c>
      <c r="B77" s="46" t="s">
        <v>86</v>
      </c>
      <c r="C77" s="55" t="s">
        <v>111</v>
      </c>
      <c r="D77" s="143"/>
      <c r="E77" s="144"/>
      <c r="F77" s="144"/>
      <c r="G77" s="144"/>
      <c r="H77" s="144"/>
      <c r="I77" s="145"/>
      <c r="J77" s="143"/>
      <c r="K77" s="144"/>
      <c r="L77" s="144"/>
      <c r="M77" s="144"/>
      <c r="N77" s="144"/>
      <c r="O77" s="46"/>
      <c r="P77" s="143"/>
      <c r="Q77" s="144"/>
      <c r="R77" s="144"/>
      <c r="S77" s="144"/>
      <c r="T77" s="144"/>
      <c r="U77" s="46"/>
    </row>
    <row r="78" spans="1:22">
      <c r="A78" s="187">
        <v>46188</v>
      </c>
      <c r="B78" s="48" t="s">
        <v>80</v>
      </c>
      <c r="C78" s="41" t="s">
        <v>176</v>
      </c>
      <c r="D78" s="80" t="s">
        <v>0</v>
      </c>
      <c r="E78" s="52" t="s">
        <v>1</v>
      </c>
      <c r="F78" s="52" t="s">
        <v>2</v>
      </c>
      <c r="G78" s="52" t="s">
        <v>3</v>
      </c>
      <c r="H78" s="52" t="s">
        <v>4</v>
      </c>
      <c r="I78" s="163" t="s">
        <v>5</v>
      </c>
      <c r="J78" s="80" t="s">
        <v>0</v>
      </c>
      <c r="K78" s="52" t="s">
        <v>1</v>
      </c>
      <c r="L78" s="52" t="s">
        <v>2</v>
      </c>
      <c r="M78" s="52" t="s">
        <v>3</v>
      </c>
      <c r="N78" s="52" t="s">
        <v>4</v>
      </c>
      <c r="O78" s="48" t="s">
        <v>5</v>
      </c>
      <c r="P78" s="175"/>
      <c r="Q78" s="176"/>
      <c r="R78" s="176" t="s">
        <v>164</v>
      </c>
      <c r="S78" s="165"/>
      <c r="T78" s="165"/>
      <c r="U78" s="171"/>
    </row>
    <row r="79" spans="1:22">
      <c r="A79" s="187">
        <v>46189</v>
      </c>
      <c r="B79" s="48" t="s">
        <v>81</v>
      </c>
      <c r="C79" s="41" t="s">
        <v>176</v>
      </c>
      <c r="D79" s="80" t="s">
        <v>36</v>
      </c>
      <c r="E79" s="52" t="s">
        <v>37</v>
      </c>
      <c r="F79" s="52" t="s">
        <v>38</v>
      </c>
      <c r="G79" s="52" t="s">
        <v>39</v>
      </c>
      <c r="H79" s="52" t="s">
        <v>40</v>
      </c>
      <c r="I79" s="163" t="s">
        <v>41</v>
      </c>
      <c r="J79" s="80" t="s">
        <v>36</v>
      </c>
      <c r="K79" s="52" t="s">
        <v>37</v>
      </c>
      <c r="L79" s="52" t="s">
        <v>38</v>
      </c>
      <c r="M79" s="52" t="s">
        <v>39</v>
      </c>
      <c r="N79" s="52" t="s">
        <v>40</v>
      </c>
      <c r="O79" s="48" t="s">
        <v>41</v>
      </c>
      <c r="P79" s="175"/>
      <c r="Q79" s="176"/>
      <c r="R79" s="176" t="s">
        <v>164</v>
      </c>
      <c r="S79" s="165"/>
      <c r="T79" s="165"/>
      <c r="U79" s="171"/>
    </row>
    <row r="80" spans="1:22">
      <c r="A80" s="187">
        <v>46190</v>
      </c>
      <c r="B80" s="48" t="s">
        <v>82</v>
      </c>
      <c r="C80" s="41" t="s">
        <v>176</v>
      </c>
      <c r="D80" s="80" t="s">
        <v>42</v>
      </c>
      <c r="E80" s="52" t="s">
        <v>43</v>
      </c>
      <c r="F80" s="52" t="s">
        <v>44</v>
      </c>
      <c r="G80" s="52" t="s">
        <v>45</v>
      </c>
      <c r="H80" s="52" t="s">
        <v>46</v>
      </c>
      <c r="I80" s="163" t="s">
        <v>47</v>
      </c>
      <c r="J80" s="80" t="s">
        <v>42</v>
      </c>
      <c r="K80" s="52" t="s">
        <v>43</v>
      </c>
      <c r="L80" s="52" t="s">
        <v>44</v>
      </c>
      <c r="M80" s="52" t="s">
        <v>45</v>
      </c>
      <c r="N80" s="52" t="s">
        <v>46</v>
      </c>
      <c r="O80" s="48" t="s">
        <v>47</v>
      </c>
      <c r="P80" s="175"/>
      <c r="Q80" s="176"/>
      <c r="R80" s="176" t="s">
        <v>164</v>
      </c>
      <c r="S80" s="165"/>
      <c r="T80" s="165"/>
      <c r="U80" s="171"/>
    </row>
    <row r="81" spans="1:21">
      <c r="A81" s="187">
        <v>46191</v>
      </c>
      <c r="B81" s="48" t="s">
        <v>83</v>
      </c>
      <c r="C81" s="41" t="s">
        <v>111</v>
      </c>
      <c r="D81" s="80" t="s">
        <v>48</v>
      </c>
      <c r="E81" s="52" t="s">
        <v>49</v>
      </c>
      <c r="F81" s="52" t="s">
        <v>50</v>
      </c>
      <c r="G81" s="52" t="s">
        <v>51</v>
      </c>
      <c r="H81" s="52" t="s">
        <v>52</v>
      </c>
      <c r="I81" s="276"/>
      <c r="J81" s="80" t="s">
        <v>48</v>
      </c>
      <c r="K81" s="52" t="s">
        <v>49</v>
      </c>
      <c r="L81" s="52" t="s">
        <v>50</v>
      </c>
      <c r="M81" s="52" t="s">
        <v>51</v>
      </c>
      <c r="N81" s="52" t="s">
        <v>52</v>
      </c>
      <c r="O81" s="149"/>
      <c r="P81" s="317" t="s">
        <v>145</v>
      </c>
      <c r="Q81" s="318"/>
      <c r="R81" s="318"/>
      <c r="S81" s="318"/>
      <c r="T81" s="318"/>
      <c r="U81" s="319"/>
    </row>
    <row r="82" spans="1:21">
      <c r="A82" s="187">
        <v>46192</v>
      </c>
      <c r="B82" s="48" t="s">
        <v>84</v>
      </c>
      <c r="C82" s="41" t="s">
        <v>174</v>
      </c>
      <c r="D82" s="80" t="s">
        <v>54</v>
      </c>
      <c r="E82" s="52" t="s">
        <v>55</v>
      </c>
      <c r="F82" s="52" t="s">
        <v>56</v>
      </c>
      <c r="G82" s="52" t="s">
        <v>57</v>
      </c>
      <c r="H82" s="52" t="s">
        <v>58</v>
      </c>
      <c r="I82" s="163" t="s">
        <v>59</v>
      </c>
      <c r="J82" s="80" t="s">
        <v>54</v>
      </c>
      <c r="K82" s="52" t="s">
        <v>55</v>
      </c>
      <c r="L82" s="52" t="s">
        <v>56</v>
      </c>
      <c r="M82" s="52" t="s">
        <v>57</v>
      </c>
      <c r="N82" s="52" t="s">
        <v>58</v>
      </c>
      <c r="O82" s="48" t="s">
        <v>59</v>
      </c>
      <c r="P82" s="81" t="s">
        <v>54</v>
      </c>
      <c r="Q82" s="161" t="s">
        <v>55</v>
      </c>
      <c r="R82" s="161" t="s">
        <v>56</v>
      </c>
      <c r="S82" s="161" t="s">
        <v>57</v>
      </c>
      <c r="T82" s="161" t="s">
        <v>58</v>
      </c>
      <c r="U82" s="162" t="s">
        <v>59</v>
      </c>
    </row>
    <row r="83" spans="1:21">
      <c r="A83" s="45">
        <v>46193</v>
      </c>
      <c r="B83" s="46" t="s">
        <v>85</v>
      </c>
      <c r="C83" s="55" t="s">
        <v>111</v>
      </c>
      <c r="D83" s="143"/>
      <c r="E83" s="144"/>
      <c r="F83" s="144"/>
      <c r="G83" s="144"/>
      <c r="H83" s="144"/>
      <c r="I83" s="145"/>
      <c r="J83" s="143"/>
      <c r="K83" s="144"/>
      <c r="L83" s="144"/>
      <c r="M83" s="144"/>
      <c r="N83" s="144"/>
      <c r="O83" s="46"/>
      <c r="P83" s="143"/>
      <c r="Q83" s="144"/>
      <c r="R83" s="144"/>
      <c r="S83" s="144"/>
      <c r="T83" s="144"/>
      <c r="U83" s="46"/>
    </row>
    <row r="84" spans="1:21">
      <c r="A84" s="45">
        <v>46194</v>
      </c>
      <c r="B84" s="46" t="s">
        <v>86</v>
      </c>
      <c r="C84" s="55" t="s">
        <v>111</v>
      </c>
      <c r="D84" s="143"/>
      <c r="E84" s="144"/>
      <c r="F84" s="144"/>
      <c r="G84" s="144"/>
      <c r="H84" s="144"/>
      <c r="I84" s="145"/>
      <c r="J84" s="143"/>
      <c r="K84" s="144"/>
      <c r="L84" s="144"/>
      <c r="M84" s="144"/>
      <c r="N84" s="144"/>
      <c r="O84" s="46"/>
      <c r="P84" s="143"/>
      <c r="Q84" s="144"/>
      <c r="R84" s="144"/>
      <c r="S84" s="144"/>
      <c r="T84" s="144"/>
      <c r="U84" s="46"/>
    </row>
    <row r="85" spans="1:21">
      <c r="A85" s="187">
        <v>46195</v>
      </c>
      <c r="B85" s="48" t="s">
        <v>80</v>
      </c>
      <c r="C85" s="41" t="s">
        <v>111</v>
      </c>
      <c r="D85" s="80" t="s">
        <v>0</v>
      </c>
      <c r="E85" s="52" t="s">
        <v>1</v>
      </c>
      <c r="F85" s="52" t="s">
        <v>2</v>
      </c>
      <c r="G85" s="52" t="s">
        <v>3</v>
      </c>
      <c r="H85" s="52" t="s">
        <v>4</v>
      </c>
      <c r="I85" s="276"/>
      <c r="J85" s="80" t="s">
        <v>0</v>
      </c>
      <c r="K85" s="52" t="s">
        <v>1</v>
      </c>
      <c r="L85" s="52" t="s">
        <v>2</v>
      </c>
      <c r="M85" s="52" t="s">
        <v>3</v>
      </c>
      <c r="N85" s="52" t="s">
        <v>4</v>
      </c>
      <c r="O85" s="149"/>
      <c r="P85" s="81" t="s">
        <v>0</v>
      </c>
      <c r="Q85" s="161" t="s">
        <v>1</v>
      </c>
      <c r="R85" s="161" t="s">
        <v>2</v>
      </c>
      <c r="S85" s="52" t="s">
        <v>3</v>
      </c>
      <c r="T85" s="52" t="s">
        <v>4</v>
      </c>
      <c r="U85" s="149"/>
    </row>
    <row r="86" spans="1:21">
      <c r="A86" s="187">
        <v>46196</v>
      </c>
      <c r="B86" s="48" t="s">
        <v>81</v>
      </c>
      <c r="C86" s="41" t="s">
        <v>111</v>
      </c>
      <c r="D86" s="80" t="s">
        <v>36</v>
      </c>
      <c r="E86" s="52" t="s">
        <v>37</v>
      </c>
      <c r="F86" s="52" t="s">
        <v>38</v>
      </c>
      <c r="G86" s="52" t="s">
        <v>39</v>
      </c>
      <c r="H86" s="52" t="s">
        <v>40</v>
      </c>
      <c r="I86" s="163" t="s">
        <v>41</v>
      </c>
      <c r="J86" s="80" t="s">
        <v>36</v>
      </c>
      <c r="K86" s="52" t="s">
        <v>37</v>
      </c>
      <c r="L86" s="52" t="s">
        <v>38</v>
      </c>
      <c r="M86" s="52" t="s">
        <v>39</v>
      </c>
      <c r="N86" s="52" t="s">
        <v>40</v>
      </c>
      <c r="O86" s="48" t="s">
        <v>41</v>
      </c>
      <c r="P86" s="80" t="s">
        <v>36</v>
      </c>
      <c r="Q86" s="52" t="s">
        <v>37</v>
      </c>
      <c r="R86" s="52" t="s">
        <v>38</v>
      </c>
      <c r="S86" s="52" t="s">
        <v>39</v>
      </c>
      <c r="T86" s="52" t="s">
        <v>40</v>
      </c>
      <c r="U86" s="48" t="s">
        <v>41</v>
      </c>
    </row>
    <row r="87" spans="1:21">
      <c r="A87" s="187">
        <v>46197</v>
      </c>
      <c r="B87" s="48" t="s">
        <v>82</v>
      </c>
      <c r="C87" s="41" t="s">
        <v>111</v>
      </c>
      <c r="D87" s="80" t="s">
        <v>42</v>
      </c>
      <c r="E87" s="52" t="s">
        <v>43</v>
      </c>
      <c r="F87" s="52" t="s">
        <v>44</v>
      </c>
      <c r="G87" s="52" t="s">
        <v>45</v>
      </c>
      <c r="H87" s="52" t="s">
        <v>46</v>
      </c>
      <c r="I87" s="163" t="s">
        <v>47</v>
      </c>
      <c r="J87" s="80" t="s">
        <v>42</v>
      </c>
      <c r="K87" s="52" t="s">
        <v>43</v>
      </c>
      <c r="L87" s="52" t="s">
        <v>44</v>
      </c>
      <c r="M87" s="52" t="s">
        <v>45</v>
      </c>
      <c r="N87" s="52" t="s">
        <v>46</v>
      </c>
      <c r="O87" s="48" t="s">
        <v>47</v>
      </c>
      <c r="P87" s="80" t="s">
        <v>42</v>
      </c>
      <c r="Q87" s="52" t="s">
        <v>43</v>
      </c>
      <c r="R87" s="52" t="s">
        <v>44</v>
      </c>
      <c r="S87" s="52" t="s">
        <v>45</v>
      </c>
      <c r="T87" s="52" t="s">
        <v>46</v>
      </c>
      <c r="U87" s="48" t="s">
        <v>47</v>
      </c>
    </row>
    <row r="88" spans="1:21" s="221" customFormat="1">
      <c r="A88" s="215">
        <v>46198</v>
      </c>
      <c r="B88" s="216" t="s">
        <v>83</v>
      </c>
      <c r="C88" s="217" t="s">
        <v>181</v>
      </c>
      <c r="D88" s="218"/>
      <c r="E88" s="219"/>
      <c r="F88" s="219"/>
      <c r="G88" s="219"/>
      <c r="H88" s="219"/>
      <c r="I88" s="223"/>
      <c r="J88" s="218"/>
      <c r="K88" s="219"/>
      <c r="L88" s="219"/>
      <c r="M88" s="219"/>
      <c r="N88" s="219"/>
      <c r="O88" s="222"/>
      <c r="P88" s="218"/>
      <c r="Q88" s="219"/>
      <c r="R88" s="219"/>
      <c r="S88" s="219"/>
      <c r="T88" s="219"/>
      <c r="U88" s="222"/>
    </row>
    <row r="89" spans="1:21">
      <c r="A89" s="187">
        <v>46199</v>
      </c>
      <c r="B89" s="48" t="s">
        <v>84</v>
      </c>
      <c r="C89" s="41" t="s">
        <v>180</v>
      </c>
      <c r="D89" s="80"/>
      <c r="G89" s="169"/>
      <c r="H89" s="169"/>
      <c r="I89" s="173"/>
      <c r="J89" s="80"/>
      <c r="M89" s="169"/>
      <c r="N89" s="169"/>
      <c r="O89" s="170"/>
      <c r="P89" s="81"/>
      <c r="Q89" s="161"/>
      <c r="R89" s="161"/>
      <c r="S89" s="169"/>
      <c r="T89" s="169"/>
      <c r="U89" s="170"/>
    </row>
    <row r="90" spans="1:21">
      <c r="A90" s="45">
        <v>46200</v>
      </c>
      <c r="B90" s="46" t="s">
        <v>85</v>
      </c>
      <c r="C90" s="55"/>
      <c r="D90" s="174"/>
      <c r="E90" s="166"/>
      <c r="F90" s="166"/>
      <c r="G90" s="144"/>
      <c r="H90" s="144"/>
      <c r="I90" s="145"/>
      <c r="J90" s="174"/>
      <c r="K90" s="166"/>
      <c r="L90" s="166"/>
      <c r="M90" s="144"/>
      <c r="N90" s="144"/>
      <c r="O90" s="46"/>
      <c r="P90" s="174"/>
      <c r="Q90" s="166"/>
      <c r="R90" s="166"/>
      <c r="S90" s="144"/>
      <c r="T90" s="144"/>
      <c r="U90" s="46"/>
    </row>
    <row r="91" spans="1:21">
      <c r="A91" s="45">
        <v>46201</v>
      </c>
      <c r="B91" s="46" t="s">
        <v>86</v>
      </c>
      <c r="C91" s="55"/>
      <c r="D91" s="143"/>
      <c r="E91" s="144"/>
      <c r="F91" s="144"/>
      <c r="G91" s="144"/>
      <c r="H91" s="144"/>
      <c r="I91" s="145"/>
      <c r="J91" s="143"/>
      <c r="K91" s="144"/>
      <c r="L91" s="144"/>
      <c r="M91" s="144"/>
      <c r="N91" s="144"/>
      <c r="O91" s="46"/>
      <c r="P91" s="143"/>
      <c r="Q91" s="144"/>
      <c r="R91" s="144"/>
      <c r="S91" s="144"/>
      <c r="T91" s="144"/>
      <c r="U91" s="46"/>
    </row>
    <row r="92" spans="1:21">
      <c r="A92" s="204">
        <v>46202</v>
      </c>
      <c r="B92" s="48" t="s">
        <v>80</v>
      </c>
      <c r="C92" s="41" t="s">
        <v>180</v>
      </c>
      <c r="D92" s="202"/>
      <c r="E92" s="54"/>
      <c r="F92" s="54"/>
      <c r="G92" s="54"/>
      <c r="H92" s="54"/>
      <c r="I92" s="173"/>
      <c r="J92" s="80"/>
      <c r="M92" s="169"/>
      <c r="N92" s="169"/>
      <c r="O92" s="170"/>
      <c r="P92" s="81"/>
      <c r="Q92" s="161"/>
      <c r="R92" s="161"/>
      <c r="S92" s="169"/>
      <c r="T92" s="169"/>
      <c r="U92" s="170"/>
    </row>
    <row r="93" spans="1:21" ht="18" thickBot="1">
      <c r="A93" s="205">
        <v>46203</v>
      </c>
      <c r="B93" s="206" t="s">
        <v>81</v>
      </c>
      <c r="C93" s="207" t="s">
        <v>111</v>
      </c>
      <c r="D93" s="235" t="s">
        <v>42</v>
      </c>
      <c r="E93" s="236" t="s">
        <v>43</v>
      </c>
      <c r="F93" s="236" t="s">
        <v>44</v>
      </c>
      <c r="G93" s="236" t="s">
        <v>45</v>
      </c>
      <c r="H93" s="236" t="s">
        <v>46</v>
      </c>
      <c r="I93" s="208" t="s">
        <v>28</v>
      </c>
      <c r="J93" s="235" t="s">
        <v>42</v>
      </c>
      <c r="K93" s="236" t="s">
        <v>43</v>
      </c>
      <c r="L93" s="236" t="s">
        <v>44</v>
      </c>
      <c r="M93" s="236" t="s">
        <v>45</v>
      </c>
      <c r="N93" s="236" t="s">
        <v>46</v>
      </c>
      <c r="O93" s="281" t="s">
        <v>28</v>
      </c>
      <c r="P93" s="235" t="s">
        <v>42</v>
      </c>
      <c r="Q93" s="236" t="s">
        <v>43</v>
      </c>
      <c r="R93" s="236" t="s">
        <v>44</v>
      </c>
      <c r="S93" s="236" t="s">
        <v>45</v>
      </c>
      <c r="T93" s="236" t="s">
        <v>46</v>
      </c>
      <c r="U93" s="281" t="s">
        <v>28</v>
      </c>
    </row>
    <row r="94" spans="1:21">
      <c r="A94" s="187">
        <v>46204</v>
      </c>
      <c r="B94" s="200" t="s">
        <v>82</v>
      </c>
      <c r="C94" s="201" t="s">
        <v>193</v>
      </c>
      <c r="D94" s="285" t="s">
        <v>0</v>
      </c>
      <c r="E94" s="259" t="s">
        <v>1</v>
      </c>
      <c r="F94" s="259" t="s">
        <v>2</v>
      </c>
      <c r="G94" s="259" t="s">
        <v>3</v>
      </c>
      <c r="H94" s="259" t="s">
        <v>4</v>
      </c>
      <c r="I94" s="203" t="s">
        <v>5</v>
      </c>
      <c r="J94" s="285" t="s">
        <v>0</v>
      </c>
      <c r="K94" s="259" t="s">
        <v>1</v>
      </c>
      <c r="L94" s="259" t="s">
        <v>2</v>
      </c>
      <c r="M94" s="259" t="s">
        <v>3</v>
      </c>
      <c r="N94" s="259" t="s">
        <v>4</v>
      </c>
      <c r="O94" s="282" t="s">
        <v>5</v>
      </c>
      <c r="P94" s="285" t="s">
        <v>0</v>
      </c>
      <c r="Q94" s="259" t="s">
        <v>1</v>
      </c>
      <c r="R94" s="259" t="s">
        <v>2</v>
      </c>
      <c r="S94" s="259" t="s">
        <v>3</v>
      </c>
      <c r="T94" s="259" t="s">
        <v>4</v>
      </c>
      <c r="U94" s="282" t="s">
        <v>5</v>
      </c>
    </row>
    <row r="95" spans="1:21">
      <c r="A95" s="187">
        <v>46205</v>
      </c>
      <c r="B95" s="48" t="s">
        <v>83</v>
      </c>
      <c r="C95" s="41" t="s">
        <v>111</v>
      </c>
      <c r="D95" s="202" t="s">
        <v>48</v>
      </c>
      <c r="E95" s="54" t="s">
        <v>49</v>
      </c>
      <c r="F95" s="54" t="s">
        <v>50</v>
      </c>
      <c r="G95" s="54" t="s">
        <v>51</v>
      </c>
      <c r="H95" s="54" t="s">
        <v>52</v>
      </c>
      <c r="I95" s="276"/>
      <c r="J95" s="80" t="s">
        <v>48</v>
      </c>
      <c r="K95" s="52" t="s">
        <v>49</v>
      </c>
      <c r="L95" s="52" t="s">
        <v>50</v>
      </c>
      <c r="M95" s="52" t="s">
        <v>51</v>
      </c>
      <c r="N95" s="52" t="s">
        <v>52</v>
      </c>
      <c r="O95" s="149"/>
      <c r="P95" s="80" t="s">
        <v>48</v>
      </c>
      <c r="Q95" s="52" t="s">
        <v>49</v>
      </c>
      <c r="R95" s="52" t="s">
        <v>50</v>
      </c>
      <c r="S95" s="52" t="s">
        <v>51</v>
      </c>
      <c r="T95" s="52" t="s">
        <v>52</v>
      </c>
      <c r="U95" s="149"/>
    </row>
    <row r="96" spans="1:21">
      <c r="A96" s="187">
        <v>46206</v>
      </c>
      <c r="B96" s="48" t="s">
        <v>84</v>
      </c>
      <c r="C96" s="41" t="s">
        <v>194</v>
      </c>
      <c r="D96" s="80" t="s">
        <v>54</v>
      </c>
      <c r="E96" s="52" t="s">
        <v>55</v>
      </c>
      <c r="F96" s="52" t="s">
        <v>56</v>
      </c>
      <c r="G96" s="52" t="s">
        <v>57</v>
      </c>
      <c r="H96" s="178" t="s">
        <v>140</v>
      </c>
      <c r="I96" s="163" t="s">
        <v>59</v>
      </c>
      <c r="J96" s="80" t="s">
        <v>54</v>
      </c>
      <c r="K96" s="52" t="s">
        <v>55</v>
      </c>
      <c r="L96" s="52" t="s">
        <v>56</v>
      </c>
      <c r="M96" s="52" t="s">
        <v>57</v>
      </c>
      <c r="N96" s="178" t="s">
        <v>140</v>
      </c>
      <c r="O96" s="48" t="s">
        <v>59</v>
      </c>
      <c r="P96" s="80" t="s">
        <v>54</v>
      </c>
      <c r="Q96" s="52" t="s">
        <v>55</v>
      </c>
      <c r="R96" s="52" t="s">
        <v>56</v>
      </c>
      <c r="S96" s="52" t="s">
        <v>57</v>
      </c>
      <c r="T96" s="178" t="s">
        <v>160</v>
      </c>
      <c r="U96" s="48"/>
    </row>
    <row r="97" spans="1:23">
      <c r="A97" s="45">
        <v>46207</v>
      </c>
      <c r="B97" s="46" t="s">
        <v>85</v>
      </c>
      <c r="C97" s="55" t="s">
        <v>111</v>
      </c>
      <c r="D97" s="143"/>
      <c r="E97" s="144"/>
      <c r="F97" s="144"/>
      <c r="G97" s="144"/>
      <c r="H97" s="144"/>
      <c r="I97" s="145"/>
      <c r="J97" s="143"/>
      <c r="K97" s="144"/>
      <c r="L97" s="144"/>
      <c r="M97" s="144"/>
      <c r="N97" s="144"/>
      <c r="O97" s="46"/>
      <c r="P97" s="143"/>
      <c r="Q97" s="144"/>
      <c r="R97" s="144"/>
      <c r="S97" s="144"/>
      <c r="T97" s="144"/>
      <c r="U97" s="46"/>
    </row>
    <row r="98" spans="1:23">
      <c r="A98" s="45">
        <v>46208</v>
      </c>
      <c r="B98" s="46" t="s">
        <v>86</v>
      </c>
      <c r="C98" s="55" t="s">
        <v>111</v>
      </c>
      <c r="D98" s="143"/>
      <c r="E98" s="144"/>
      <c r="F98" s="144"/>
      <c r="G98" s="144"/>
      <c r="H98" s="144"/>
      <c r="I98" s="145"/>
      <c r="J98" s="143"/>
      <c r="K98" s="144"/>
      <c r="L98" s="144"/>
      <c r="M98" s="144"/>
      <c r="N98" s="144"/>
      <c r="O98" s="46"/>
      <c r="P98" s="143"/>
      <c r="Q98" s="144"/>
      <c r="R98" s="144"/>
      <c r="S98" s="144"/>
      <c r="T98" s="144"/>
      <c r="U98" s="46"/>
    </row>
    <row r="99" spans="1:23">
      <c r="A99" s="187">
        <v>46209</v>
      </c>
      <c r="B99" s="48" t="s">
        <v>80</v>
      </c>
      <c r="C99" s="41" t="s">
        <v>199</v>
      </c>
      <c r="D99" s="80" t="s">
        <v>0</v>
      </c>
      <c r="E99" s="168" t="s">
        <v>3</v>
      </c>
      <c r="F99" s="168" t="s">
        <v>4</v>
      </c>
      <c r="G99" s="168" t="s">
        <v>5</v>
      </c>
      <c r="H99" s="68" t="s">
        <v>203</v>
      </c>
      <c r="I99" s="173"/>
      <c r="J99" s="80" t="s">
        <v>0</v>
      </c>
      <c r="K99" s="168" t="s">
        <v>3</v>
      </c>
      <c r="L99" s="168" t="s">
        <v>4</v>
      </c>
      <c r="M99" s="168" t="s">
        <v>5</v>
      </c>
      <c r="N99" s="68" t="s">
        <v>203</v>
      </c>
      <c r="O99" s="170"/>
      <c r="P99" s="80" t="s">
        <v>0</v>
      </c>
      <c r="Q99" s="168" t="s">
        <v>3</v>
      </c>
      <c r="R99" s="168" t="s">
        <v>4</v>
      </c>
      <c r="S99" s="168" t="s">
        <v>5</v>
      </c>
      <c r="T99" s="68" t="s">
        <v>203</v>
      </c>
      <c r="U99" s="170"/>
    </row>
    <row r="100" spans="1:23">
      <c r="A100" s="187">
        <v>46210</v>
      </c>
      <c r="B100" s="48" t="s">
        <v>81</v>
      </c>
      <c r="C100" s="41" t="s">
        <v>200</v>
      </c>
      <c r="D100" s="80" t="s">
        <v>177</v>
      </c>
      <c r="E100" s="52" t="s">
        <v>153</v>
      </c>
      <c r="F100" s="52" t="s">
        <v>154</v>
      </c>
      <c r="G100" s="159" t="s">
        <v>155</v>
      </c>
      <c r="H100" s="68" t="s">
        <v>203</v>
      </c>
      <c r="I100" s="173"/>
      <c r="J100" s="80" t="s">
        <v>177</v>
      </c>
      <c r="K100" s="52" t="s">
        <v>153</v>
      </c>
      <c r="L100" s="52" t="s">
        <v>154</v>
      </c>
      <c r="M100" s="159" t="s">
        <v>155</v>
      </c>
      <c r="N100" s="68" t="s">
        <v>203</v>
      </c>
      <c r="O100" s="170"/>
      <c r="P100" s="80" t="s">
        <v>177</v>
      </c>
      <c r="Q100" s="52" t="s">
        <v>153</v>
      </c>
      <c r="R100" s="52" t="s">
        <v>154</v>
      </c>
      <c r="S100" s="159" t="s">
        <v>155</v>
      </c>
      <c r="T100" s="68" t="s">
        <v>203</v>
      </c>
      <c r="U100" s="170"/>
    </row>
    <row r="101" spans="1:23">
      <c r="A101" s="187">
        <v>46211</v>
      </c>
      <c r="B101" s="48" t="s">
        <v>82</v>
      </c>
      <c r="C101" s="41" t="s">
        <v>201</v>
      </c>
      <c r="D101" s="158" t="s">
        <v>386</v>
      </c>
      <c r="E101" s="159" t="s">
        <v>98</v>
      </c>
      <c r="F101" s="168" t="s">
        <v>101</v>
      </c>
      <c r="G101" s="168" t="s">
        <v>140</v>
      </c>
      <c r="H101" s="68" t="s">
        <v>204</v>
      </c>
      <c r="I101" s="173"/>
      <c r="J101" s="158" t="s">
        <v>386</v>
      </c>
      <c r="K101" s="159" t="s">
        <v>98</v>
      </c>
      <c r="L101" s="168" t="s">
        <v>101</v>
      </c>
      <c r="M101" s="168" t="s">
        <v>140</v>
      </c>
      <c r="N101" s="68" t="s">
        <v>204</v>
      </c>
      <c r="O101" s="170"/>
      <c r="P101" s="158" t="s">
        <v>386</v>
      </c>
      <c r="Q101" s="159" t="s">
        <v>98</v>
      </c>
      <c r="R101" s="168" t="s">
        <v>101</v>
      </c>
      <c r="S101" s="168" t="s">
        <v>140</v>
      </c>
      <c r="T101" s="68" t="s">
        <v>204</v>
      </c>
      <c r="U101" s="170"/>
    </row>
    <row r="102" spans="1:23">
      <c r="A102" s="187">
        <v>46212</v>
      </c>
      <c r="B102" s="48" t="s">
        <v>83</v>
      </c>
      <c r="C102" s="41" t="s">
        <v>202</v>
      </c>
      <c r="D102" s="80" t="s">
        <v>389</v>
      </c>
      <c r="E102" s="52" t="s">
        <v>377</v>
      </c>
      <c r="F102" s="52" t="s">
        <v>378</v>
      </c>
      <c r="G102" s="159" t="s">
        <v>102</v>
      </c>
      <c r="H102" s="68" t="s">
        <v>203</v>
      </c>
      <c r="I102" s="173"/>
      <c r="J102" s="80" t="s">
        <v>389</v>
      </c>
      <c r="K102" s="52" t="s">
        <v>377</v>
      </c>
      <c r="L102" s="52" t="s">
        <v>378</v>
      </c>
      <c r="M102" s="159" t="s">
        <v>102</v>
      </c>
      <c r="N102" s="68" t="s">
        <v>203</v>
      </c>
      <c r="O102" s="170"/>
      <c r="P102" s="80" t="s">
        <v>389</v>
      </c>
      <c r="Q102" s="52" t="s">
        <v>377</v>
      </c>
      <c r="R102" s="52" t="s">
        <v>378</v>
      </c>
      <c r="S102" s="159" t="s">
        <v>102</v>
      </c>
      <c r="T102" s="68" t="s">
        <v>203</v>
      </c>
      <c r="U102" s="170"/>
    </row>
    <row r="103" spans="1:23">
      <c r="A103" s="187">
        <v>46213</v>
      </c>
      <c r="B103" s="48" t="s">
        <v>84</v>
      </c>
      <c r="C103" s="41" t="s">
        <v>202</v>
      </c>
      <c r="D103" s="80" t="s">
        <v>387</v>
      </c>
      <c r="E103" s="52" t="s">
        <v>95</v>
      </c>
      <c r="F103" s="168" t="s">
        <v>28</v>
      </c>
      <c r="G103" s="168" t="s">
        <v>97</v>
      </c>
      <c r="H103" s="68" t="s">
        <v>203</v>
      </c>
      <c r="I103" s="173"/>
      <c r="J103" s="80" t="s">
        <v>387</v>
      </c>
      <c r="K103" s="52" t="s">
        <v>95</v>
      </c>
      <c r="L103" s="168" t="s">
        <v>28</v>
      </c>
      <c r="M103" s="168" t="s">
        <v>97</v>
      </c>
      <c r="N103" s="68" t="s">
        <v>203</v>
      </c>
      <c r="O103" s="170"/>
      <c r="P103" s="80" t="s">
        <v>387</v>
      </c>
      <c r="Q103" s="52" t="s">
        <v>95</v>
      </c>
      <c r="R103" s="168" t="s">
        <v>28</v>
      </c>
      <c r="S103" s="168" t="s">
        <v>97</v>
      </c>
      <c r="T103" s="68" t="s">
        <v>203</v>
      </c>
      <c r="U103" s="170"/>
      <c r="V103" s="181" t="s">
        <v>388</v>
      </c>
      <c r="W103" s="168" t="s">
        <v>88</v>
      </c>
    </row>
    <row r="104" spans="1:23">
      <c r="A104" s="45">
        <v>46214</v>
      </c>
      <c r="B104" s="46" t="s">
        <v>85</v>
      </c>
      <c r="C104" s="55" t="s">
        <v>111</v>
      </c>
      <c r="D104" s="143"/>
      <c r="E104" s="144"/>
      <c r="F104" s="144"/>
      <c r="G104" s="144"/>
      <c r="H104" s="144"/>
      <c r="I104" s="145"/>
      <c r="J104" s="143"/>
      <c r="K104" s="144"/>
      <c r="L104" s="144"/>
      <c r="M104" s="144"/>
      <c r="N104" s="144"/>
      <c r="O104" s="46"/>
      <c r="P104" s="143"/>
      <c r="Q104" s="144"/>
      <c r="R104" s="144"/>
      <c r="S104" s="144"/>
      <c r="T104" s="144"/>
      <c r="U104" s="46"/>
    </row>
    <row r="105" spans="1:23">
      <c r="A105" s="45">
        <v>46215</v>
      </c>
      <c r="B105" s="46" t="s">
        <v>86</v>
      </c>
      <c r="C105" s="55" t="s">
        <v>111</v>
      </c>
      <c r="D105" s="143"/>
      <c r="E105" s="144"/>
      <c r="F105" s="144"/>
      <c r="G105" s="144"/>
      <c r="H105" s="144"/>
      <c r="I105" s="145"/>
      <c r="J105" s="143"/>
      <c r="K105" s="144"/>
      <c r="L105" s="144"/>
      <c r="M105" s="144"/>
      <c r="N105" s="144"/>
      <c r="O105" s="46"/>
      <c r="P105" s="143"/>
      <c r="Q105" s="144"/>
      <c r="R105" s="144"/>
      <c r="S105" s="144"/>
      <c r="T105" s="144"/>
      <c r="U105" s="46"/>
    </row>
    <row r="106" spans="1:23">
      <c r="A106" s="187">
        <v>46216</v>
      </c>
      <c r="B106" s="77" t="s">
        <v>80</v>
      </c>
      <c r="C106" s="78" t="s">
        <v>111</v>
      </c>
      <c r="D106" s="283" t="s">
        <v>389</v>
      </c>
      <c r="E106" s="198" t="s">
        <v>377</v>
      </c>
      <c r="F106" s="198" t="s">
        <v>378</v>
      </c>
      <c r="G106" s="168" t="s">
        <v>102</v>
      </c>
      <c r="H106" s="168" t="s">
        <v>22</v>
      </c>
      <c r="I106" s="163" t="s">
        <v>5</v>
      </c>
      <c r="J106" s="283" t="s">
        <v>389</v>
      </c>
      <c r="K106" s="198" t="s">
        <v>377</v>
      </c>
      <c r="L106" s="198" t="s">
        <v>378</v>
      </c>
      <c r="M106" s="168" t="s">
        <v>102</v>
      </c>
      <c r="N106" s="168" t="s">
        <v>22</v>
      </c>
      <c r="O106" s="48" t="s">
        <v>5</v>
      </c>
      <c r="P106" s="283" t="s">
        <v>389</v>
      </c>
      <c r="Q106" s="198" t="s">
        <v>377</v>
      </c>
      <c r="R106" s="198" t="s">
        <v>378</v>
      </c>
      <c r="S106" s="168" t="s">
        <v>102</v>
      </c>
      <c r="T106" s="168" t="s">
        <v>22</v>
      </c>
      <c r="U106" s="48" t="s">
        <v>5</v>
      </c>
    </row>
    <row r="107" spans="1:23">
      <c r="A107" s="187">
        <v>46217</v>
      </c>
      <c r="B107" s="48" t="s">
        <v>81</v>
      </c>
      <c r="C107" s="41" t="s">
        <v>111</v>
      </c>
      <c r="D107" s="80" t="s">
        <v>36</v>
      </c>
      <c r="E107" s="52" t="s">
        <v>37</v>
      </c>
      <c r="F107" s="52" t="s">
        <v>38</v>
      </c>
      <c r="G107" s="52" t="s">
        <v>39</v>
      </c>
      <c r="H107" s="52" t="s">
        <v>40</v>
      </c>
      <c r="I107" s="163" t="s">
        <v>41</v>
      </c>
      <c r="J107" s="80" t="s">
        <v>36</v>
      </c>
      <c r="K107" s="52" t="s">
        <v>37</v>
      </c>
      <c r="L107" s="52" t="s">
        <v>38</v>
      </c>
      <c r="M107" s="52" t="s">
        <v>39</v>
      </c>
      <c r="N107" s="52" t="s">
        <v>40</v>
      </c>
      <c r="O107" s="48" t="s">
        <v>41</v>
      </c>
      <c r="P107" s="80" t="s">
        <v>36</v>
      </c>
      <c r="Q107" s="52" t="s">
        <v>37</v>
      </c>
      <c r="R107" s="52" t="s">
        <v>38</v>
      </c>
      <c r="S107" s="52" t="s">
        <v>39</v>
      </c>
      <c r="T107" s="52" t="s">
        <v>40</v>
      </c>
      <c r="U107" s="48" t="s">
        <v>41</v>
      </c>
    </row>
    <row r="108" spans="1:23">
      <c r="A108" s="187">
        <v>46218</v>
      </c>
      <c r="B108" s="48" t="s">
        <v>82</v>
      </c>
      <c r="C108" s="41" t="s">
        <v>111</v>
      </c>
      <c r="D108" s="80" t="s">
        <v>42</v>
      </c>
      <c r="E108" s="52" t="s">
        <v>43</v>
      </c>
      <c r="F108" s="52" t="s">
        <v>44</v>
      </c>
      <c r="G108" s="52" t="s">
        <v>45</v>
      </c>
      <c r="H108" s="52" t="s">
        <v>46</v>
      </c>
      <c r="I108" s="163" t="s">
        <v>47</v>
      </c>
      <c r="J108" s="80" t="s">
        <v>42</v>
      </c>
      <c r="K108" s="52" t="s">
        <v>43</v>
      </c>
      <c r="L108" s="52" t="s">
        <v>44</v>
      </c>
      <c r="M108" s="52" t="s">
        <v>45</v>
      </c>
      <c r="N108" s="52" t="s">
        <v>46</v>
      </c>
      <c r="O108" s="48" t="s">
        <v>47</v>
      </c>
      <c r="P108" s="80" t="s">
        <v>42</v>
      </c>
      <c r="Q108" s="52" t="s">
        <v>43</v>
      </c>
      <c r="R108" s="52" t="s">
        <v>44</v>
      </c>
      <c r="S108" s="52" t="s">
        <v>45</v>
      </c>
      <c r="T108" s="52" t="s">
        <v>46</v>
      </c>
      <c r="U108" s="48" t="s">
        <v>47</v>
      </c>
    </row>
    <row r="109" spans="1:23">
      <c r="A109" s="187">
        <v>46219</v>
      </c>
      <c r="B109" s="48" t="s">
        <v>83</v>
      </c>
      <c r="C109" s="41" t="s">
        <v>195</v>
      </c>
      <c r="D109" s="179" t="s">
        <v>388</v>
      </c>
      <c r="E109" s="168" t="s">
        <v>88</v>
      </c>
      <c r="F109" s="52" t="s">
        <v>76</v>
      </c>
      <c r="G109" s="52" t="s">
        <v>75</v>
      </c>
      <c r="H109" s="52" t="s">
        <v>228</v>
      </c>
      <c r="I109" s="163"/>
      <c r="J109" s="179" t="s">
        <v>388</v>
      </c>
      <c r="K109" s="168" t="s">
        <v>88</v>
      </c>
      <c r="L109" s="52" t="s">
        <v>76</v>
      </c>
      <c r="M109" s="52" t="s">
        <v>75</v>
      </c>
      <c r="N109" s="52" t="s">
        <v>228</v>
      </c>
      <c r="O109" s="48"/>
      <c r="P109" s="179" t="s">
        <v>388</v>
      </c>
      <c r="Q109" s="168" t="s">
        <v>88</v>
      </c>
      <c r="R109" s="52" t="s">
        <v>76</v>
      </c>
      <c r="S109" s="52" t="s">
        <v>75</v>
      </c>
      <c r="T109" s="52" t="s">
        <v>228</v>
      </c>
      <c r="U109" s="48"/>
    </row>
    <row r="110" spans="1:23">
      <c r="A110" s="187">
        <v>46220</v>
      </c>
      <c r="B110" s="48" t="s">
        <v>84</v>
      </c>
      <c r="C110" s="41" t="s">
        <v>196</v>
      </c>
      <c r="D110" s="80" t="s">
        <v>74</v>
      </c>
      <c r="E110" s="52" t="s">
        <v>75</v>
      </c>
      <c r="I110" s="163"/>
      <c r="J110" s="80" t="s">
        <v>74</v>
      </c>
      <c r="K110" s="52" t="s">
        <v>75</v>
      </c>
      <c r="O110" s="48"/>
      <c r="P110" s="80" t="s">
        <v>74</v>
      </c>
      <c r="Q110" s="52" t="s">
        <v>75</v>
      </c>
      <c r="U110" s="48"/>
    </row>
    <row r="111" spans="1:23">
      <c r="A111" s="45">
        <v>46221</v>
      </c>
      <c r="B111" s="46" t="s">
        <v>85</v>
      </c>
      <c r="C111" s="55" t="s">
        <v>197</v>
      </c>
      <c r="D111" s="143"/>
      <c r="E111" s="144"/>
      <c r="F111" s="144"/>
      <c r="G111" s="144"/>
      <c r="H111" s="144"/>
      <c r="I111" s="145"/>
      <c r="J111" s="143"/>
      <c r="K111" s="144"/>
      <c r="L111" s="144"/>
      <c r="M111" s="144"/>
      <c r="N111" s="144"/>
      <c r="O111" s="46"/>
      <c r="P111" s="143"/>
      <c r="Q111" s="144"/>
      <c r="R111" s="144"/>
      <c r="S111" s="144"/>
      <c r="T111" s="144"/>
      <c r="U111" s="46"/>
    </row>
    <row r="112" spans="1:23">
      <c r="A112" s="45">
        <v>46222</v>
      </c>
      <c r="B112" s="46" t="s">
        <v>86</v>
      </c>
      <c r="C112" s="55" t="s">
        <v>111</v>
      </c>
      <c r="D112" s="143"/>
      <c r="E112" s="144"/>
      <c r="F112" s="144"/>
      <c r="G112" s="144"/>
      <c r="H112" s="144"/>
      <c r="I112" s="145"/>
      <c r="J112" s="143"/>
      <c r="K112" s="144"/>
      <c r="L112" s="144"/>
      <c r="M112" s="144"/>
      <c r="N112" s="144"/>
      <c r="O112" s="46"/>
      <c r="P112" s="143"/>
      <c r="Q112" s="144"/>
      <c r="R112" s="144"/>
      <c r="S112" s="144"/>
      <c r="T112" s="144"/>
      <c r="U112" s="46"/>
    </row>
    <row r="113" spans="1:21">
      <c r="A113" s="45">
        <v>46223</v>
      </c>
      <c r="B113" s="46" t="s">
        <v>80</v>
      </c>
      <c r="C113" s="55" t="s">
        <v>198</v>
      </c>
      <c r="D113" s="143"/>
      <c r="E113" s="144"/>
      <c r="F113" s="144"/>
      <c r="G113" s="144"/>
      <c r="H113" s="144"/>
      <c r="I113" s="145"/>
      <c r="J113" s="143"/>
      <c r="K113" s="144"/>
      <c r="L113" s="144"/>
      <c r="M113" s="144"/>
      <c r="N113" s="144"/>
      <c r="O113" s="46"/>
      <c r="P113" s="143"/>
      <c r="Q113" s="144"/>
      <c r="R113" s="144"/>
      <c r="S113" s="144"/>
      <c r="T113" s="144"/>
      <c r="U113" s="46"/>
    </row>
    <row r="114" spans="1:21">
      <c r="A114" s="45">
        <v>46224</v>
      </c>
      <c r="B114" s="46" t="s">
        <v>81</v>
      </c>
      <c r="C114" s="55"/>
      <c r="D114" s="143"/>
      <c r="E114" s="144"/>
      <c r="F114" s="144"/>
      <c r="G114" s="144"/>
      <c r="H114" s="144"/>
      <c r="I114" s="145"/>
      <c r="J114" s="143"/>
      <c r="K114" s="144"/>
      <c r="L114" s="144"/>
      <c r="M114" s="144"/>
      <c r="N114" s="144"/>
      <c r="O114" s="46"/>
      <c r="P114" s="143"/>
      <c r="Q114" s="144"/>
      <c r="R114" s="144"/>
      <c r="S114" s="144"/>
      <c r="T114" s="144"/>
      <c r="U114" s="46"/>
    </row>
    <row r="115" spans="1:21">
      <c r="A115" s="45">
        <v>46225</v>
      </c>
      <c r="B115" s="46" t="s">
        <v>82</v>
      </c>
      <c r="C115" s="55"/>
      <c r="D115" s="143"/>
      <c r="E115" s="144"/>
      <c r="F115" s="144"/>
      <c r="G115" s="144"/>
      <c r="H115" s="144"/>
      <c r="I115" s="145"/>
      <c r="J115" s="143"/>
      <c r="K115" s="144"/>
      <c r="L115" s="144"/>
      <c r="M115" s="144"/>
      <c r="N115" s="144"/>
      <c r="O115" s="46"/>
      <c r="P115" s="143"/>
      <c r="Q115" s="144"/>
      <c r="R115" s="144"/>
      <c r="S115" s="144"/>
      <c r="T115" s="144"/>
      <c r="U115" s="46"/>
    </row>
    <row r="116" spans="1:21">
      <c r="A116" s="45">
        <v>46226</v>
      </c>
      <c r="B116" s="46" t="s">
        <v>83</v>
      </c>
      <c r="C116" s="55"/>
      <c r="D116" s="143"/>
      <c r="E116" s="144"/>
      <c r="F116" s="144"/>
      <c r="G116" s="144"/>
      <c r="H116" s="144"/>
      <c r="I116" s="145"/>
      <c r="J116" s="143"/>
      <c r="K116" s="144"/>
      <c r="L116" s="144"/>
      <c r="M116" s="144"/>
      <c r="N116" s="144"/>
      <c r="O116" s="46"/>
      <c r="P116" s="143"/>
      <c r="Q116" s="144"/>
      <c r="R116" s="144"/>
      <c r="S116" s="144"/>
      <c r="T116" s="144"/>
      <c r="U116" s="46"/>
    </row>
    <row r="117" spans="1:21">
      <c r="A117" s="45">
        <v>46227</v>
      </c>
      <c r="B117" s="46" t="s">
        <v>84</v>
      </c>
      <c r="C117" s="55"/>
      <c r="D117" s="143"/>
      <c r="E117" s="144"/>
      <c r="F117" s="144"/>
      <c r="G117" s="144"/>
      <c r="H117" s="144"/>
      <c r="I117" s="145"/>
      <c r="J117" s="143"/>
      <c r="K117" s="144"/>
      <c r="L117" s="144"/>
      <c r="M117" s="144"/>
      <c r="N117" s="144"/>
      <c r="O117" s="46"/>
      <c r="P117" s="143"/>
      <c r="Q117" s="144"/>
      <c r="R117" s="144"/>
      <c r="S117" s="144"/>
      <c r="T117" s="144"/>
      <c r="U117" s="46"/>
    </row>
    <row r="118" spans="1:21">
      <c r="A118" s="45">
        <v>46228</v>
      </c>
      <c r="B118" s="46" t="s">
        <v>85</v>
      </c>
      <c r="C118" s="55"/>
      <c r="D118" s="143"/>
      <c r="E118" s="144"/>
      <c r="F118" s="144"/>
      <c r="G118" s="144"/>
      <c r="H118" s="144"/>
      <c r="I118" s="145"/>
      <c r="J118" s="143"/>
      <c r="K118" s="144"/>
      <c r="L118" s="144"/>
      <c r="M118" s="144"/>
      <c r="N118" s="144"/>
      <c r="O118" s="46"/>
      <c r="P118" s="143"/>
      <c r="Q118" s="144"/>
      <c r="R118" s="144"/>
      <c r="S118" s="144"/>
      <c r="T118" s="144"/>
      <c r="U118" s="46"/>
    </row>
    <row r="119" spans="1:21">
      <c r="A119" s="45">
        <v>46229</v>
      </c>
      <c r="B119" s="46" t="s">
        <v>86</v>
      </c>
      <c r="C119" s="55"/>
      <c r="D119" s="143"/>
      <c r="E119" s="144"/>
      <c r="F119" s="144"/>
      <c r="G119" s="144"/>
      <c r="H119" s="144"/>
      <c r="I119" s="145"/>
      <c r="J119" s="143"/>
      <c r="K119" s="144"/>
      <c r="L119" s="144"/>
      <c r="M119" s="144"/>
      <c r="N119" s="144"/>
      <c r="O119" s="46"/>
      <c r="P119" s="143"/>
      <c r="Q119" s="144"/>
      <c r="R119" s="144"/>
      <c r="S119" s="144"/>
      <c r="T119" s="144"/>
      <c r="U119" s="46"/>
    </row>
    <row r="120" spans="1:21">
      <c r="A120" s="45">
        <v>46230</v>
      </c>
      <c r="B120" s="46" t="s">
        <v>80</v>
      </c>
      <c r="C120" s="55"/>
      <c r="D120" s="143"/>
      <c r="E120" s="144"/>
      <c r="F120" s="144"/>
      <c r="G120" s="144"/>
      <c r="H120" s="144"/>
      <c r="I120" s="145"/>
      <c r="J120" s="143"/>
      <c r="K120" s="144"/>
      <c r="L120" s="144"/>
      <c r="M120" s="144"/>
      <c r="N120" s="144"/>
      <c r="O120" s="46"/>
      <c r="P120" s="143"/>
      <c r="Q120" s="144"/>
      <c r="R120" s="144"/>
      <c r="S120" s="144"/>
      <c r="T120" s="144"/>
      <c r="U120" s="46"/>
    </row>
    <row r="121" spans="1:21">
      <c r="A121" s="45">
        <v>46231</v>
      </c>
      <c r="B121" s="46" t="s">
        <v>81</v>
      </c>
      <c r="C121" s="55"/>
      <c r="D121" s="143"/>
      <c r="E121" s="144"/>
      <c r="F121" s="144"/>
      <c r="G121" s="144"/>
      <c r="H121" s="144"/>
      <c r="I121" s="145"/>
      <c r="J121" s="143"/>
      <c r="K121" s="144"/>
      <c r="L121" s="144"/>
      <c r="M121" s="144"/>
      <c r="N121" s="144"/>
      <c r="O121" s="46"/>
      <c r="P121" s="143"/>
      <c r="Q121" s="144"/>
      <c r="R121" s="144"/>
      <c r="S121" s="144"/>
      <c r="T121" s="144"/>
      <c r="U121" s="46"/>
    </row>
    <row r="122" spans="1:21">
      <c r="A122" s="45">
        <v>46232</v>
      </c>
      <c r="B122" s="46" t="s">
        <v>82</v>
      </c>
      <c r="C122" s="55"/>
      <c r="D122" s="143"/>
      <c r="E122" s="144"/>
      <c r="F122" s="144"/>
      <c r="G122" s="144"/>
      <c r="H122" s="144"/>
      <c r="I122" s="145"/>
      <c r="J122" s="143"/>
      <c r="K122" s="144"/>
      <c r="L122" s="144"/>
      <c r="M122" s="144"/>
      <c r="N122" s="144"/>
      <c r="O122" s="46"/>
      <c r="P122" s="143"/>
      <c r="Q122" s="144"/>
      <c r="R122" s="144"/>
      <c r="S122" s="144"/>
      <c r="T122" s="144"/>
      <c r="U122" s="46"/>
    </row>
    <row r="123" spans="1:21">
      <c r="A123" s="45">
        <v>46233</v>
      </c>
      <c r="B123" s="46" t="s">
        <v>83</v>
      </c>
      <c r="C123" s="55"/>
      <c r="D123" s="143"/>
      <c r="E123" s="144"/>
      <c r="F123" s="144"/>
      <c r="G123" s="144"/>
      <c r="H123" s="144"/>
      <c r="I123" s="145"/>
      <c r="J123" s="143"/>
      <c r="K123" s="144"/>
      <c r="L123" s="144"/>
      <c r="M123" s="144"/>
      <c r="N123" s="144"/>
      <c r="O123" s="46"/>
      <c r="P123" s="143"/>
      <c r="Q123" s="144"/>
      <c r="R123" s="144"/>
      <c r="S123" s="144"/>
      <c r="T123" s="144"/>
      <c r="U123" s="46"/>
    </row>
    <row r="124" spans="1:21">
      <c r="A124" s="45">
        <v>46234</v>
      </c>
      <c r="B124" s="46" t="s">
        <v>84</v>
      </c>
      <c r="C124" s="55"/>
      <c r="D124" s="143"/>
      <c r="E124" s="144"/>
      <c r="F124" s="144"/>
      <c r="G124" s="144"/>
      <c r="H124" s="144"/>
      <c r="I124" s="145"/>
      <c r="J124" s="143"/>
      <c r="K124" s="144"/>
      <c r="L124" s="144"/>
      <c r="M124" s="144"/>
      <c r="N124" s="144"/>
      <c r="O124" s="46"/>
      <c r="P124" s="143"/>
      <c r="Q124" s="144"/>
      <c r="R124" s="144"/>
      <c r="S124" s="144"/>
      <c r="T124" s="144"/>
      <c r="U124" s="46"/>
    </row>
    <row r="125" spans="1:21">
      <c r="A125" s="45">
        <v>46235</v>
      </c>
      <c r="B125" s="46" t="s">
        <v>85</v>
      </c>
      <c r="C125" s="55"/>
      <c r="D125" s="143"/>
      <c r="E125" s="144"/>
      <c r="F125" s="144"/>
      <c r="G125" s="144"/>
      <c r="H125" s="144"/>
      <c r="I125" s="145"/>
      <c r="J125" s="143"/>
      <c r="K125" s="144"/>
      <c r="L125" s="144"/>
      <c r="M125" s="144"/>
      <c r="N125" s="144"/>
      <c r="O125" s="46"/>
      <c r="P125" s="143"/>
      <c r="Q125" s="144"/>
      <c r="R125" s="144"/>
      <c r="S125" s="144"/>
      <c r="T125" s="144"/>
      <c r="U125" s="46"/>
    </row>
    <row r="126" spans="1:21">
      <c r="A126" s="45">
        <v>46236</v>
      </c>
      <c r="B126" s="46" t="s">
        <v>86</v>
      </c>
      <c r="C126" s="55"/>
      <c r="D126" s="143"/>
      <c r="E126" s="144"/>
      <c r="F126" s="144"/>
      <c r="G126" s="144"/>
      <c r="H126" s="144"/>
      <c r="I126" s="145"/>
      <c r="J126" s="143"/>
      <c r="K126" s="144"/>
      <c r="L126" s="144"/>
      <c r="M126" s="144"/>
      <c r="N126" s="144"/>
      <c r="O126" s="46"/>
      <c r="P126" s="143"/>
      <c r="Q126" s="144"/>
      <c r="R126" s="144"/>
      <c r="S126" s="144"/>
      <c r="T126" s="144"/>
      <c r="U126" s="46"/>
    </row>
    <row r="127" spans="1:21">
      <c r="A127" s="45">
        <v>46237</v>
      </c>
      <c r="B127" s="46" t="s">
        <v>80</v>
      </c>
      <c r="C127" s="55"/>
      <c r="D127" s="143"/>
      <c r="E127" s="144"/>
      <c r="F127" s="144"/>
      <c r="G127" s="144"/>
      <c r="H127" s="144"/>
      <c r="I127" s="145"/>
      <c r="J127" s="143"/>
      <c r="K127" s="144"/>
      <c r="L127" s="144"/>
      <c r="M127" s="144"/>
      <c r="N127" s="144"/>
      <c r="O127" s="46"/>
      <c r="P127" s="143"/>
      <c r="Q127" s="144"/>
      <c r="R127" s="144"/>
      <c r="S127" s="144"/>
      <c r="T127" s="144"/>
      <c r="U127" s="46"/>
    </row>
    <row r="128" spans="1:21">
      <c r="A128" s="45">
        <v>46238</v>
      </c>
      <c r="B128" s="46" t="s">
        <v>81</v>
      </c>
      <c r="C128" s="55"/>
      <c r="D128" s="143"/>
      <c r="E128" s="144"/>
      <c r="F128" s="144"/>
      <c r="G128" s="144"/>
      <c r="H128" s="144"/>
      <c r="I128" s="145"/>
      <c r="J128" s="143"/>
      <c r="K128" s="144"/>
      <c r="L128" s="144"/>
      <c r="M128" s="144"/>
      <c r="N128" s="144"/>
      <c r="O128" s="46"/>
      <c r="P128" s="143"/>
      <c r="Q128" s="144"/>
      <c r="R128" s="144"/>
      <c r="S128" s="144"/>
      <c r="T128" s="144"/>
      <c r="U128" s="46"/>
    </row>
    <row r="129" spans="1:21">
      <c r="A129" s="45">
        <v>46239</v>
      </c>
      <c r="B129" s="46" t="s">
        <v>82</v>
      </c>
      <c r="C129" s="55"/>
      <c r="D129" s="143"/>
      <c r="E129" s="144"/>
      <c r="F129" s="144"/>
      <c r="G129" s="144"/>
      <c r="H129" s="144"/>
      <c r="I129" s="145"/>
      <c r="J129" s="143"/>
      <c r="K129" s="144"/>
      <c r="L129" s="144"/>
      <c r="M129" s="144"/>
      <c r="N129" s="144"/>
      <c r="O129" s="46"/>
      <c r="P129" s="143"/>
      <c r="Q129" s="144"/>
      <c r="R129" s="144"/>
      <c r="S129" s="144"/>
      <c r="T129" s="144"/>
      <c r="U129" s="46"/>
    </row>
    <row r="130" spans="1:21">
      <c r="A130" s="45">
        <v>46240</v>
      </c>
      <c r="B130" s="46" t="s">
        <v>83</v>
      </c>
      <c r="C130" s="55"/>
      <c r="D130" s="143"/>
      <c r="E130" s="144"/>
      <c r="F130" s="144"/>
      <c r="G130" s="144"/>
      <c r="H130" s="144"/>
      <c r="I130" s="145"/>
      <c r="J130" s="143"/>
      <c r="K130" s="144"/>
      <c r="L130" s="144"/>
      <c r="M130" s="144"/>
      <c r="N130" s="144"/>
      <c r="O130" s="46"/>
      <c r="P130" s="143"/>
      <c r="Q130" s="144"/>
      <c r="R130" s="144"/>
      <c r="S130" s="144"/>
      <c r="T130" s="144"/>
      <c r="U130" s="46"/>
    </row>
    <row r="131" spans="1:21">
      <c r="A131" s="45">
        <v>46241</v>
      </c>
      <c r="B131" s="46" t="s">
        <v>84</v>
      </c>
      <c r="C131" s="55"/>
      <c r="D131" s="143"/>
      <c r="E131" s="144"/>
      <c r="F131" s="144"/>
      <c r="G131" s="144"/>
      <c r="H131" s="144"/>
      <c r="I131" s="145"/>
      <c r="J131" s="143"/>
      <c r="K131" s="144"/>
      <c r="L131" s="144"/>
      <c r="M131" s="144"/>
      <c r="N131" s="144"/>
      <c r="O131" s="46"/>
      <c r="P131" s="143"/>
      <c r="Q131" s="144"/>
      <c r="R131" s="144"/>
      <c r="S131" s="144"/>
      <c r="T131" s="144"/>
      <c r="U131" s="46"/>
    </row>
    <row r="132" spans="1:21">
      <c r="A132" s="45">
        <v>46242</v>
      </c>
      <c r="B132" s="46" t="s">
        <v>85</v>
      </c>
      <c r="C132" s="55"/>
      <c r="D132" s="143"/>
      <c r="E132" s="144"/>
      <c r="F132" s="144"/>
      <c r="G132" s="144"/>
      <c r="H132" s="144"/>
      <c r="I132" s="145"/>
      <c r="J132" s="143"/>
      <c r="K132" s="144"/>
      <c r="L132" s="144"/>
      <c r="M132" s="144"/>
      <c r="N132" s="144"/>
      <c r="O132" s="46"/>
      <c r="P132" s="143"/>
      <c r="Q132" s="144"/>
      <c r="R132" s="144"/>
      <c r="S132" s="144"/>
      <c r="T132" s="144"/>
      <c r="U132" s="46"/>
    </row>
    <row r="133" spans="1:21">
      <c r="A133" s="45">
        <v>46243</v>
      </c>
      <c r="B133" s="46" t="s">
        <v>86</v>
      </c>
      <c r="C133" s="55"/>
      <c r="D133" s="143"/>
      <c r="E133" s="144"/>
      <c r="F133" s="144"/>
      <c r="G133" s="144"/>
      <c r="H133" s="144"/>
      <c r="I133" s="145"/>
      <c r="J133" s="143"/>
      <c r="K133" s="144"/>
      <c r="L133" s="144"/>
      <c r="M133" s="144"/>
      <c r="N133" s="144"/>
      <c r="O133" s="46"/>
      <c r="P133" s="143"/>
      <c r="Q133" s="144"/>
      <c r="R133" s="144"/>
      <c r="S133" s="144"/>
      <c r="T133" s="144"/>
      <c r="U133" s="46"/>
    </row>
    <row r="134" spans="1:21">
      <c r="A134" s="45">
        <v>46244</v>
      </c>
      <c r="B134" s="46" t="s">
        <v>80</v>
      </c>
      <c r="C134" s="55"/>
      <c r="D134" s="143"/>
      <c r="E134" s="144"/>
      <c r="F134" s="144"/>
      <c r="G134" s="144"/>
      <c r="H134" s="144"/>
      <c r="I134" s="145"/>
      <c r="J134" s="143"/>
      <c r="K134" s="144"/>
      <c r="L134" s="144"/>
      <c r="M134" s="144"/>
      <c r="N134" s="144"/>
      <c r="O134" s="46"/>
      <c r="P134" s="143"/>
      <c r="Q134" s="144"/>
      <c r="R134" s="144"/>
      <c r="S134" s="144"/>
      <c r="T134" s="144"/>
      <c r="U134" s="46"/>
    </row>
    <row r="135" spans="1:21">
      <c r="A135" s="45">
        <v>46245</v>
      </c>
      <c r="B135" s="46" t="s">
        <v>81</v>
      </c>
      <c r="C135" s="55"/>
      <c r="D135" s="143"/>
      <c r="E135" s="144"/>
      <c r="F135" s="144"/>
      <c r="G135" s="144"/>
      <c r="H135" s="144"/>
      <c r="I135" s="145"/>
      <c r="J135" s="143"/>
      <c r="K135" s="144"/>
      <c r="L135" s="144"/>
      <c r="M135" s="144"/>
      <c r="N135" s="144"/>
      <c r="O135" s="46"/>
      <c r="P135" s="143"/>
      <c r="Q135" s="144"/>
      <c r="R135" s="144"/>
      <c r="S135" s="144"/>
      <c r="T135" s="144"/>
      <c r="U135" s="46"/>
    </row>
    <row r="136" spans="1:21">
      <c r="A136" s="45">
        <v>46246</v>
      </c>
      <c r="B136" s="46" t="s">
        <v>82</v>
      </c>
      <c r="C136" s="55"/>
      <c r="D136" s="143"/>
      <c r="E136" s="144"/>
      <c r="F136" s="144"/>
      <c r="G136" s="144"/>
      <c r="H136" s="144"/>
      <c r="I136" s="145"/>
      <c r="J136" s="143"/>
      <c r="K136" s="144"/>
      <c r="L136" s="144"/>
      <c r="M136" s="144"/>
      <c r="N136" s="144"/>
      <c r="O136" s="46"/>
      <c r="P136" s="143"/>
      <c r="Q136" s="144"/>
      <c r="R136" s="144"/>
      <c r="S136" s="144"/>
      <c r="T136" s="144"/>
      <c r="U136" s="46"/>
    </row>
    <row r="137" spans="1:21">
      <c r="A137" s="45">
        <v>46247</v>
      </c>
      <c r="B137" s="46" t="s">
        <v>83</v>
      </c>
      <c r="C137" s="55"/>
      <c r="D137" s="143"/>
      <c r="E137" s="144"/>
      <c r="F137" s="144"/>
      <c r="G137" s="144"/>
      <c r="H137" s="144"/>
      <c r="I137" s="145"/>
      <c r="J137" s="143"/>
      <c r="K137" s="144"/>
      <c r="L137" s="144"/>
      <c r="M137" s="144"/>
      <c r="N137" s="144"/>
      <c r="O137" s="46"/>
      <c r="P137" s="143"/>
      <c r="Q137" s="144"/>
      <c r="R137" s="144"/>
      <c r="S137" s="144"/>
      <c r="T137" s="144"/>
      <c r="U137" s="46"/>
    </row>
    <row r="138" spans="1:21">
      <c r="A138" s="45">
        <v>46248</v>
      </c>
      <c r="B138" s="46" t="s">
        <v>84</v>
      </c>
      <c r="C138" s="55"/>
      <c r="D138" s="143"/>
      <c r="E138" s="144"/>
      <c r="F138" s="144"/>
      <c r="G138" s="144"/>
      <c r="H138" s="144"/>
      <c r="I138" s="145"/>
      <c r="J138" s="143"/>
      <c r="K138" s="144"/>
      <c r="L138" s="144"/>
      <c r="M138" s="144"/>
      <c r="N138" s="144"/>
      <c r="O138" s="46"/>
      <c r="P138" s="143"/>
      <c r="Q138" s="144"/>
      <c r="R138" s="144"/>
      <c r="S138" s="144"/>
      <c r="T138" s="144"/>
      <c r="U138" s="46"/>
    </row>
    <row r="139" spans="1:21">
      <c r="A139" s="45">
        <v>46249</v>
      </c>
      <c r="B139" s="46" t="s">
        <v>85</v>
      </c>
      <c r="C139" s="55"/>
      <c r="D139" s="143"/>
      <c r="E139" s="144"/>
      <c r="F139" s="144"/>
      <c r="G139" s="144"/>
      <c r="H139" s="144"/>
      <c r="I139" s="145"/>
      <c r="J139" s="143"/>
      <c r="K139" s="144"/>
      <c r="L139" s="144"/>
      <c r="M139" s="144"/>
      <c r="N139" s="144"/>
      <c r="O139" s="46"/>
      <c r="P139" s="143"/>
      <c r="Q139" s="144"/>
      <c r="R139" s="144"/>
      <c r="S139" s="144"/>
      <c r="T139" s="144"/>
      <c r="U139" s="46"/>
    </row>
    <row r="140" spans="1:21">
      <c r="A140" s="45">
        <v>46250</v>
      </c>
      <c r="B140" s="46" t="s">
        <v>86</v>
      </c>
      <c r="C140" s="55"/>
      <c r="D140" s="143"/>
      <c r="E140" s="144"/>
      <c r="F140" s="144"/>
      <c r="G140" s="144"/>
      <c r="H140" s="144"/>
      <c r="I140" s="145"/>
      <c r="J140" s="143"/>
      <c r="K140" s="144"/>
      <c r="L140" s="144"/>
      <c r="M140" s="144"/>
      <c r="N140" s="144"/>
      <c r="O140" s="46"/>
      <c r="P140" s="143"/>
      <c r="Q140" s="144"/>
      <c r="R140" s="144"/>
      <c r="S140" s="144"/>
      <c r="T140" s="144"/>
      <c r="U140" s="46"/>
    </row>
    <row r="141" spans="1:21">
      <c r="A141" s="45">
        <v>46251</v>
      </c>
      <c r="B141" s="46" t="s">
        <v>80</v>
      </c>
      <c r="C141" s="55"/>
      <c r="D141" s="143"/>
      <c r="E141" s="144"/>
      <c r="F141" s="144"/>
      <c r="G141" s="144"/>
      <c r="H141" s="144"/>
      <c r="I141" s="145"/>
      <c r="J141" s="143"/>
      <c r="K141" s="144"/>
      <c r="L141" s="144"/>
      <c r="M141" s="144"/>
      <c r="N141" s="144"/>
      <c r="O141" s="46"/>
      <c r="P141" s="143"/>
      <c r="Q141" s="144"/>
      <c r="R141" s="144"/>
      <c r="S141" s="144"/>
      <c r="T141" s="144"/>
      <c r="U141" s="46"/>
    </row>
    <row r="142" spans="1:21">
      <c r="A142" s="45">
        <v>46252</v>
      </c>
      <c r="B142" s="46" t="s">
        <v>81</v>
      </c>
      <c r="C142" s="55"/>
      <c r="D142" s="143"/>
      <c r="E142" s="144"/>
      <c r="F142" s="144"/>
      <c r="G142" s="144"/>
      <c r="H142" s="144"/>
      <c r="I142" s="145"/>
      <c r="J142" s="143"/>
      <c r="K142" s="144"/>
      <c r="L142" s="144"/>
      <c r="M142" s="144"/>
      <c r="N142" s="144"/>
      <c r="O142" s="46"/>
      <c r="P142" s="143"/>
      <c r="Q142" s="144"/>
      <c r="R142" s="144"/>
      <c r="S142" s="144"/>
      <c r="T142" s="144"/>
      <c r="U142" s="46"/>
    </row>
    <row r="143" spans="1:21">
      <c r="A143" s="45">
        <v>46253</v>
      </c>
      <c r="B143" s="46" t="s">
        <v>82</v>
      </c>
      <c r="C143" s="55"/>
      <c r="D143" s="143"/>
      <c r="E143" s="144"/>
      <c r="F143" s="144"/>
      <c r="G143" s="144"/>
      <c r="H143" s="144"/>
      <c r="I143" s="145"/>
      <c r="J143" s="143"/>
      <c r="K143" s="144"/>
      <c r="L143" s="144"/>
      <c r="M143" s="144"/>
      <c r="N143" s="144"/>
      <c r="O143" s="46"/>
      <c r="P143" s="143"/>
      <c r="Q143" s="144"/>
      <c r="R143" s="144"/>
      <c r="S143" s="144"/>
      <c r="T143" s="144"/>
      <c r="U143" s="46"/>
    </row>
    <row r="144" spans="1:21">
      <c r="A144" s="45">
        <v>46254</v>
      </c>
      <c r="B144" s="46" t="s">
        <v>83</v>
      </c>
      <c r="C144" s="55"/>
      <c r="D144" s="143"/>
      <c r="E144" s="144"/>
      <c r="F144" s="144"/>
      <c r="G144" s="144"/>
      <c r="H144" s="144"/>
      <c r="I144" s="145"/>
      <c r="J144" s="143"/>
      <c r="K144" s="144"/>
      <c r="L144" s="144"/>
      <c r="M144" s="144"/>
      <c r="N144" s="144"/>
      <c r="O144" s="46"/>
      <c r="P144" s="143"/>
      <c r="Q144" s="144"/>
      <c r="R144" s="144"/>
      <c r="S144" s="144"/>
      <c r="T144" s="144"/>
      <c r="U144" s="46"/>
    </row>
    <row r="145" spans="1:21">
      <c r="A145" s="45">
        <v>46255</v>
      </c>
      <c r="B145" s="46" t="s">
        <v>84</v>
      </c>
      <c r="C145" s="55"/>
      <c r="D145" s="143"/>
      <c r="E145" s="144"/>
      <c r="F145" s="144"/>
      <c r="G145" s="144"/>
      <c r="H145" s="144"/>
      <c r="I145" s="145"/>
      <c r="J145" s="143"/>
      <c r="K145" s="144"/>
      <c r="L145" s="144"/>
      <c r="M145" s="144"/>
      <c r="N145" s="144"/>
      <c r="O145" s="46"/>
      <c r="P145" s="143"/>
      <c r="Q145" s="144"/>
      <c r="R145" s="144"/>
      <c r="S145" s="144"/>
      <c r="T145" s="144"/>
      <c r="U145" s="46"/>
    </row>
    <row r="146" spans="1:21">
      <c r="A146" s="45">
        <v>46256</v>
      </c>
      <c r="B146" s="46" t="s">
        <v>85</v>
      </c>
      <c r="C146" s="55"/>
      <c r="D146" s="143"/>
      <c r="E146" s="144"/>
      <c r="F146" s="144"/>
      <c r="G146" s="144"/>
      <c r="H146" s="144"/>
      <c r="I146" s="145"/>
      <c r="J146" s="143"/>
      <c r="K146" s="144"/>
      <c r="L146" s="144"/>
      <c r="M146" s="144"/>
      <c r="N146" s="144"/>
      <c r="O146" s="46"/>
      <c r="P146" s="143"/>
      <c r="Q146" s="144"/>
      <c r="R146" s="144"/>
      <c r="S146" s="144"/>
      <c r="T146" s="144"/>
      <c r="U146" s="46"/>
    </row>
    <row r="147" spans="1:21">
      <c r="A147" s="45">
        <v>46257</v>
      </c>
      <c r="B147" s="46" t="s">
        <v>86</v>
      </c>
      <c r="C147" s="55"/>
      <c r="D147" s="143"/>
      <c r="E147" s="144"/>
      <c r="F147" s="144"/>
      <c r="G147" s="144"/>
      <c r="H147" s="144"/>
      <c r="I147" s="145"/>
      <c r="J147" s="143"/>
      <c r="K147" s="144"/>
      <c r="L147" s="144"/>
      <c r="M147" s="144"/>
      <c r="N147" s="144"/>
      <c r="O147" s="46"/>
      <c r="P147" s="143"/>
      <c r="Q147" s="144"/>
      <c r="R147" s="144"/>
      <c r="S147" s="144"/>
      <c r="T147" s="144"/>
      <c r="U147" s="46"/>
    </row>
    <row r="148" spans="1:21">
      <c r="A148" s="45">
        <v>46258</v>
      </c>
      <c r="B148" s="46" t="s">
        <v>80</v>
      </c>
      <c r="C148" s="55"/>
      <c r="D148" s="143"/>
      <c r="E148" s="144"/>
      <c r="F148" s="144"/>
      <c r="G148" s="144"/>
      <c r="H148" s="144"/>
      <c r="I148" s="145"/>
      <c r="J148" s="143"/>
      <c r="K148" s="144"/>
      <c r="L148" s="144"/>
      <c r="M148" s="144"/>
      <c r="N148" s="144"/>
      <c r="O148" s="46"/>
      <c r="P148" s="143"/>
      <c r="Q148" s="144"/>
      <c r="R148" s="144"/>
      <c r="S148" s="144"/>
      <c r="T148" s="144"/>
      <c r="U148" s="46"/>
    </row>
    <row r="149" spans="1:21">
      <c r="A149" s="45">
        <v>46259</v>
      </c>
      <c r="B149" s="46" t="s">
        <v>81</v>
      </c>
      <c r="C149" s="55"/>
      <c r="D149" s="143"/>
      <c r="E149" s="144"/>
      <c r="F149" s="144"/>
      <c r="G149" s="144"/>
      <c r="H149" s="144"/>
      <c r="I149" s="145"/>
      <c r="J149" s="143"/>
      <c r="K149" s="144"/>
      <c r="L149" s="144"/>
      <c r="M149" s="144"/>
      <c r="N149" s="144"/>
      <c r="O149" s="46"/>
      <c r="P149" s="143"/>
      <c r="Q149" s="144"/>
      <c r="R149" s="144"/>
      <c r="S149" s="144"/>
      <c r="T149" s="144"/>
      <c r="U149" s="46"/>
    </row>
    <row r="150" spans="1:21">
      <c r="A150" s="45">
        <v>46260</v>
      </c>
      <c r="B150" s="46" t="s">
        <v>82</v>
      </c>
      <c r="C150" s="55"/>
      <c r="D150" s="143"/>
      <c r="E150" s="144"/>
      <c r="F150" s="144"/>
      <c r="G150" s="144"/>
      <c r="H150" s="144"/>
      <c r="I150" s="145"/>
      <c r="J150" s="143"/>
      <c r="K150" s="144"/>
      <c r="L150" s="144"/>
      <c r="M150" s="144"/>
      <c r="N150" s="144"/>
      <c r="O150" s="46"/>
      <c r="P150" s="143"/>
      <c r="Q150" s="144"/>
      <c r="R150" s="144"/>
      <c r="S150" s="144"/>
      <c r="T150" s="144"/>
      <c r="U150" s="46"/>
    </row>
    <row r="151" spans="1:21">
      <c r="A151" s="45">
        <v>46261</v>
      </c>
      <c r="B151" s="46" t="s">
        <v>83</v>
      </c>
      <c r="C151" s="55"/>
      <c r="D151" s="143"/>
      <c r="E151" s="144"/>
      <c r="F151" s="144"/>
      <c r="G151" s="144"/>
      <c r="H151" s="144"/>
      <c r="I151" s="145"/>
      <c r="J151" s="143"/>
      <c r="K151" s="144"/>
      <c r="L151" s="144"/>
      <c r="M151" s="144"/>
      <c r="N151" s="144"/>
      <c r="O151" s="46"/>
      <c r="P151" s="143"/>
      <c r="Q151" s="144"/>
      <c r="R151" s="144"/>
      <c r="S151" s="144"/>
      <c r="T151" s="144"/>
      <c r="U151" s="46"/>
    </row>
    <row r="152" spans="1:21">
      <c r="A152" s="45">
        <v>46262</v>
      </c>
      <c r="B152" s="46" t="s">
        <v>84</v>
      </c>
      <c r="C152" s="55"/>
      <c r="D152" s="143"/>
      <c r="E152" s="144"/>
      <c r="F152" s="144"/>
      <c r="G152" s="144"/>
      <c r="H152" s="144"/>
      <c r="I152" s="145"/>
      <c r="J152" s="143"/>
      <c r="K152" s="144"/>
      <c r="L152" s="144"/>
      <c r="M152" s="144"/>
      <c r="N152" s="144"/>
      <c r="O152" s="46"/>
      <c r="P152" s="143"/>
      <c r="Q152" s="144"/>
      <c r="R152" s="144"/>
      <c r="S152" s="144"/>
      <c r="T152" s="144"/>
      <c r="U152" s="46"/>
    </row>
    <row r="153" spans="1:21">
      <c r="A153" s="211">
        <v>46263</v>
      </c>
      <c r="B153" s="46" t="s">
        <v>85</v>
      </c>
      <c r="C153" s="55"/>
      <c r="D153" s="143"/>
      <c r="E153" s="144"/>
      <c r="F153" s="144"/>
      <c r="G153" s="144"/>
      <c r="H153" s="144"/>
      <c r="I153" s="145"/>
      <c r="J153" s="143"/>
      <c r="K153" s="144"/>
      <c r="L153" s="144"/>
      <c r="M153" s="144"/>
      <c r="N153" s="144"/>
      <c r="O153" s="46"/>
      <c r="P153" s="143"/>
      <c r="Q153" s="144"/>
      <c r="R153" s="144"/>
      <c r="S153" s="144"/>
      <c r="T153" s="144"/>
      <c r="U153" s="46"/>
    </row>
    <row r="154" spans="1:21">
      <c r="A154" s="45">
        <v>46264</v>
      </c>
      <c r="B154" s="46" t="s">
        <v>86</v>
      </c>
      <c r="C154" s="55"/>
      <c r="D154" s="143"/>
      <c r="E154" s="144"/>
      <c r="F154" s="144"/>
      <c r="G154" s="144"/>
      <c r="H154" s="144"/>
      <c r="I154" s="145"/>
      <c r="J154" s="143"/>
      <c r="K154" s="144"/>
      <c r="L154" s="144"/>
      <c r="M154" s="144"/>
      <c r="N154" s="144"/>
      <c r="O154" s="46"/>
      <c r="P154" s="143"/>
      <c r="Q154" s="144"/>
      <c r="R154" s="144"/>
      <c r="S154" s="144"/>
      <c r="T154" s="144"/>
      <c r="U154" s="46"/>
    </row>
    <row r="155" spans="1:21" ht="18" thickBot="1">
      <c r="A155" s="212">
        <v>46265</v>
      </c>
      <c r="B155" s="51" t="s">
        <v>80</v>
      </c>
      <c r="C155" s="56"/>
      <c r="D155" s="182"/>
      <c r="E155" s="183"/>
      <c r="F155" s="183"/>
      <c r="G155" s="183"/>
      <c r="H155" s="183"/>
      <c r="I155" s="184"/>
      <c r="J155" s="182"/>
      <c r="K155" s="183"/>
      <c r="L155" s="183"/>
      <c r="M155" s="183"/>
      <c r="N155" s="183"/>
      <c r="O155" s="51"/>
      <c r="P155" s="182"/>
      <c r="Q155" s="183"/>
      <c r="R155" s="183"/>
      <c r="S155" s="183"/>
      <c r="T155" s="183"/>
      <c r="U155" s="51"/>
    </row>
    <row r="156" spans="1:21" ht="18" thickBot="1">
      <c r="A156" s="187">
        <v>46266</v>
      </c>
      <c r="B156" s="200" t="s">
        <v>81</v>
      </c>
      <c r="C156" s="201" t="s">
        <v>217</v>
      </c>
      <c r="D156" s="202" t="s">
        <v>74</v>
      </c>
      <c r="E156" s="54" t="s">
        <v>75</v>
      </c>
      <c r="F156" s="209"/>
      <c r="G156" s="230"/>
      <c r="H156" s="209"/>
      <c r="I156" s="242"/>
      <c r="J156" s="202" t="s">
        <v>74</v>
      </c>
      <c r="K156" s="54" t="s">
        <v>75</v>
      </c>
      <c r="L156" s="209"/>
      <c r="M156" s="209"/>
      <c r="N156" s="209"/>
      <c r="O156" s="210"/>
      <c r="P156" s="202" t="s">
        <v>74</v>
      </c>
      <c r="Q156" s="54" t="s">
        <v>75</v>
      </c>
      <c r="R156" s="209"/>
      <c r="S156" s="209"/>
      <c r="T156" s="209"/>
      <c r="U156" s="210"/>
    </row>
    <row r="157" spans="1:21" ht="18" thickBot="1">
      <c r="A157" s="187">
        <v>46267</v>
      </c>
      <c r="B157" s="48" t="s">
        <v>82</v>
      </c>
      <c r="C157" s="41" t="s">
        <v>111</v>
      </c>
      <c r="D157" s="158" t="s">
        <v>386</v>
      </c>
      <c r="E157" s="159" t="s">
        <v>98</v>
      </c>
      <c r="F157" s="180" t="s">
        <v>14</v>
      </c>
      <c r="G157" s="231" t="s">
        <v>75</v>
      </c>
      <c r="H157" s="292" t="s">
        <v>75</v>
      </c>
      <c r="I157" s="173"/>
      <c r="J157" s="158" t="s">
        <v>386</v>
      </c>
      <c r="K157" s="159" t="s">
        <v>98</v>
      </c>
      <c r="L157" s="180" t="s">
        <v>14</v>
      </c>
      <c r="M157" s="231" t="s">
        <v>75</v>
      </c>
      <c r="N157" s="292" t="s">
        <v>75</v>
      </c>
      <c r="O157" s="170"/>
      <c r="P157" s="303" t="s">
        <v>399</v>
      </c>
      <c r="Q157" s="304"/>
      <c r="R157" s="180" t="s">
        <v>14</v>
      </c>
      <c r="S157" s="231" t="s">
        <v>75</v>
      </c>
      <c r="T157" s="292" t="s">
        <v>75</v>
      </c>
      <c r="U157" s="170"/>
    </row>
    <row r="158" spans="1:21" ht="18" thickBot="1">
      <c r="A158" s="187">
        <v>46268</v>
      </c>
      <c r="B158" s="48" t="s">
        <v>83</v>
      </c>
      <c r="C158" s="41"/>
      <c r="D158" s="293" t="s">
        <v>395</v>
      </c>
      <c r="E158" s="52" t="s">
        <v>19</v>
      </c>
      <c r="F158" s="52" t="s">
        <v>225</v>
      </c>
      <c r="G158" s="54" t="s">
        <v>102</v>
      </c>
      <c r="H158" s="234" t="s">
        <v>22</v>
      </c>
      <c r="I158" s="278"/>
      <c r="J158" s="293" t="s">
        <v>395</v>
      </c>
      <c r="K158" s="52" t="s">
        <v>19</v>
      </c>
      <c r="L158" s="52" t="s">
        <v>225</v>
      </c>
      <c r="M158" s="52" t="s">
        <v>102</v>
      </c>
      <c r="N158" s="52" t="s">
        <v>22</v>
      </c>
      <c r="O158" s="170"/>
      <c r="P158" s="293" t="s">
        <v>395</v>
      </c>
      <c r="Q158" s="52" t="s">
        <v>19</v>
      </c>
      <c r="R158" s="305" t="s">
        <v>91</v>
      </c>
      <c r="S158" s="304"/>
      <c r="T158" s="304"/>
      <c r="U158" s="170"/>
    </row>
    <row r="159" spans="1:21" ht="18" thickBot="1">
      <c r="A159" s="187">
        <v>46269</v>
      </c>
      <c r="B159" s="48" t="s">
        <v>84</v>
      </c>
      <c r="C159" s="41" t="s">
        <v>205</v>
      </c>
      <c r="D159" s="231" t="s">
        <v>75</v>
      </c>
      <c r="E159" s="232" t="s">
        <v>1</v>
      </c>
      <c r="F159" s="168" t="s">
        <v>2</v>
      </c>
      <c r="G159" s="178" t="s">
        <v>229</v>
      </c>
      <c r="H159" s="231" t="s">
        <v>140</v>
      </c>
      <c r="I159" s="279" t="s">
        <v>97</v>
      </c>
      <c r="J159" s="231" t="s">
        <v>75</v>
      </c>
      <c r="K159" s="232" t="s">
        <v>1</v>
      </c>
      <c r="L159" s="168" t="s">
        <v>2</v>
      </c>
      <c r="M159" s="178" t="s">
        <v>229</v>
      </c>
      <c r="N159" s="231" t="s">
        <v>140</v>
      </c>
      <c r="O159" s="231" t="s">
        <v>97</v>
      </c>
      <c r="P159" s="231" t="s">
        <v>75</v>
      </c>
      <c r="Q159" s="232" t="s">
        <v>1</v>
      </c>
      <c r="R159" s="168" t="s">
        <v>2</v>
      </c>
      <c r="S159" s="178" t="s">
        <v>229</v>
      </c>
      <c r="T159" s="231" t="s">
        <v>140</v>
      </c>
      <c r="U159" s="231" t="s">
        <v>97</v>
      </c>
    </row>
    <row r="160" spans="1:21">
      <c r="A160" s="45">
        <v>46270</v>
      </c>
      <c r="B160" s="46" t="s">
        <v>85</v>
      </c>
      <c r="C160" s="55" t="s">
        <v>111</v>
      </c>
      <c r="D160" s="139"/>
      <c r="E160" s="144"/>
      <c r="F160" s="144"/>
      <c r="G160" s="144"/>
      <c r="H160" s="140"/>
      <c r="I160" s="141"/>
      <c r="J160" s="143"/>
      <c r="K160" s="144"/>
      <c r="L160" s="144"/>
      <c r="M160" s="144"/>
      <c r="N160" s="144"/>
      <c r="O160" s="46"/>
      <c r="P160" s="143"/>
      <c r="Q160" s="144"/>
      <c r="R160" s="144"/>
      <c r="S160" s="144"/>
      <c r="T160" s="144"/>
      <c r="U160" s="46"/>
    </row>
    <row r="161" spans="1:41">
      <c r="A161" s="45">
        <v>46271</v>
      </c>
      <c r="B161" s="46" t="s">
        <v>86</v>
      </c>
      <c r="C161" s="55" t="s">
        <v>111</v>
      </c>
      <c r="D161" s="143"/>
      <c r="E161" s="144"/>
      <c r="F161" s="144"/>
      <c r="G161" s="144"/>
      <c r="H161" s="144"/>
      <c r="I161" s="145"/>
      <c r="J161" s="143"/>
      <c r="K161" s="144"/>
      <c r="L161" s="144"/>
      <c r="M161" s="144"/>
      <c r="N161" s="144"/>
      <c r="O161" s="46"/>
      <c r="P161" s="143"/>
      <c r="Q161" s="144"/>
      <c r="R161" s="144"/>
      <c r="S161" s="144"/>
      <c r="T161" s="144"/>
      <c r="U161" s="46"/>
    </row>
    <row r="162" spans="1:41">
      <c r="A162" s="187">
        <v>46272</v>
      </c>
      <c r="B162" s="48" t="s">
        <v>80</v>
      </c>
      <c r="C162" s="41" t="s">
        <v>111</v>
      </c>
      <c r="D162" s="80" t="s">
        <v>0</v>
      </c>
      <c r="E162" s="52" t="s">
        <v>1</v>
      </c>
      <c r="F162" s="52" t="s">
        <v>2</v>
      </c>
      <c r="G162" s="52" t="s">
        <v>3</v>
      </c>
      <c r="H162" s="293" t="s">
        <v>395</v>
      </c>
      <c r="I162" s="173"/>
      <c r="J162" s="80" t="s">
        <v>0</v>
      </c>
      <c r="K162" s="52" t="s">
        <v>1</v>
      </c>
      <c r="L162" s="52" t="s">
        <v>2</v>
      </c>
      <c r="M162" s="52" t="s">
        <v>3</v>
      </c>
      <c r="N162" s="293" t="s">
        <v>395</v>
      </c>
      <c r="O162" s="170"/>
      <c r="P162" s="80" t="s">
        <v>0</v>
      </c>
      <c r="Q162" s="52" t="s">
        <v>1</v>
      </c>
      <c r="R162" s="52" t="s">
        <v>2</v>
      </c>
      <c r="S162" s="52" t="s">
        <v>3</v>
      </c>
      <c r="T162" s="293" t="s">
        <v>395</v>
      </c>
      <c r="U162" s="170"/>
    </row>
    <row r="163" spans="1:41">
      <c r="A163" s="187">
        <v>46273</v>
      </c>
      <c r="B163" s="48" t="s">
        <v>81</v>
      </c>
      <c r="C163" s="41" t="s">
        <v>111</v>
      </c>
      <c r="D163" s="320" t="s">
        <v>396</v>
      </c>
      <c r="E163" s="323"/>
      <c r="F163" s="324"/>
      <c r="G163" s="52" t="s">
        <v>90</v>
      </c>
      <c r="H163" s="52" t="s">
        <v>229</v>
      </c>
      <c r="I163" s="163" t="s">
        <v>41</v>
      </c>
      <c r="J163" s="320" t="s">
        <v>396</v>
      </c>
      <c r="K163" s="323"/>
      <c r="L163" s="324"/>
      <c r="M163" s="52" t="s">
        <v>90</v>
      </c>
      <c r="N163" s="52" t="s">
        <v>229</v>
      </c>
      <c r="O163" s="48" t="s">
        <v>41</v>
      </c>
      <c r="P163" s="320" t="s">
        <v>396</v>
      </c>
      <c r="Q163" s="323"/>
      <c r="R163" s="324"/>
      <c r="S163" s="52" t="s">
        <v>90</v>
      </c>
      <c r="T163" s="52" t="s">
        <v>229</v>
      </c>
      <c r="U163" s="48" t="s">
        <v>41</v>
      </c>
    </row>
    <row r="164" spans="1:41">
      <c r="A164" s="187">
        <v>46274</v>
      </c>
      <c r="B164" s="48" t="s">
        <v>82</v>
      </c>
      <c r="C164" s="41" t="s">
        <v>194</v>
      </c>
      <c r="D164" s="80" t="s">
        <v>42</v>
      </c>
      <c r="E164" s="52" t="s">
        <v>43</v>
      </c>
      <c r="F164" s="52" t="s">
        <v>44</v>
      </c>
      <c r="G164" s="52" t="s">
        <v>45</v>
      </c>
      <c r="H164" s="52" t="s">
        <v>46</v>
      </c>
      <c r="I164" s="163" t="s">
        <v>47</v>
      </c>
      <c r="J164" s="80" t="s">
        <v>42</v>
      </c>
      <c r="K164" s="52" t="s">
        <v>43</v>
      </c>
      <c r="L164" s="52" t="s">
        <v>44</v>
      </c>
      <c r="M164" s="52" t="s">
        <v>45</v>
      </c>
      <c r="N164" s="52" t="s">
        <v>46</v>
      </c>
      <c r="O164" s="48" t="s">
        <v>47</v>
      </c>
      <c r="P164" s="80" t="s">
        <v>42</v>
      </c>
      <c r="Q164" s="52" t="s">
        <v>43</v>
      </c>
      <c r="R164" s="52" t="s">
        <v>44</v>
      </c>
      <c r="S164" s="52" t="s">
        <v>45</v>
      </c>
      <c r="T164" s="52" t="s">
        <v>46</v>
      </c>
      <c r="U164" s="48" t="s">
        <v>47</v>
      </c>
    </row>
    <row r="165" spans="1:41">
      <c r="A165" s="187">
        <v>46275</v>
      </c>
      <c r="B165" s="48" t="s">
        <v>83</v>
      </c>
      <c r="C165" s="41" t="s">
        <v>111</v>
      </c>
      <c r="D165" s="80" t="s">
        <v>48</v>
      </c>
      <c r="E165" s="52" t="s">
        <v>49</v>
      </c>
      <c r="F165" s="52" t="s">
        <v>50</v>
      </c>
      <c r="G165" s="52" t="s">
        <v>51</v>
      </c>
      <c r="H165" s="52" t="s">
        <v>52</v>
      </c>
      <c r="I165" s="173"/>
      <c r="J165" s="80" t="s">
        <v>48</v>
      </c>
      <c r="K165" s="52" t="s">
        <v>49</v>
      </c>
      <c r="L165" s="52" t="s">
        <v>50</v>
      </c>
      <c r="M165" s="52" t="s">
        <v>51</v>
      </c>
      <c r="N165" s="52" t="s">
        <v>52</v>
      </c>
      <c r="O165" s="170"/>
      <c r="P165" s="303" t="s">
        <v>48</v>
      </c>
      <c r="Q165" s="304" t="s">
        <v>49</v>
      </c>
      <c r="R165" s="304" t="s">
        <v>50</v>
      </c>
      <c r="S165" s="304" t="s">
        <v>51</v>
      </c>
      <c r="T165" s="304" t="s">
        <v>52</v>
      </c>
      <c r="U165" s="170"/>
    </row>
    <row r="166" spans="1:41">
      <c r="A166" s="187">
        <v>46276</v>
      </c>
      <c r="B166" s="48" t="s">
        <v>84</v>
      </c>
      <c r="C166" s="41" t="s">
        <v>111</v>
      </c>
      <c r="D166" s="80" t="s">
        <v>54</v>
      </c>
      <c r="E166" s="52" t="s">
        <v>55</v>
      </c>
      <c r="F166" s="52" t="s">
        <v>56</v>
      </c>
      <c r="G166" s="52" t="s">
        <v>57</v>
      </c>
      <c r="H166" s="52" t="s">
        <v>58</v>
      </c>
      <c r="I166" s="163" t="s">
        <v>59</v>
      </c>
      <c r="J166" s="80" t="s">
        <v>54</v>
      </c>
      <c r="K166" s="52" t="s">
        <v>55</v>
      </c>
      <c r="L166" s="52" t="s">
        <v>56</v>
      </c>
      <c r="M166" s="52" t="s">
        <v>57</v>
      </c>
      <c r="N166" s="52" t="s">
        <v>58</v>
      </c>
      <c r="O166" s="48" t="s">
        <v>59</v>
      </c>
      <c r="P166" s="80" t="s">
        <v>54</v>
      </c>
      <c r="Q166" s="52" t="s">
        <v>55</v>
      </c>
      <c r="R166" s="52" t="s">
        <v>56</v>
      </c>
      <c r="S166" s="52" t="s">
        <v>57</v>
      </c>
      <c r="T166" s="52" t="s">
        <v>58</v>
      </c>
      <c r="U166" s="48" t="s">
        <v>59</v>
      </c>
      <c r="X166" s="44" t="s">
        <v>0</v>
      </c>
      <c r="Y166" s="44" t="s">
        <v>1</v>
      </c>
      <c r="Z166" s="44" t="s">
        <v>2</v>
      </c>
      <c r="AA166" s="44" t="s">
        <v>3</v>
      </c>
      <c r="AB166" s="44" t="s">
        <v>4</v>
      </c>
      <c r="AC166" s="44" t="s">
        <v>5</v>
      </c>
      <c r="AD166" s="44" t="s">
        <v>0</v>
      </c>
      <c r="AE166" s="44" t="s">
        <v>1</v>
      </c>
      <c r="AF166" s="44" t="s">
        <v>2</v>
      </c>
      <c r="AG166" s="44" t="s">
        <v>3</v>
      </c>
      <c r="AH166" s="44" t="s">
        <v>4</v>
      </c>
      <c r="AI166" s="44" t="s">
        <v>5</v>
      </c>
      <c r="AJ166" s="44" t="s">
        <v>0</v>
      </c>
      <c r="AK166" s="44" t="s">
        <v>1</v>
      </c>
      <c r="AL166" s="44" t="s">
        <v>2</v>
      </c>
      <c r="AM166" s="44" t="s">
        <v>3</v>
      </c>
      <c r="AN166" s="44" t="s">
        <v>4</v>
      </c>
      <c r="AO166" s="44" t="s">
        <v>5</v>
      </c>
    </row>
    <row r="167" spans="1:41">
      <c r="A167" s="45">
        <v>46277</v>
      </c>
      <c r="B167" s="46" t="s">
        <v>85</v>
      </c>
      <c r="C167" s="55" t="s">
        <v>111</v>
      </c>
      <c r="D167" s="143"/>
      <c r="E167" s="144"/>
      <c r="F167" s="144"/>
      <c r="G167" s="144"/>
      <c r="H167" s="144"/>
      <c r="I167" s="145"/>
      <c r="J167" s="143"/>
      <c r="K167" s="144"/>
      <c r="L167" s="144"/>
      <c r="M167" s="144"/>
      <c r="N167" s="144"/>
      <c r="O167" s="46"/>
      <c r="P167" s="143"/>
      <c r="Q167" s="144"/>
      <c r="R167" s="144"/>
      <c r="S167" s="144"/>
      <c r="T167" s="144"/>
      <c r="U167" s="46"/>
      <c r="X167" s="44" t="s">
        <v>36</v>
      </c>
      <c r="Y167" s="44" t="s">
        <v>37</v>
      </c>
      <c r="Z167" s="44" t="s">
        <v>38</v>
      </c>
      <c r="AA167" s="44" t="s">
        <v>39</v>
      </c>
      <c r="AB167" s="44" t="s">
        <v>40</v>
      </c>
      <c r="AC167" s="44" t="s">
        <v>41</v>
      </c>
      <c r="AD167" s="44" t="s">
        <v>36</v>
      </c>
      <c r="AE167" s="44" t="s">
        <v>37</v>
      </c>
      <c r="AF167" s="44" t="s">
        <v>38</v>
      </c>
      <c r="AG167" s="44" t="s">
        <v>39</v>
      </c>
      <c r="AH167" s="44" t="s">
        <v>40</v>
      </c>
      <c r="AI167" s="44" t="s">
        <v>41</v>
      </c>
      <c r="AJ167" s="44" t="s">
        <v>36</v>
      </c>
      <c r="AK167" s="44" t="s">
        <v>37</v>
      </c>
      <c r="AL167" s="44" t="s">
        <v>38</v>
      </c>
      <c r="AM167" s="44" t="s">
        <v>39</v>
      </c>
      <c r="AN167" s="44" t="s">
        <v>40</v>
      </c>
      <c r="AO167" s="44" t="s">
        <v>41</v>
      </c>
    </row>
    <row r="168" spans="1:41">
      <c r="A168" s="45">
        <v>46278</v>
      </c>
      <c r="B168" s="46" t="s">
        <v>86</v>
      </c>
      <c r="C168" s="55" t="s">
        <v>111</v>
      </c>
      <c r="D168" s="143"/>
      <c r="E168" s="144"/>
      <c r="F168" s="144"/>
      <c r="G168" s="144"/>
      <c r="H168" s="144"/>
      <c r="I168" s="145"/>
      <c r="J168" s="143"/>
      <c r="K168" s="144"/>
      <c r="L168" s="144"/>
      <c r="M168" s="144"/>
      <c r="N168" s="144"/>
      <c r="O168" s="46"/>
      <c r="P168" s="143"/>
      <c r="Q168" s="144"/>
      <c r="R168" s="144"/>
      <c r="S168" s="144"/>
      <c r="T168" s="144"/>
      <c r="U168" s="46"/>
      <c r="X168" s="44" t="s">
        <v>42</v>
      </c>
      <c r="Y168" s="44" t="s">
        <v>43</v>
      </c>
      <c r="Z168" s="44" t="s">
        <v>44</v>
      </c>
      <c r="AA168" s="44" t="s">
        <v>45</v>
      </c>
      <c r="AB168" s="44" t="s">
        <v>46</v>
      </c>
      <c r="AC168" s="44" t="s">
        <v>47</v>
      </c>
      <c r="AD168" s="44" t="s">
        <v>42</v>
      </c>
      <c r="AE168" s="44" t="s">
        <v>43</v>
      </c>
      <c r="AF168" s="44" t="s">
        <v>44</v>
      </c>
      <c r="AG168" s="44" t="s">
        <v>45</v>
      </c>
      <c r="AH168" s="44" t="s">
        <v>46</v>
      </c>
      <c r="AI168" s="44" t="s">
        <v>47</v>
      </c>
      <c r="AJ168" s="44" t="s">
        <v>42</v>
      </c>
      <c r="AK168" s="44" t="s">
        <v>43</v>
      </c>
      <c r="AL168" s="44" t="s">
        <v>44</v>
      </c>
      <c r="AM168" s="44" t="s">
        <v>45</v>
      </c>
      <c r="AN168" s="44" t="s">
        <v>46</v>
      </c>
      <c r="AO168" s="44" t="s">
        <v>47</v>
      </c>
    </row>
    <row r="169" spans="1:41" s="47" customFormat="1">
      <c r="A169" s="187">
        <v>46279</v>
      </c>
      <c r="B169" s="77" t="s">
        <v>80</v>
      </c>
      <c r="C169" s="78" t="s">
        <v>111</v>
      </c>
      <c r="D169" s="80" t="s">
        <v>0</v>
      </c>
      <c r="E169" s="52" t="s">
        <v>1</v>
      </c>
      <c r="F169" s="52" t="s">
        <v>2</v>
      </c>
      <c r="G169" s="52" t="s">
        <v>3</v>
      </c>
      <c r="H169" s="52" t="s">
        <v>4</v>
      </c>
      <c r="I169" s="173"/>
      <c r="J169" s="80" t="s">
        <v>0</v>
      </c>
      <c r="K169" s="52" t="s">
        <v>1</v>
      </c>
      <c r="L169" s="52" t="s">
        <v>2</v>
      </c>
      <c r="M169" s="52" t="s">
        <v>3</v>
      </c>
      <c r="N169" s="52" t="s">
        <v>4</v>
      </c>
      <c r="O169" s="170"/>
      <c r="P169" s="80" t="s">
        <v>0</v>
      </c>
      <c r="Q169" s="52" t="s">
        <v>1</v>
      </c>
      <c r="R169" s="52" t="s">
        <v>2</v>
      </c>
      <c r="S169" s="52" t="s">
        <v>3</v>
      </c>
      <c r="T169" s="52" t="s">
        <v>4</v>
      </c>
      <c r="U169" s="170"/>
      <c r="X169" s="44" t="s">
        <v>48</v>
      </c>
      <c r="Y169" s="44" t="s">
        <v>49</v>
      </c>
      <c r="Z169" s="44" t="s">
        <v>50</v>
      </c>
      <c r="AA169" s="44" t="s">
        <v>51</v>
      </c>
      <c r="AB169" s="44" t="s">
        <v>52</v>
      </c>
      <c r="AC169" s="44"/>
      <c r="AD169" s="44" t="s">
        <v>48</v>
      </c>
      <c r="AE169" s="44" t="s">
        <v>49</v>
      </c>
      <c r="AF169" s="44" t="s">
        <v>50</v>
      </c>
      <c r="AG169" s="44" t="s">
        <v>51</v>
      </c>
      <c r="AH169" s="44" t="s">
        <v>52</v>
      </c>
      <c r="AI169" s="44"/>
      <c r="AJ169" s="44" t="s">
        <v>48</v>
      </c>
      <c r="AK169" s="44" t="s">
        <v>49</v>
      </c>
      <c r="AL169" s="44" t="s">
        <v>50</v>
      </c>
      <c r="AM169" s="44" t="s">
        <v>51</v>
      </c>
      <c r="AN169" s="44" t="s">
        <v>52</v>
      </c>
      <c r="AO169" s="44"/>
    </row>
    <row r="170" spans="1:41" s="47" customFormat="1">
      <c r="A170" s="187">
        <v>46280</v>
      </c>
      <c r="B170" s="48" t="s">
        <v>81</v>
      </c>
      <c r="C170" s="41" t="s">
        <v>111</v>
      </c>
      <c r="D170" s="80" t="s">
        <v>36</v>
      </c>
      <c r="E170" s="52" t="s">
        <v>92</v>
      </c>
      <c r="F170" s="52" t="s">
        <v>89</v>
      </c>
      <c r="G170" s="52" t="s">
        <v>90</v>
      </c>
      <c r="H170" s="52" t="s">
        <v>229</v>
      </c>
      <c r="I170" s="163" t="s">
        <v>41</v>
      </c>
      <c r="J170" s="80" t="s">
        <v>36</v>
      </c>
      <c r="K170" s="52" t="s">
        <v>92</v>
      </c>
      <c r="L170" s="52" t="s">
        <v>89</v>
      </c>
      <c r="M170" s="52" t="s">
        <v>90</v>
      </c>
      <c r="N170" s="52" t="s">
        <v>229</v>
      </c>
      <c r="O170" s="48" t="s">
        <v>41</v>
      </c>
      <c r="P170" s="80" t="s">
        <v>36</v>
      </c>
      <c r="Q170" s="52" t="s">
        <v>92</v>
      </c>
      <c r="R170" s="52" t="s">
        <v>89</v>
      </c>
      <c r="S170" s="52" t="s">
        <v>90</v>
      </c>
      <c r="T170" s="52" t="s">
        <v>229</v>
      </c>
      <c r="U170" s="48" t="s">
        <v>41</v>
      </c>
      <c r="X170" s="44" t="s">
        <v>54</v>
      </c>
      <c r="Y170" s="44" t="s">
        <v>55</v>
      </c>
      <c r="Z170" s="44" t="s">
        <v>56</v>
      </c>
      <c r="AA170" s="44" t="s">
        <v>57</v>
      </c>
      <c r="AB170" s="44" t="s">
        <v>58</v>
      </c>
      <c r="AC170" s="44" t="s">
        <v>59</v>
      </c>
      <c r="AD170" s="44" t="s">
        <v>54</v>
      </c>
      <c r="AE170" s="44" t="s">
        <v>55</v>
      </c>
      <c r="AF170" s="44" t="s">
        <v>56</v>
      </c>
      <c r="AG170" s="44" t="s">
        <v>57</v>
      </c>
      <c r="AH170" s="44" t="s">
        <v>58</v>
      </c>
      <c r="AI170" s="44" t="s">
        <v>59</v>
      </c>
      <c r="AJ170" s="44" t="s">
        <v>54</v>
      </c>
      <c r="AK170" s="44" t="s">
        <v>55</v>
      </c>
      <c r="AL170" s="44" t="s">
        <v>56</v>
      </c>
      <c r="AM170" s="44" t="s">
        <v>57</v>
      </c>
      <c r="AN170" s="44" t="s">
        <v>58</v>
      </c>
      <c r="AO170" s="44" t="s">
        <v>59</v>
      </c>
    </row>
    <row r="171" spans="1:41" s="47" customFormat="1">
      <c r="A171" s="187">
        <v>46281</v>
      </c>
      <c r="B171" s="48" t="s">
        <v>82</v>
      </c>
      <c r="C171" s="41" t="s">
        <v>206</v>
      </c>
      <c r="D171" s="80" t="s">
        <v>42</v>
      </c>
      <c r="E171" s="52" t="s">
        <v>43</v>
      </c>
      <c r="F171" s="52" t="s">
        <v>44</v>
      </c>
      <c r="G171" s="52" t="s">
        <v>45</v>
      </c>
      <c r="H171" s="52" t="s">
        <v>46</v>
      </c>
      <c r="I171" s="163" t="s">
        <v>47</v>
      </c>
      <c r="J171" s="80" t="s">
        <v>42</v>
      </c>
      <c r="K171" s="52" t="s">
        <v>43</v>
      </c>
      <c r="L171" s="52" t="s">
        <v>44</v>
      </c>
      <c r="M171" s="52" t="s">
        <v>45</v>
      </c>
      <c r="N171" s="52" t="s">
        <v>46</v>
      </c>
      <c r="O171" s="48" t="s">
        <v>47</v>
      </c>
      <c r="P171" s="80" t="s">
        <v>42</v>
      </c>
      <c r="Q171" s="52" t="s">
        <v>43</v>
      </c>
      <c r="R171" s="52" t="s">
        <v>44</v>
      </c>
      <c r="S171" s="52" t="s">
        <v>45</v>
      </c>
      <c r="T171" s="52" t="s">
        <v>46</v>
      </c>
      <c r="U171" s="48" t="s">
        <v>47</v>
      </c>
    </row>
    <row r="172" spans="1:41">
      <c r="A172" s="187">
        <v>46282</v>
      </c>
      <c r="B172" s="48" t="s">
        <v>83</v>
      </c>
      <c r="C172" s="41" t="s">
        <v>207</v>
      </c>
      <c r="D172" s="80" t="s">
        <v>48</v>
      </c>
      <c r="E172" s="52" t="s">
        <v>49</v>
      </c>
      <c r="F172" s="52" t="s">
        <v>50</v>
      </c>
      <c r="G172" s="178" t="s">
        <v>93</v>
      </c>
      <c r="H172" s="169"/>
      <c r="I172" s="173"/>
      <c r="J172" s="80" t="s">
        <v>48</v>
      </c>
      <c r="K172" s="52" t="s">
        <v>49</v>
      </c>
      <c r="L172" s="52" t="s">
        <v>50</v>
      </c>
      <c r="M172" s="178" t="s">
        <v>93</v>
      </c>
      <c r="N172" s="169"/>
      <c r="O172" s="170"/>
      <c r="P172" s="80" t="s">
        <v>48</v>
      </c>
      <c r="Q172" s="52" t="s">
        <v>49</v>
      </c>
      <c r="R172" s="52" t="s">
        <v>50</v>
      </c>
      <c r="S172" s="178" t="s">
        <v>93</v>
      </c>
      <c r="T172" s="169"/>
      <c r="U172" s="170"/>
    </row>
    <row r="173" spans="1:41">
      <c r="A173" s="187">
        <v>46283</v>
      </c>
      <c r="B173" s="48" t="s">
        <v>84</v>
      </c>
      <c r="C173" s="41" t="s">
        <v>111</v>
      </c>
      <c r="D173" s="80" t="s">
        <v>54</v>
      </c>
      <c r="E173" s="52" t="s">
        <v>55</v>
      </c>
      <c r="F173" s="52" t="s">
        <v>56</v>
      </c>
      <c r="G173" s="52" t="s">
        <v>57</v>
      </c>
      <c r="H173" s="52" t="s">
        <v>58</v>
      </c>
      <c r="I173" s="163" t="s">
        <v>59</v>
      </c>
      <c r="J173" s="80" t="s">
        <v>54</v>
      </c>
      <c r="K173" s="52" t="s">
        <v>55</v>
      </c>
      <c r="L173" s="52" t="s">
        <v>56</v>
      </c>
      <c r="M173" s="52" t="s">
        <v>57</v>
      </c>
      <c r="N173" s="52" t="s">
        <v>58</v>
      </c>
      <c r="O173" s="48" t="s">
        <v>59</v>
      </c>
      <c r="P173" s="80" t="s">
        <v>54</v>
      </c>
      <c r="Q173" s="52" t="s">
        <v>55</v>
      </c>
      <c r="R173" s="52" t="s">
        <v>56</v>
      </c>
      <c r="S173" s="52" t="s">
        <v>57</v>
      </c>
      <c r="T173" s="52" t="s">
        <v>58</v>
      </c>
      <c r="U173" s="48" t="s">
        <v>59</v>
      </c>
    </row>
    <row r="174" spans="1:41">
      <c r="A174" s="45">
        <v>46284</v>
      </c>
      <c r="B174" s="46" t="s">
        <v>85</v>
      </c>
      <c r="C174" s="55" t="s">
        <v>111</v>
      </c>
      <c r="D174" s="143"/>
      <c r="E174" s="144"/>
      <c r="F174" s="144"/>
      <c r="G174" s="144"/>
      <c r="H174" s="144"/>
      <c r="I174" s="145"/>
      <c r="J174" s="143"/>
      <c r="K174" s="144"/>
      <c r="L174" s="144"/>
      <c r="M174" s="144"/>
      <c r="N174" s="144"/>
      <c r="O174" s="46"/>
      <c r="P174" s="143"/>
      <c r="Q174" s="144"/>
      <c r="R174" s="144"/>
      <c r="S174" s="144"/>
      <c r="T174" s="144"/>
      <c r="U174" s="46"/>
    </row>
    <row r="175" spans="1:41">
      <c r="A175" s="45">
        <v>46285</v>
      </c>
      <c r="B175" s="46" t="s">
        <v>86</v>
      </c>
      <c r="C175" s="55" t="s">
        <v>111</v>
      </c>
      <c r="D175" s="143"/>
      <c r="E175" s="144"/>
      <c r="F175" s="144"/>
      <c r="G175" s="144"/>
      <c r="H175" s="144"/>
      <c r="I175" s="145"/>
      <c r="J175" s="143"/>
      <c r="K175" s="144"/>
      <c r="L175" s="144"/>
      <c r="M175" s="144"/>
      <c r="N175" s="144"/>
      <c r="O175" s="46"/>
      <c r="P175" s="143"/>
      <c r="Q175" s="144"/>
      <c r="R175" s="144"/>
      <c r="S175" s="144"/>
      <c r="T175" s="144"/>
      <c r="U175" s="46"/>
    </row>
    <row r="176" spans="1:41" s="47" customFormat="1">
      <c r="A176" s="45">
        <v>46286</v>
      </c>
      <c r="B176" s="46" t="s">
        <v>80</v>
      </c>
      <c r="C176" s="55" t="s">
        <v>208</v>
      </c>
      <c r="D176" s="143"/>
      <c r="E176" s="144"/>
      <c r="F176" s="144"/>
      <c r="G176" s="144"/>
      <c r="H176" s="144"/>
      <c r="I176" s="145"/>
      <c r="J176" s="143"/>
      <c r="K176" s="144"/>
      <c r="L176" s="144"/>
      <c r="M176" s="144"/>
      <c r="N176" s="144"/>
      <c r="O176" s="46"/>
      <c r="P176" s="143"/>
      <c r="Q176" s="144"/>
      <c r="R176" s="144"/>
      <c r="S176" s="144"/>
      <c r="T176" s="144"/>
      <c r="U176" s="46"/>
    </row>
    <row r="177" spans="1:21" s="47" customFormat="1">
      <c r="A177" s="45">
        <v>46287</v>
      </c>
      <c r="B177" s="46" t="s">
        <v>81</v>
      </c>
      <c r="C177" s="55" t="s">
        <v>209</v>
      </c>
      <c r="D177" s="143"/>
      <c r="E177" s="144"/>
      <c r="F177" s="144"/>
      <c r="G177" s="144"/>
      <c r="H177" s="144"/>
      <c r="I177" s="145"/>
      <c r="J177" s="143"/>
      <c r="K177" s="144"/>
      <c r="L177" s="144"/>
      <c r="M177" s="144"/>
      <c r="N177" s="144"/>
      <c r="O177" s="46"/>
      <c r="P177" s="143"/>
      <c r="Q177" s="144"/>
      <c r="R177" s="144"/>
      <c r="S177" s="144"/>
      <c r="T177" s="144"/>
      <c r="U177" s="46"/>
    </row>
    <row r="178" spans="1:21" s="47" customFormat="1">
      <c r="A178" s="45">
        <v>46288</v>
      </c>
      <c r="B178" s="46" t="s">
        <v>82</v>
      </c>
      <c r="C178" s="55" t="s">
        <v>210</v>
      </c>
      <c r="D178" s="143"/>
      <c r="E178" s="144"/>
      <c r="F178" s="144"/>
      <c r="G178" s="144"/>
      <c r="H178" s="144"/>
      <c r="I178" s="145"/>
      <c r="J178" s="143"/>
      <c r="K178" s="144"/>
      <c r="L178" s="144"/>
      <c r="M178" s="144"/>
      <c r="N178" s="144"/>
      <c r="O178" s="46"/>
      <c r="P178" s="143"/>
      <c r="Q178" s="144"/>
      <c r="R178" s="144"/>
      <c r="S178" s="144"/>
      <c r="T178" s="144"/>
      <c r="U178" s="46"/>
    </row>
    <row r="179" spans="1:21">
      <c r="A179" s="187">
        <v>46289</v>
      </c>
      <c r="B179" s="48" t="s">
        <v>83</v>
      </c>
      <c r="C179" s="41" t="s">
        <v>211</v>
      </c>
      <c r="D179" s="218" t="s">
        <v>6</v>
      </c>
      <c r="E179" s="219" t="s">
        <v>92</v>
      </c>
      <c r="F179" s="219" t="s">
        <v>89</v>
      </c>
      <c r="G179" s="219" t="s">
        <v>4</v>
      </c>
      <c r="H179" s="219" t="s">
        <v>5</v>
      </c>
      <c r="I179" s="173"/>
      <c r="J179" s="218" t="s">
        <v>6</v>
      </c>
      <c r="K179" s="219" t="s">
        <v>92</v>
      </c>
      <c r="L179" s="219" t="s">
        <v>89</v>
      </c>
      <c r="M179" s="219" t="s">
        <v>4</v>
      </c>
      <c r="N179" s="219" t="s">
        <v>5</v>
      </c>
      <c r="O179" s="170"/>
      <c r="P179" s="218" t="s">
        <v>6</v>
      </c>
      <c r="Q179" s="219" t="s">
        <v>92</v>
      </c>
      <c r="R179" s="219" t="s">
        <v>89</v>
      </c>
      <c r="S179" s="219" t="s">
        <v>4</v>
      </c>
      <c r="T179" s="219" t="s">
        <v>5</v>
      </c>
      <c r="U179" s="170"/>
    </row>
    <row r="180" spans="1:21">
      <c r="A180" s="187">
        <v>46290</v>
      </c>
      <c r="B180" s="48" t="s">
        <v>84</v>
      </c>
      <c r="C180" s="41" t="s">
        <v>212</v>
      </c>
      <c r="D180" s="80" t="s">
        <v>24</v>
      </c>
      <c r="E180" s="52" t="s">
        <v>95</v>
      </c>
      <c r="F180" s="52" t="s">
        <v>390</v>
      </c>
      <c r="G180" s="52" t="s">
        <v>27</v>
      </c>
      <c r="H180" s="168" t="s">
        <v>229</v>
      </c>
      <c r="I180" s="178" t="s">
        <v>93</v>
      </c>
      <c r="J180" s="80" t="s">
        <v>24</v>
      </c>
      <c r="K180" s="52" t="s">
        <v>95</v>
      </c>
      <c r="L180" s="52" t="s">
        <v>390</v>
      </c>
      <c r="M180" s="52" t="s">
        <v>27</v>
      </c>
      <c r="N180" s="168" t="s">
        <v>102</v>
      </c>
      <c r="O180" s="199" t="s">
        <v>93</v>
      </c>
      <c r="P180" s="80" t="s">
        <v>24</v>
      </c>
      <c r="Q180" s="52" t="s">
        <v>95</v>
      </c>
      <c r="R180" s="52" t="s">
        <v>390</v>
      </c>
      <c r="S180" s="52" t="s">
        <v>27</v>
      </c>
      <c r="T180" s="168" t="s">
        <v>102</v>
      </c>
      <c r="U180" s="199" t="s">
        <v>93</v>
      </c>
    </row>
    <row r="181" spans="1:21">
      <c r="A181" s="45">
        <v>46291</v>
      </c>
      <c r="B181" s="46" t="s">
        <v>85</v>
      </c>
      <c r="C181" s="55" t="s">
        <v>211</v>
      </c>
      <c r="D181" s="143"/>
      <c r="E181" s="144"/>
      <c r="F181" s="144"/>
      <c r="G181" s="144"/>
      <c r="H181" s="144"/>
      <c r="I181" s="145"/>
      <c r="J181" s="143"/>
      <c r="K181" s="144"/>
      <c r="L181" s="144"/>
      <c r="M181" s="144"/>
      <c r="N181" s="144"/>
      <c r="O181" s="46"/>
      <c r="P181" s="143"/>
      <c r="Q181" s="144"/>
      <c r="R181" s="144"/>
      <c r="S181" s="144"/>
      <c r="T181" s="144"/>
      <c r="U181" s="46"/>
    </row>
    <row r="182" spans="1:21">
      <c r="A182" s="45">
        <v>46292</v>
      </c>
      <c r="B182" s="46" t="s">
        <v>86</v>
      </c>
      <c r="C182" s="55" t="s">
        <v>213</v>
      </c>
      <c r="D182" s="143"/>
      <c r="E182" s="144"/>
      <c r="F182" s="144"/>
      <c r="G182" s="144"/>
      <c r="H182" s="144"/>
      <c r="I182" s="145"/>
      <c r="J182" s="143"/>
      <c r="K182" s="144"/>
      <c r="L182" s="144"/>
      <c r="M182" s="144"/>
      <c r="N182" s="144"/>
      <c r="O182" s="46"/>
      <c r="P182" s="143"/>
      <c r="Q182" s="144"/>
      <c r="R182" s="144"/>
      <c r="S182" s="144"/>
      <c r="T182" s="144"/>
      <c r="U182" s="46"/>
    </row>
    <row r="183" spans="1:21" s="221" customFormat="1">
      <c r="A183" s="215">
        <v>46293</v>
      </c>
      <c r="B183" s="216" t="s">
        <v>80</v>
      </c>
      <c r="C183" s="217" t="s">
        <v>214</v>
      </c>
      <c r="D183" s="218"/>
      <c r="E183" s="219"/>
      <c r="F183" s="219"/>
      <c r="G183" s="219"/>
      <c r="H183" s="219"/>
      <c r="I183" s="220"/>
      <c r="J183" s="218"/>
      <c r="K183" s="219"/>
      <c r="L183" s="219"/>
      <c r="M183" s="219"/>
      <c r="N183" s="219"/>
      <c r="O183" s="216"/>
      <c r="P183" s="218"/>
      <c r="Q183" s="219"/>
      <c r="R183" s="219"/>
      <c r="S183" s="219"/>
      <c r="T183" s="219"/>
      <c r="U183" s="216"/>
    </row>
    <row r="184" spans="1:21" s="47" customFormat="1">
      <c r="A184" s="187">
        <v>46294</v>
      </c>
      <c r="B184" s="48" t="s">
        <v>81</v>
      </c>
      <c r="C184" s="41" t="s">
        <v>215</v>
      </c>
      <c r="D184" s="80"/>
      <c r="E184" s="52"/>
      <c r="F184" s="52"/>
      <c r="G184" s="169"/>
      <c r="H184" s="169"/>
      <c r="I184" s="173"/>
      <c r="J184" s="80"/>
      <c r="K184" s="52"/>
      <c r="L184" s="52"/>
      <c r="M184" s="169"/>
      <c r="N184" s="169"/>
      <c r="O184" s="170"/>
      <c r="P184" s="80"/>
      <c r="Q184" s="52"/>
      <c r="R184" s="52"/>
      <c r="S184" s="169"/>
      <c r="T184" s="169"/>
      <c r="U184" s="170"/>
    </row>
    <row r="185" spans="1:21" s="188" customFormat="1">
      <c r="A185" s="187">
        <v>46295</v>
      </c>
      <c r="B185" s="77" t="s">
        <v>82</v>
      </c>
      <c r="C185" s="78" t="s">
        <v>216</v>
      </c>
      <c r="D185" s="158" t="s">
        <v>42</v>
      </c>
      <c r="E185" s="159" t="s">
        <v>43</v>
      </c>
      <c r="F185" s="159" t="s">
        <v>44</v>
      </c>
      <c r="G185" s="159" t="s">
        <v>45</v>
      </c>
      <c r="H185" s="159" t="s">
        <v>46</v>
      </c>
      <c r="I185" s="173"/>
      <c r="J185" s="158" t="s">
        <v>42</v>
      </c>
      <c r="K185" s="159" t="s">
        <v>43</v>
      </c>
      <c r="L185" s="159" t="s">
        <v>44</v>
      </c>
      <c r="M185" s="159" t="s">
        <v>45</v>
      </c>
      <c r="N185" s="159" t="s">
        <v>46</v>
      </c>
      <c r="O185" s="170"/>
      <c r="P185" s="158" t="s">
        <v>42</v>
      </c>
      <c r="Q185" s="159" t="s">
        <v>43</v>
      </c>
      <c r="R185" s="159" t="s">
        <v>44</v>
      </c>
      <c r="S185" s="159" t="s">
        <v>45</v>
      </c>
      <c r="T185" s="159" t="s">
        <v>46</v>
      </c>
      <c r="U185" s="170"/>
    </row>
    <row r="186" spans="1:21">
      <c r="A186" s="187">
        <v>46296</v>
      </c>
      <c r="B186" s="48" t="s">
        <v>83</v>
      </c>
      <c r="C186" s="41" t="s">
        <v>240</v>
      </c>
      <c r="D186" s="79" t="s">
        <v>230</v>
      </c>
      <c r="H186" s="291" t="s">
        <v>75</v>
      </c>
      <c r="I186" s="280"/>
      <c r="J186" s="79" t="s">
        <v>230</v>
      </c>
      <c r="N186" s="291" t="s">
        <v>75</v>
      </c>
      <c r="O186" s="213"/>
      <c r="P186" s="79" t="s">
        <v>230</v>
      </c>
      <c r="T186" s="291" t="s">
        <v>75</v>
      </c>
      <c r="U186" s="214"/>
    </row>
    <row r="187" spans="1:21">
      <c r="A187" s="187">
        <v>46297</v>
      </c>
      <c r="B187" s="48" t="s">
        <v>84</v>
      </c>
      <c r="C187" s="41" t="s">
        <v>241</v>
      </c>
      <c r="D187" s="80" t="s">
        <v>54</v>
      </c>
      <c r="E187" s="52" t="s">
        <v>55</v>
      </c>
      <c r="F187" s="159" t="s">
        <v>56</v>
      </c>
      <c r="G187" s="159" t="s">
        <v>57</v>
      </c>
      <c r="H187" s="159" t="s">
        <v>58</v>
      </c>
      <c r="I187" s="180" t="s">
        <v>391</v>
      </c>
      <c r="J187" s="158" t="s">
        <v>54</v>
      </c>
      <c r="K187" s="159" t="s">
        <v>55</v>
      </c>
      <c r="L187" s="159" t="s">
        <v>56</v>
      </c>
      <c r="M187" s="159" t="s">
        <v>57</v>
      </c>
      <c r="N187" s="159" t="s">
        <v>58</v>
      </c>
      <c r="O187" s="77" t="s">
        <v>29</v>
      </c>
      <c r="P187" s="158" t="s">
        <v>54</v>
      </c>
      <c r="Q187" s="159" t="s">
        <v>55</v>
      </c>
      <c r="R187" s="159" t="s">
        <v>56</v>
      </c>
      <c r="S187" s="159" t="s">
        <v>57</v>
      </c>
      <c r="T187" s="159" t="s">
        <v>58</v>
      </c>
      <c r="U187" s="77" t="s">
        <v>391</v>
      </c>
    </row>
    <row r="188" spans="1:21">
      <c r="A188" s="45">
        <v>46298</v>
      </c>
      <c r="B188" s="46" t="s">
        <v>85</v>
      </c>
      <c r="C188" s="55" t="s">
        <v>241</v>
      </c>
      <c r="D188" s="143"/>
      <c r="E188" s="144"/>
      <c r="F188" s="144"/>
      <c r="G188" s="144"/>
      <c r="H188" s="144"/>
      <c r="I188" s="145"/>
      <c r="J188" s="143"/>
      <c r="K188" s="144"/>
      <c r="L188" s="144"/>
      <c r="M188" s="144"/>
      <c r="N188" s="144"/>
      <c r="O188" s="46"/>
      <c r="P188" s="143"/>
      <c r="Q188" s="144"/>
      <c r="R188" s="144"/>
      <c r="S188" s="144"/>
      <c r="T188" s="144"/>
      <c r="U188" s="46"/>
    </row>
    <row r="189" spans="1:21">
      <c r="A189" s="45">
        <v>46299</v>
      </c>
      <c r="B189" s="46" t="s">
        <v>86</v>
      </c>
      <c r="C189" s="55" t="s">
        <v>241</v>
      </c>
      <c r="D189" s="143"/>
      <c r="E189" s="144"/>
      <c r="F189" s="144"/>
      <c r="G189" s="144"/>
      <c r="H189" s="144"/>
      <c r="I189" s="145"/>
      <c r="J189" s="143"/>
      <c r="K189" s="144"/>
      <c r="L189" s="144"/>
      <c r="M189" s="144"/>
      <c r="N189" s="144"/>
      <c r="O189" s="46"/>
      <c r="P189" s="143"/>
      <c r="Q189" s="144"/>
      <c r="R189" s="144"/>
      <c r="S189" s="144"/>
      <c r="T189" s="144"/>
      <c r="U189" s="46"/>
    </row>
    <row r="190" spans="1:21" s="47" customFormat="1">
      <c r="A190" s="187">
        <v>46300</v>
      </c>
      <c r="B190" s="48" t="s">
        <v>80</v>
      </c>
      <c r="C190" s="41" t="s">
        <v>241</v>
      </c>
      <c r="D190" s="80" t="s">
        <v>0</v>
      </c>
      <c r="E190" s="52" t="s">
        <v>1</v>
      </c>
      <c r="F190" s="52" t="s">
        <v>2</v>
      </c>
      <c r="G190" s="159" t="s">
        <v>3</v>
      </c>
      <c r="H190" s="159" t="s">
        <v>4</v>
      </c>
      <c r="I190" s="220" t="s">
        <v>75</v>
      </c>
      <c r="J190" s="158" t="s">
        <v>0</v>
      </c>
      <c r="K190" s="159" t="s">
        <v>1</v>
      </c>
      <c r="L190" s="159" t="s">
        <v>2</v>
      </c>
      <c r="M190" s="159" t="s">
        <v>3</v>
      </c>
      <c r="N190" s="159" t="s">
        <v>4</v>
      </c>
      <c r="O190" s="220" t="s">
        <v>75</v>
      </c>
      <c r="P190" s="158" t="s">
        <v>0</v>
      </c>
      <c r="Q190" s="159" t="s">
        <v>1</v>
      </c>
      <c r="R190" s="159" t="s">
        <v>2</v>
      </c>
      <c r="S190" s="159" t="s">
        <v>3</v>
      </c>
      <c r="T190" s="159" t="s">
        <v>4</v>
      </c>
      <c r="U190" s="220" t="s">
        <v>75</v>
      </c>
    </row>
    <row r="191" spans="1:21" s="47" customFormat="1">
      <c r="A191" s="187">
        <v>46301</v>
      </c>
      <c r="B191" s="48" t="s">
        <v>81</v>
      </c>
      <c r="C191" s="41" t="s">
        <v>242</v>
      </c>
      <c r="D191" s="80" t="s">
        <v>36</v>
      </c>
      <c r="E191" s="168" t="s">
        <v>89</v>
      </c>
      <c r="F191" s="168" t="s">
        <v>90</v>
      </c>
      <c r="G191" s="168" t="s">
        <v>229</v>
      </c>
      <c r="H191" s="168" t="s">
        <v>392</v>
      </c>
      <c r="I191" s="145"/>
      <c r="J191" s="80" t="s">
        <v>36</v>
      </c>
      <c r="K191" s="168" t="s">
        <v>89</v>
      </c>
      <c r="L191" s="168" t="s">
        <v>90</v>
      </c>
      <c r="M191" s="168" t="s">
        <v>229</v>
      </c>
      <c r="N191" s="168" t="s">
        <v>392</v>
      </c>
      <c r="O191" s="145"/>
      <c r="P191" s="80" t="s">
        <v>36</v>
      </c>
      <c r="Q191" s="168" t="s">
        <v>89</v>
      </c>
      <c r="R191" s="168" t="s">
        <v>90</v>
      </c>
      <c r="S191" s="168" t="s">
        <v>229</v>
      </c>
      <c r="T191" s="168" t="s">
        <v>392</v>
      </c>
      <c r="U191" s="145"/>
    </row>
    <row r="192" spans="1:21">
      <c r="A192" s="187">
        <v>46302</v>
      </c>
      <c r="B192" s="48" t="s">
        <v>82</v>
      </c>
      <c r="C192" s="41" t="s">
        <v>243</v>
      </c>
      <c r="D192" s="81" t="s">
        <v>18</v>
      </c>
      <c r="E192" s="161" t="s">
        <v>19</v>
      </c>
      <c r="F192" s="52" t="s">
        <v>225</v>
      </c>
      <c r="G192" s="52" t="s">
        <v>102</v>
      </c>
      <c r="H192" s="144"/>
      <c r="I192" s="145"/>
      <c r="J192" s="81" t="s">
        <v>18</v>
      </c>
      <c r="K192" s="161" t="s">
        <v>19</v>
      </c>
      <c r="L192" s="52" t="s">
        <v>225</v>
      </c>
      <c r="M192" s="52" t="s">
        <v>102</v>
      </c>
      <c r="N192" s="144"/>
      <c r="O192" s="145"/>
      <c r="P192" s="81" t="s">
        <v>18</v>
      </c>
      <c r="Q192" s="161" t="s">
        <v>19</v>
      </c>
      <c r="R192" s="52" t="s">
        <v>225</v>
      </c>
      <c r="S192" s="52" t="s">
        <v>102</v>
      </c>
      <c r="T192" s="144"/>
      <c r="U192" s="145"/>
    </row>
    <row r="193" spans="1:21">
      <c r="A193" s="187">
        <v>46303</v>
      </c>
      <c r="B193" s="48" t="s">
        <v>83</v>
      </c>
      <c r="C193" s="41" t="s">
        <v>244</v>
      </c>
      <c r="D193" s="81" t="s">
        <v>231</v>
      </c>
      <c r="I193" s="238"/>
      <c r="J193" s="81" t="s">
        <v>231</v>
      </c>
      <c r="O193" s="238"/>
      <c r="P193" s="81" t="s">
        <v>231</v>
      </c>
      <c r="U193" s="238"/>
    </row>
    <row r="194" spans="1:21">
      <c r="A194" s="187">
        <v>46304</v>
      </c>
      <c r="B194" s="48" t="s">
        <v>84</v>
      </c>
      <c r="C194" s="41" t="s">
        <v>245</v>
      </c>
      <c r="D194" s="80" t="s">
        <v>54</v>
      </c>
      <c r="E194" s="52" t="s">
        <v>55</v>
      </c>
      <c r="F194" s="52" t="s">
        <v>56</v>
      </c>
      <c r="G194" s="52" t="s">
        <v>57</v>
      </c>
      <c r="H194" s="163" t="s">
        <v>58</v>
      </c>
      <c r="I194" s="163" t="s">
        <v>97</v>
      </c>
      <c r="J194" s="80" t="s">
        <v>54</v>
      </c>
      <c r="K194" s="52" t="s">
        <v>55</v>
      </c>
      <c r="L194" s="52" t="s">
        <v>56</v>
      </c>
      <c r="M194" s="52" t="s">
        <v>57</v>
      </c>
      <c r="N194" s="163" t="s">
        <v>58</v>
      </c>
      <c r="O194" s="163" t="s">
        <v>97</v>
      </c>
      <c r="P194" s="80" t="s">
        <v>54</v>
      </c>
      <c r="Q194" s="52" t="s">
        <v>55</v>
      </c>
      <c r="R194" s="52" t="s">
        <v>56</v>
      </c>
      <c r="S194" s="52" t="s">
        <v>57</v>
      </c>
      <c r="T194" s="163" t="s">
        <v>58</v>
      </c>
      <c r="U194" s="163" t="s">
        <v>97</v>
      </c>
    </row>
    <row r="195" spans="1:21">
      <c r="A195" s="45">
        <v>46305</v>
      </c>
      <c r="B195" s="46" t="s">
        <v>85</v>
      </c>
      <c r="C195" s="55" t="s">
        <v>241</v>
      </c>
      <c r="D195" s="143"/>
      <c r="E195" s="144"/>
      <c r="F195" s="144"/>
      <c r="G195" s="144"/>
      <c r="H195" s="144"/>
      <c r="I195" s="141"/>
      <c r="J195" s="143"/>
      <c r="K195" s="144"/>
      <c r="L195" s="144"/>
      <c r="M195" s="144"/>
      <c r="N195" s="144"/>
      <c r="O195" s="141"/>
      <c r="P195" s="143"/>
      <c r="Q195" s="144"/>
      <c r="R195" s="144"/>
      <c r="S195" s="144"/>
      <c r="T195" s="144"/>
      <c r="U195" s="141"/>
    </row>
    <row r="196" spans="1:21">
      <c r="A196" s="45">
        <v>46306</v>
      </c>
      <c r="B196" s="46" t="s">
        <v>86</v>
      </c>
      <c r="C196" s="55" t="s">
        <v>241</v>
      </c>
      <c r="D196" s="143"/>
      <c r="E196" s="144"/>
      <c r="F196" s="144"/>
      <c r="G196" s="144"/>
      <c r="H196" s="144"/>
      <c r="I196" s="145"/>
      <c r="J196" s="143"/>
      <c r="K196" s="144"/>
      <c r="L196" s="144"/>
      <c r="M196" s="144"/>
      <c r="N196" s="144"/>
      <c r="O196" s="145"/>
      <c r="P196" s="143"/>
      <c r="Q196" s="144"/>
      <c r="R196" s="144"/>
      <c r="S196" s="144"/>
      <c r="T196" s="144"/>
      <c r="U196" s="145"/>
    </row>
    <row r="197" spans="1:21" s="47" customFormat="1">
      <c r="A197" s="45">
        <v>46307</v>
      </c>
      <c r="B197" s="46" t="s">
        <v>80</v>
      </c>
      <c r="C197" s="55" t="s">
        <v>246</v>
      </c>
      <c r="D197" s="143"/>
      <c r="E197" s="144"/>
      <c r="F197" s="144"/>
      <c r="G197" s="144"/>
      <c r="H197" s="144"/>
      <c r="I197" s="145"/>
      <c r="J197" s="143"/>
      <c r="K197" s="144"/>
      <c r="L197" s="144"/>
      <c r="M197" s="144"/>
      <c r="N197" s="144"/>
      <c r="O197" s="145"/>
      <c r="P197" s="143"/>
      <c r="Q197" s="144"/>
      <c r="R197" s="144"/>
      <c r="S197" s="144"/>
      <c r="T197" s="144"/>
      <c r="U197" s="145"/>
    </row>
    <row r="198" spans="1:21" s="47" customFormat="1">
      <c r="A198" s="187">
        <v>46308</v>
      </c>
      <c r="B198" s="48" t="s">
        <v>81</v>
      </c>
      <c r="C198" s="41" t="s">
        <v>241</v>
      </c>
      <c r="D198" s="80" t="s">
        <v>36</v>
      </c>
      <c r="E198" s="52" t="s">
        <v>92</v>
      </c>
      <c r="F198" s="52" t="s">
        <v>89</v>
      </c>
      <c r="G198" s="52" t="s">
        <v>90</v>
      </c>
      <c r="H198" s="302" t="s">
        <v>4</v>
      </c>
      <c r="I198" s="163" t="s">
        <v>41</v>
      </c>
      <c r="J198" s="80" t="s">
        <v>36</v>
      </c>
      <c r="K198" s="52" t="s">
        <v>92</v>
      </c>
      <c r="L198" s="52" t="s">
        <v>89</v>
      </c>
      <c r="M198" s="52" t="s">
        <v>90</v>
      </c>
      <c r="N198" s="302" t="s">
        <v>4</v>
      </c>
      <c r="O198" s="163" t="s">
        <v>41</v>
      </c>
      <c r="P198" s="80" t="s">
        <v>36</v>
      </c>
      <c r="Q198" s="52" t="s">
        <v>92</v>
      </c>
      <c r="R198" s="52" t="s">
        <v>89</v>
      </c>
      <c r="S198" s="52" t="s">
        <v>90</v>
      </c>
      <c r="T198" s="325" t="s">
        <v>398</v>
      </c>
      <c r="U198" s="326"/>
    </row>
    <row r="199" spans="1:21" s="47" customFormat="1">
      <c r="A199" s="187">
        <v>46309</v>
      </c>
      <c r="B199" s="48" t="s">
        <v>82</v>
      </c>
      <c r="C199" s="41" t="s">
        <v>241</v>
      </c>
      <c r="D199" s="218" t="s">
        <v>156</v>
      </c>
      <c r="E199" s="159" t="s">
        <v>43</v>
      </c>
      <c r="F199" s="159" t="s">
        <v>44</v>
      </c>
      <c r="G199" s="159" t="s">
        <v>45</v>
      </c>
      <c r="H199" s="159" t="s">
        <v>46</v>
      </c>
      <c r="I199" s="294" t="s">
        <v>5</v>
      </c>
      <c r="J199" s="218" t="s">
        <v>156</v>
      </c>
      <c r="K199" s="159" t="s">
        <v>43</v>
      </c>
      <c r="L199" s="159" t="s">
        <v>44</v>
      </c>
      <c r="M199" s="159" t="s">
        <v>45</v>
      </c>
      <c r="N199" s="159" t="s">
        <v>46</v>
      </c>
      <c r="O199" s="294" t="s">
        <v>5</v>
      </c>
      <c r="P199" s="218" t="s">
        <v>156</v>
      </c>
      <c r="Q199" s="159" t="s">
        <v>43</v>
      </c>
      <c r="R199" s="159" t="s">
        <v>44</v>
      </c>
      <c r="S199" s="159" t="s">
        <v>45</v>
      </c>
      <c r="T199" s="159" t="s">
        <v>46</v>
      </c>
      <c r="U199" s="294" t="s">
        <v>5</v>
      </c>
    </row>
    <row r="200" spans="1:21">
      <c r="A200" s="187">
        <v>46310</v>
      </c>
      <c r="B200" s="48" t="s">
        <v>83</v>
      </c>
      <c r="C200" s="41" t="s">
        <v>238</v>
      </c>
      <c r="D200" s="81" t="s">
        <v>18</v>
      </c>
      <c r="E200" s="161" t="s">
        <v>19</v>
      </c>
      <c r="F200" s="52" t="s">
        <v>225</v>
      </c>
      <c r="G200" s="52" t="s">
        <v>102</v>
      </c>
      <c r="H200" s="52" t="s">
        <v>22</v>
      </c>
      <c r="I200" s="145"/>
      <c r="J200" s="81" t="s">
        <v>18</v>
      </c>
      <c r="K200" s="161" t="s">
        <v>19</v>
      </c>
      <c r="L200" s="52" t="s">
        <v>225</v>
      </c>
      <c r="M200" s="52" t="s">
        <v>102</v>
      </c>
      <c r="N200" s="52" t="s">
        <v>22</v>
      </c>
      <c r="O200" s="145"/>
      <c r="P200" s="81" t="s">
        <v>18</v>
      </c>
      <c r="Q200" s="161" t="s">
        <v>19</v>
      </c>
      <c r="R200" s="52" t="s">
        <v>225</v>
      </c>
      <c r="S200" s="52" t="s">
        <v>102</v>
      </c>
      <c r="T200" s="52" t="s">
        <v>22</v>
      </c>
      <c r="U200" s="145"/>
    </row>
    <row r="201" spans="1:21">
      <c r="A201" s="187">
        <v>46311</v>
      </c>
      <c r="B201" s="48" t="s">
        <v>84</v>
      </c>
      <c r="C201" s="41" t="s">
        <v>247</v>
      </c>
      <c r="D201" s="80" t="s">
        <v>24</v>
      </c>
      <c r="E201" s="163" t="s">
        <v>25</v>
      </c>
      <c r="F201" s="52" t="s">
        <v>26</v>
      </c>
      <c r="G201" s="52" t="s">
        <v>96</v>
      </c>
      <c r="H201" s="302" t="s">
        <v>98</v>
      </c>
      <c r="I201" s="163" t="s">
        <v>97</v>
      </c>
      <c r="J201" s="80" t="s">
        <v>24</v>
      </c>
      <c r="K201" s="163" t="s">
        <v>25</v>
      </c>
      <c r="L201" s="52" t="s">
        <v>26</v>
      </c>
      <c r="M201" s="52" t="s">
        <v>96</v>
      </c>
      <c r="N201" s="325" t="s">
        <v>398</v>
      </c>
      <c r="O201" s="326"/>
      <c r="P201" s="327" t="s">
        <v>91</v>
      </c>
      <c r="Q201" s="328"/>
      <c r="R201" s="328"/>
      <c r="S201" s="328"/>
      <c r="T201" s="329"/>
      <c r="U201" s="163" t="s">
        <v>97</v>
      </c>
    </row>
    <row r="202" spans="1:21">
      <c r="A202" s="45">
        <v>46312</v>
      </c>
      <c r="B202" s="46" t="s">
        <v>85</v>
      </c>
      <c r="C202" s="55" t="s">
        <v>241</v>
      </c>
      <c r="D202" s="143"/>
      <c r="E202" s="144"/>
      <c r="F202" s="144"/>
      <c r="G202" s="144"/>
      <c r="H202" s="144"/>
      <c r="I202" s="145"/>
      <c r="J202" s="143"/>
      <c r="K202" s="144"/>
      <c r="L202" s="144"/>
      <c r="M202" s="144"/>
      <c r="N202" s="144"/>
      <c r="O202" s="46"/>
      <c r="P202" s="143"/>
      <c r="Q202" s="144"/>
      <c r="R202" s="144"/>
      <c r="S202" s="144"/>
      <c r="T202" s="144"/>
      <c r="U202" s="46"/>
    </row>
    <row r="203" spans="1:21">
      <c r="A203" s="45">
        <v>46313</v>
      </c>
      <c r="B203" s="46" t="s">
        <v>86</v>
      </c>
      <c r="C203" s="55" t="s">
        <v>248</v>
      </c>
      <c r="D203" s="143"/>
      <c r="E203" s="144"/>
      <c r="F203" s="144"/>
      <c r="G203" s="144"/>
      <c r="H203" s="144"/>
      <c r="I203" s="145"/>
      <c r="J203" s="143"/>
      <c r="K203" s="144"/>
      <c r="L203" s="144"/>
      <c r="M203" s="144"/>
      <c r="N203" s="144"/>
      <c r="O203" s="46"/>
      <c r="P203" s="143"/>
      <c r="Q203" s="144"/>
      <c r="R203" s="144"/>
      <c r="S203" s="144"/>
      <c r="T203" s="144"/>
      <c r="U203" s="46"/>
    </row>
    <row r="204" spans="1:21" s="47" customFormat="1">
      <c r="A204" s="187">
        <v>46314</v>
      </c>
      <c r="B204" s="48" t="s">
        <v>80</v>
      </c>
      <c r="C204" s="41" t="s">
        <v>355</v>
      </c>
      <c r="D204" s="80" t="s">
        <v>0</v>
      </c>
      <c r="E204" s="52" t="s">
        <v>1</v>
      </c>
      <c r="F204" s="52" t="s">
        <v>2</v>
      </c>
      <c r="G204" s="52" t="s">
        <v>3</v>
      </c>
      <c r="H204" s="325" t="s">
        <v>398</v>
      </c>
      <c r="I204" s="326"/>
      <c r="J204" s="80" t="s">
        <v>0</v>
      </c>
      <c r="K204" s="52" t="s">
        <v>1</v>
      </c>
      <c r="L204" s="52" t="s">
        <v>2</v>
      </c>
      <c r="M204" s="52" t="s">
        <v>3</v>
      </c>
      <c r="N204" s="302" t="s">
        <v>386</v>
      </c>
      <c r="O204" s="48" t="s">
        <v>5</v>
      </c>
      <c r="P204" s="80" t="s">
        <v>0</v>
      </c>
      <c r="Q204" s="52" t="s">
        <v>1</v>
      </c>
      <c r="R204" s="52" t="s">
        <v>2</v>
      </c>
      <c r="S204" s="52" t="s">
        <v>3</v>
      </c>
      <c r="T204" s="302" t="s">
        <v>386</v>
      </c>
      <c r="U204" s="48" t="s">
        <v>5</v>
      </c>
    </row>
    <row r="205" spans="1:21" s="47" customFormat="1">
      <c r="A205" s="187">
        <v>46315</v>
      </c>
      <c r="B205" s="48" t="s">
        <v>81</v>
      </c>
      <c r="C205" s="41" t="s">
        <v>249</v>
      </c>
      <c r="D205" s="80" t="s">
        <v>36</v>
      </c>
      <c r="E205" s="52" t="s">
        <v>92</v>
      </c>
      <c r="F205" s="52" t="s">
        <v>89</v>
      </c>
      <c r="G205" s="52" t="s">
        <v>90</v>
      </c>
      <c r="H205" s="52" t="s">
        <v>229</v>
      </c>
      <c r="I205" s="178" t="s">
        <v>88</v>
      </c>
      <c r="J205" s="80" t="s">
        <v>36</v>
      </c>
      <c r="K205" s="52" t="s">
        <v>92</v>
      </c>
      <c r="L205" s="52" t="s">
        <v>89</v>
      </c>
      <c r="M205" s="52" t="s">
        <v>90</v>
      </c>
      <c r="N205" s="52" t="s">
        <v>229</v>
      </c>
      <c r="O205" s="199" t="s">
        <v>88</v>
      </c>
      <c r="P205" s="80" t="s">
        <v>36</v>
      </c>
      <c r="Q205" s="52" t="s">
        <v>92</v>
      </c>
      <c r="R205" s="52" t="s">
        <v>89</v>
      </c>
      <c r="S205" s="52" t="s">
        <v>90</v>
      </c>
      <c r="T205" s="52" t="s">
        <v>229</v>
      </c>
      <c r="U205" s="199" t="s">
        <v>88</v>
      </c>
    </row>
    <row r="206" spans="1:21">
      <c r="A206" s="187">
        <v>46316</v>
      </c>
      <c r="B206" s="48" t="s">
        <v>82</v>
      </c>
      <c r="C206" s="41" t="s">
        <v>241</v>
      </c>
      <c r="D206" s="320" t="s">
        <v>397</v>
      </c>
      <c r="E206" s="321"/>
      <c r="F206" s="321"/>
      <c r="G206" s="321"/>
      <c r="H206" s="322"/>
      <c r="I206" s="145"/>
      <c r="J206" s="320" t="s">
        <v>397</v>
      </c>
      <c r="K206" s="321"/>
      <c r="L206" s="321"/>
      <c r="M206" s="321"/>
      <c r="N206" s="322"/>
      <c r="O206" s="46"/>
      <c r="P206" s="320" t="s">
        <v>397</v>
      </c>
      <c r="Q206" s="321"/>
      <c r="R206" s="321"/>
      <c r="S206" s="321"/>
      <c r="T206" s="322"/>
      <c r="U206" s="46"/>
    </row>
    <row r="207" spans="1:21">
      <c r="A207" s="187">
        <v>46317</v>
      </c>
      <c r="B207" s="48" t="s">
        <v>83</v>
      </c>
      <c r="C207" s="41" t="s">
        <v>241</v>
      </c>
      <c r="D207" s="81" t="s">
        <v>18</v>
      </c>
      <c r="E207" s="226" t="s">
        <v>21</v>
      </c>
      <c r="F207" s="219" t="s">
        <v>14</v>
      </c>
      <c r="G207" s="219" t="s">
        <v>15</v>
      </c>
      <c r="H207" s="219" t="s">
        <v>16</v>
      </c>
      <c r="I207" s="145"/>
      <c r="J207" s="81" t="s">
        <v>18</v>
      </c>
      <c r="K207" s="226" t="s">
        <v>21</v>
      </c>
      <c r="L207" s="219" t="s">
        <v>14</v>
      </c>
      <c r="M207" s="219" t="s">
        <v>15</v>
      </c>
      <c r="N207" s="219" t="s">
        <v>16</v>
      </c>
      <c r="O207" s="46"/>
      <c r="P207" s="81" t="s">
        <v>18</v>
      </c>
      <c r="Q207" s="226" t="s">
        <v>21</v>
      </c>
      <c r="R207" s="219" t="s">
        <v>14</v>
      </c>
      <c r="S207" s="219" t="s">
        <v>15</v>
      </c>
      <c r="T207" s="219" t="s">
        <v>16</v>
      </c>
      <c r="U207" s="46"/>
    </row>
    <row r="208" spans="1:21">
      <c r="A208" s="187">
        <v>46318</v>
      </c>
      <c r="B208" s="48" t="s">
        <v>84</v>
      </c>
      <c r="C208" s="41" t="s">
        <v>239</v>
      </c>
      <c r="D208" s="80" t="s">
        <v>24</v>
      </c>
      <c r="E208" s="163" t="s">
        <v>25</v>
      </c>
      <c r="F208" s="52" t="s">
        <v>26</v>
      </c>
      <c r="G208" s="52" t="s">
        <v>96</v>
      </c>
      <c r="H208" s="178" t="s">
        <v>41</v>
      </c>
      <c r="I208" s="163" t="s">
        <v>97</v>
      </c>
      <c r="J208" s="80" t="s">
        <v>24</v>
      </c>
      <c r="K208" s="163" t="s">
        <v>25</v>
      </c>
      <c r="L208" s="52" t="s">
        <v>26</v>
      </c>
      <c r="M208" s="52" t="s">
        <v>96</v>
      </c>
      <c r="N208" s="178" t="s">
        <v>41</v>
      </c>
      <c r="O208" s="48" t="s">
        <v>97</v>
      </c>
      <c r="P208" s="80" t="s">
        <v>24</v>
      </c>
      <c r="Q208" s="163" t="s">
        <v>25</v>
      </c>
      <c r="R208" s="52" t="s">
        <v>26</v>
      </c>
      <c r="S208" s="52" t="s">
        <v>96</v>
      </c>
      <c r="T208" s="196" t="s">
        <v>376</v>
      </c>
      <c r="U208" s="48"/>
    </row>
    <row r="209" spans="1:21">
      <c r="A209" s="45">
        <v>46319</v>
      </c>
      <c r="B209" s="46" t="s">
        <v>85</v>
      </c>
      <c r="C209" s="55" t="s">
        <v>241</v>
      </c>
      <c r="D209" s="143"/>
      <c r="E209" s="144"/>
      <c r="F209" s="144"/>
      <c r="G209" s="144"/>
      <c r="H209" s="144"/>
      <c r="I209" s="145"/>
      <c r="J209" s="143"/>
      <c r="K209" s="144"/>
      <c r="L209" s="144"/>
      <c r="M209" s="144"/>
      <c r="N209" s="144"/>
      <c r="O209" s="46"/>
      <c r="P209" s="143"/>
      <c r="Q209" s="144"/>
      <c r="R209" s="144"/>
      <c r="S209" s="144"/>
      <c r="T209" s="144"/>
      <c r="U209" s="46"/>
    </row>
    <row r="210" spans="1:21">
      <c r="A210" s="45">
        <v>46320</v>
      </c>
      <c r="B210" s="46" t="s">
        <v>86</v>
      </c>
      <c r="C210" s="55" t="s">
        <v>241</v>
      </c>
      <c r="D210" s="143"/>
      <c r="E210" s="144"/>
      <c r="F210" s="144"/>
      <c r="G210" s="144"/>
      <c r="H210" s="144"/>
      <c r="I210" s="145"/>
      <c r="J210" s="143"/>
      <c r="K210" s="144"/>
      <c r="L210" s="144"/>
      <c r="M210" s="144"/>
      <c r="N210" s="144"/>
      <c r="O210" s="46"/>
      <c r="P210" s="143"/>
      <c r="Q210" s="144"/>
      <c r="R210" s="144"/>
      <c r="S210" s="144"/>
      <c r="T210" s="144"/>
      <c r="U210" s="46"/>
    </row>
    <row r="211" spans="1:21" s="47" customFormat="1">
      <c r="A211" s="187">
        <v>46321</v>
      </c>
      <c r="B211" s="48" t="s">
        <v>80</v>
      </c>
      <c r="C211" s="41" t="s">
        <v>241</v>
      </c>
      <c r="D211" s="80" t="s">
        <v>0</v>
      </c>
      <c r="E211" s="52" t="s">
        <v>1</v>
      </c>
      <c r="F211" s="52" t="s">
        <v>2</v>
      </c>
      <c r="G211" s="52" t="s">
        <v>3</v>
      </c>
      <c r="H211" s="52" t="s">
        <v>4</v>
      </c>
      <c r="I211" s="163" t="s">
        <v>356</v>
      </c>
      <c r="J211" s="80" t="s">
        <v>0</v>
      </c>
      <c r="K211" s="52" t="s">
        <v>1</v>
      </c>
      <c r="L211" s="52" t="s">
        <v>2</v>
      </c>
      <c r="M211" s="52" t="s">
        <v>3</v>
      </c>
      <c r="N211" s="52" t="s">
        <v>4</v>
      </c>
      <c r="O211" s="48" t="s">
        <v>356</v>
      </c>
      <c r="P211" s="80" t="s">
        <v>0</v>
      </c>
      <c r="Q211" s="52" t="s">
        <v>1</v>
      </c>
      <c r="R211" s="52" t="s">
        <v>2</v>
      </c>
      <c r="S211" s="52" t="s">
        <v>3</v>
      </c>
      <c r="T211" s="52" t="s">
        <v>4</v>
      </c>
      <c r="U211" s="48" t="s">
        <v>356</v>
      </c>
    </row>
    <row r="212" spans="1:21" s="47" customFormat="1">
      <c r="A212" s="187">
        <v>46322</v>
      </c>
      <c r="B212" s="48" t="s">
        <v>81</v>
      </c>
      <c r="C212" s="41" t="s">
        <v>250</v>
      </c>
      <c r="D212" s="80" t="s">
        <v>36</v>
      </c>
      <c r="E212" s="52" t="s">
        <v>92</v>
      </c>
      <c r="F212" s="159" t="s">
        <v>154</v>
      </c>
      <c r="G212" s="159" t="s">
        <v>155</v>
      </c>
      <c r="H212" s="159" t="s">
        <v>229</v>
      </c>
      <c r="I212" s="163" t="s">
        <v>356</v>
      </c>
      <c r="J212" s="80" t="s">
        <v>36</v>
      </c>
      <c r="K212" s="52" t="s">
        <v>92</v>
      </c>
      <c r="L212" s="159" t="s">
        <v>154</v>
      </c>
      <c r="M212" s="159" t="s">
        <v>155</v>
      </c>
      <c r="N212" s="159" t="s">
        <v>229</v>
      </c>
      <c r="O212" s="48" t="s">
        <v>356</v>
      </c>
      <c r="P212" s="80" t="s">
        <v>36</v>
      </c>
      <c r="Q212" s="52" t="s">
        <v>92</v>
      </c>
      <c r="R212" s="159" t="s">
        <v>154</v>
      </c>
      <c r="S212" s="159" t="s">
        <v>155</v>
      </c>
      <c r="T212" s="159" t="s">
        <v>229</v>
      </c>
      <c r="U212" s="48" t="s">
        <v>356</v>
      </c>
    </row>
    <row r="213" spans="1:21">
      <c r="A213" s="187">
        <v>46323</v>
      </c>
      <c r="B213" s="48" t="s">
        <v>82</v>
      </c>
      <c r="C213" s="41" t="s">
        <v>251</v>
      </c>
      <c r="D213" s="158" t="s">
        <v>42</v>
      </c>
      <c r="E213" s="159" t="s">
        <v>43</v>
      </c>
      <c r="F213" s="159" t="s">
        <v>44</v>
      </c>
      <c r="G213" s="159" t="s">
        <v>45</v>
      </c>
      <c r="H213" s="159" t="s">
        <v>46</v>
      </c>
      <c r="I213" s="163" t="s">
        <v>356</v>
      </c>
      <c r="J213" s="158" t="s">
        <v>42</v>
      </c>
      <c r="K213" s="159" t="s">
        <v>43</v>
      </c>
      <c r="L213" s="159" t="s">
        <v>44</v>
      </c>
      <c r="M213" s="159" t="s">
        <v>45</v>
      </c>
      <c r="N213" s="159" t="s">
        <v>46</v>
      </c>
      <c r="O213" s="48" t="s">
        <v>356</v>
      </c>
      <c r="P213" s="158" t="s">
        <v>42</v>
      </c>
      <c r="Q213" s="159" t="s">
        <v>43</v>
      </c>
      <c r="R213" s="159" t="s">
        <v>44</v>
      </c>
      <c r="S213" s="159" t="s">
        <v>45</v>
      </c>
      <c r="T213" s="159" t="s">
        <v>46</v>
      </c>
      <c r="U213" s="48" t="s">
        <v>356</v>
      </c>
    </row>
    <row r="214" spans="1:21">
      <c r="A214" s="187">
        <v>46324</v>
      </c>
      <c r="B214" s="48" t="s">
        <v>83</v>
      </c>
      <c r="C214" s="41" t="s">
        <v>241</v>
      </c>
      <c r="D214" s="81" t="s">
        <v>18</v>
      </c>
      <c r="E214" s="161" t="s">
        <v>19</v>
      </c>
      <c r="F214" s="52" t="s">
        <v>225</v>
      </c>
      <c r="G214" s="52" t="s">
        <v>102</v>
      </c>
      <c r="H214" s="52" t="s">
        <v>22</v>
      </c>
      <c r="I214" s="145"/>
      <c r="J214" s="81" t="s">
        <v>18</v>
      </c>
      <c r="K214" s="161" t="s">
        <v>19</v>
      </c>
      <c r="L214" s="52" t="s">
        <v>225</v>
      </c>
      <c r="M214" s="52" t="s">
        <v>102</v>
      </c>
      <c r="N214" s="52" t="s">
        <v>22</v>
      </c>
      <c r="O214" s="46"/>
      <c r="P214" s="81" t="s">
        <v>18</v>
      </c>
      <c r="Q214" s="161" t="s">
        <v>19</v>
      </c>
      <c r="R214" s="52" t="s">
        <v>225</v>
      </c>
      <c r="S214" s="52" t="s">
        <v>102</v>
      </c>
      <c r="T214" s="52" t="s">
        <v>22</v>
      </c>
      <c r="U214" s="46"/>
    </row>
    <row r="215" spans="1:21">
      <c r="A215" s="187">
        <v>46325</v>
      </c>
      <c r="B215" s="48" t="s">
        <v>84</v>
      </c>
      <c r="C215" s="41" t="s">
        <v>241</v>
      </c>
      <c r="D215" s="218" t="s">
        <v>393</v>
      </c>
      <c r="E215" s="163" t="s">
        <v>25</v>
      </c>
      <c r="F215" s="52" t="s">
        <v>26</v>
      </c>
      <c r="G215" s="52" t="s">
        <v>96</v>
      </c>
      <c r="H215" s="52" t="s">
        <v>88</v>
      </c>
      <c r="I215" s="163" t="s">
        <v>356</v>
      </c>
      <c r="J215" s="218" t="s">
        <v>393</v>
      </c>
      <c r="K215" s="163" t="s">
        <v>25</v>
      </c>
      <c r="L215" s="52" t="s">
        <v>26</v>
      </c>
      <c r="M215" s="52" t="s">
        <v>96</v>
      </c>
      <c r="N215" s="52" t="s">
        <v>88</v>
      </c>
      <c r="O215" s="48" t="s">
        <v>356</v>
      </c>
      <c r="P215" s="218" t="s">
        <v>393</v>
      </c>
      <c r="Q215" s="163" t="s">
        <v>25</v>
      </c>
      <c r="R215" s="52" t="s">
        <v>26</v>
      </c>
      <c r="S215" s="52" t="s">
        <v>96</v>
      </c>
      <c r="T215" s="52" t="s">
        <v>88</v>
      </c>
      <c r="U215" s="48" t="s">
        <v>356</v>
      </c>
    </row>
    <row r="216" spans="1:21">
      <c r="A216" s="45">
        <v>46326</v>
      </c>
      <c r="B216" s="46" t="s">
        <v>85</v>
      </c>
      <c r="C216" s="55" t="s">
        <v>241</v>
      </c>
      <c r="D216" s="143"/>
      <c r="E216" s="144"/>
      <c r="F216" s="144"/>
      <c r="G216" s="144"/>
      <c r="H216" s="144"/>
      <c r="I216" s="145"/>
      <c r="J216" s="143"/>
      <c r="K216" s="144"/>
      <c r="L216" s="144"/>
      <c r="M216" s="144"/>
      <c r="N216" s="144"/>
      <c r="O216" s="46"/>
      <c r="P216" s="143"/>
      <c r="Q216" s="144"/>
      <c r="R216" s="144"/>
      <c r="S216" s="144"/>
      <c r="T216" s="144"/>
      <c r="U216" s="46"/>
    </row>
    <row r="217" spans="1:21">
      <c r="A217" s="45">
        <v>46327</v>
      </c>
      <c r="B217" s="46" t="s">
        <v>86</v>
      </c>
      <c r="C217" s="55" t="s">
        <v>111</v>
      </c>
      <c r="D217" s="143"/>
      <c r="E217" s="144"/>
      <c r="F217" s="144"/>
      <c r="G217" s="144"/>
      <c r="H217" s="144"/>
      <c r="I217" s="145"/>
      <c r="J217" s="143"/>
      <c r="K217" s="144"/>
      <c r="L217" s="144"/>
      <c r="M217" s="144"/>
      <c r="N217" s="144"/>
      <c r="O217" s="46"/>
      <c r="P217" s="143"/>
      <c r="Q217" s="144"/>
      <c r="R217" s="144"/>
      <c r="S217" s="144"/>
      <c r="T217" s="144"/>
      <c r="U217" s="46"/>
    </row>
    <row r="218" spans="1:21" s="47" customFormat="1">
      <c r="A218" s="187">
        <v>46328</v>
      </c>
      <c r="B218" s="77" t="s">
        <v>80</v>
      </c>
      <c r="C218" s="78" t="s">
        <v>241</v>
      </c>
      <c r="D218" s="80" t="s">
        <v>0</v>
      </c>
      <c r="E218" s="52" t="s">
        <v>1</v>
      </c>
      <c r="F218" s="168" t="s">
        <v>3</v>
      </c>
      <c r="G218" s="168" t="s">
        <v>4</v>
      </c>
      <c r="H218" s="168" t="s">
        <v>22</v>
      </c>
      <c r="I218" s="178" t="s">
        <v>356</v>
      </c>
      <c r="J218" s="80" t="s">
        <v>0</v>
      </c>
      <c r="K218" s="52" t="s">
        <v>1</v>
      </c>
      <c r="L218" s="168" t="s">
        <v>3</v>
      </c>
      <c r="M218" s="168" t="s">
        <v>4</v>
      </c>
      <c r="N218" s="168" t="s">
        <v>22</v>
      </c>
      <c r="O218" s="199" t="s">
        <v>356</v>
      </c>
      <c r="P218" s="80" t="s">
        <v>0</v>
      </c>
      <c r="Q218" s="52" t="s">
        <v>1</v>
      </c>
      <c r="R218" s="168" t="s">
        <v>3</v>
      </c>
      <c r="S218" s="168" t="s">
        <v>4</v>
      </c>
      <c r="T218" s="168" t="s">
        <v>22</v>
      </c>
      <c r="U218" s="199" t="s">
        <v>356</v>
      </c>
    </row>
    <row r="219" spans="1:21" s="47" customFormat="1">
      <c r="A219" s="45">
        <v>46329</v>
      </c>
      <c r="B219" s="46" t="s">
        <v>81</v>
      </c>
      <c r="C219" s="55" t="s">
        <v>252</v>
      </c>
      <c r="D219" s="143"/>
      <c r="E219" s="144"/>
      <c r="F219" s="144"/>
      <c r="G219" s="144"/>
      <c r="H219" s="144"/>
      <c r="I219" s="145"/>
      <c r="J219" s="143"/>
      <c r="K219" s="144"/>
      <c r="L219" s="144"/>
      <c r="M219" s="144"/>
      <c r="N219" s="144"/>
      <c r="O219" s="46"/>
      <c r="P219" s="143"/>
      <c r="Q219" s="144"/>
      <c r="R219" s="144"/>
      <c r="S219" s="144"/>
      <c r="T219" s="144"/>
      <c r="U219" s="46"/>
    </row>
    <row r="220" spans="1:21" s="47" customFormat="1">
      <c r="A220" s="187">
        <v>46330</v>
      </c>
      <c r="B220" s="48" t="s">
        <v>82</v>
      </c>
      <c r="C220" s="41" t="s">
        <v>253</v>
      </c>
      <c r="D220" s="158" t="s">
        <v>42</v>
      </c>
      <c r="E220" s="159" t="s">
        <v>43</v>
      </c>
      <c r="F220" s="159" t="s">
        <v>44</v>
      </c>
      <c r="G220" s="159" t="s">
        <v>45</v>
      </c>
      <c r="H220" s="144"/>
      <c r="I220" s="145"/>
      <c r="J220" s="158" t="s">
        <v>42</v>
      </c>
      <c r="K220" s="159" t="s">
        <v>43</v>
      </c>
      <c r="L220" s="159" t="s">
        <v>44</v>
      </c>
      <c r="M220" s="159" t="s">
        <v>45</v>
      </c>
      <c r="N220" s="144"/>
      <c r="O220" s="46"/>
      <c r="P220" s="158" t="s">
        <v>42</v>
      </c>
      <c r="Q220" s="159" t="s">
        <v>43</v>
      </c>
      <c r="R220" s="159" t="s">
        <v>44</v>
      </c>
      <c r="S220" s="159" t="s">
        <v>45</v>
      </c>
      <c r="T220" s="144"/>
      <c r="U220" s="46"/>
    </row>
    <row r="221" spans="1:21">
      <c r="A221" s="187">
        <v>46331</v>
      </c>
      <c r="B221" s="48" t="s">
        <v>83</v>
      </c>
      <c r="C221" s="41" t="s">
        <v>254</v>
      </c>
      <c r="D221" s="81" t="s">
        <v>384</v>
      </c>
      <c r="E221" s="161"/>
      <c r="H221" s="168" t="s">
        <v>75</v>
      </c>
      <c r="I221" s="145"/>
      <c r="J221" s="81" t="s">
        <v>384</v>
      </c>
      <c r="K221" s="161"/>
      <c r="N221" s="168" t="s">
        <v>75</v>
      </c>
      <c r="O221" s="46"/>
      <c r="P221" s="81" t="s">
        <v>384</v>
      </c>
      <c r="Q221" s="161"/>
      <c r="T221" s="168" t="s">
        <v>75</v>
      </c>
      <c r="U221" s="46"/>
    </row>
    <row r="222" spans="1:21">
      <c r="A222" s="187">
        <v>46332</v>
      </c>
      <c r="B222" s="48" t="s">
        <v>84</v>
      </c>
      <c r="C222" s="41" t="s">
        <v>255</v>
      </c>
      <c r="D222" s="179" t="s">
        <v>6</v>
      </c>
      <c r="E222" s="178" t="s">
        <v>153</v>
      </c>
      <c r="F222" s="168" t="s">
        <v>154</v>
      </c>
      <c r="G222" s="168" t="s">
        <v>155</v>
      </c>
      <c r="H222" s="336" t="s">
        <v>229</v>
      </c>
      <c r="I222" s="336" t="s">
        <v>11</v>
      </c>
      <c r="J222" s="179" t="s">
        <v>6</v>
      </c>
      <c r="K222" s="178" t="s">
        <v>153</v>
      </c>
      <c r="L222" s="168" t="s">
        <v>154</v>
      </c>
      <c r="M222" s="168" t="s">
        <v>155</v>
      </c>
      <c r="N222" s="336" t="s">
        <v>229</v>
      </c>
      <c r="O222" s="336" t="s">
        <v>11</v>
      </c>
      <c r="P222" s="179" t="s">
        <v>6</v>
      </c>
      <c r="Q222" s="178" t="s">
        <v>153</v>
      </c>
      <c r="R222" s="168" t="s">
        <v>154</v>
      </c>
      <c r="S222" s="168" t="s">
        <v>155</v>
      </c>
      <c r="T222" s="336" t="s">
        <v>229</v>
      </c>
      <c r="U222" s="336" t="s">
        <v>11</v>
      </c>
    </row>
    <row r="223" spans="1:21">
      <c r="A223" s="45">
        <v>46333</v>
      </c>
      <c r="B223" s="46" t="s">
        <v>85</v>
      </c>
      <c r="C223" s="55" t="s">
        <v>241</v>
      </c>
      <c r="D223" s="143"/>
      <c r="E223" s="144"/>
      <c r="F223" s="144"/>
      <c r="G223" s="144"/>
      <c r="H223" s="144"/>
      <c r="I223" s="145"/>
      <c r="J223" s="143"/>
      <c r="K223" s="144"/>
      <c r="L223" s="144"/>
      <c r="M223" s="144"/>
      <c r="N223" s="144"/>
      <c r="O223" s="46"/>
      <c r="P223" s="143"/>
      <c r="Q223" s="144"/>
      <c r="R223" s="144"/>
      <c r="S223" s="144"/>
      <c r="T223" s="144"/>
      <c r="U223" s="46"/>
    </row>
    <row r="224" spans="1:21">
      <c r="A224" s="45">
        <v>46334</v>
      </c>
      <c r="B224" s="46" t="s">
        <v>86</v>
      </c>
      <c r="C224" s="55" t="s">
        <v>241</v>
      </c>
      <c r="D224" s="143"/>
      <c r="E224" s="144"/>
      <c r="F224" s="144"/>
      <c r="G224" s="144"/>
      <c r="H224" s="144"/>
      <c r="I224" s="145"/>
      <c r="J224" s="143"/>
      <c r="K224" s="144"/>
      <c r="L224" s="144"/>
      <c r="M224" s="144"/>
      <c r="N224" s="144"/>
      <c r="O224" s="46"/>
      <c r="P224" s="143"/>
      <c r="Q224" s="144"/>
      <c r="R224" s="144"/>
      <c r="S224" s="144"/>
      <c r="T224" s="144"/>
      <c r="U224" s="46"/>
    </row>
    <row r="225" spans="1:23" s="47" customFormat="1">
      <c r="A225" s="187">
        <v>46335</v>
      </c>
      <c r="B225" s="48" t="s">
        <v>80</v>
      </c>
      <c r="C225" s="41" t="s">
        <v>241</v>
      </c>
      <c r="D225" s="80" t="s">
        <v>0</v>
      </c>
      <c r="E225" s="52" t="s">
        <v>1</v>
      </c>
      <c r="F225" s="52" t="s">
        <v>2</v>
      </c>
      <c r="G225" s="52" t="s">
        <v>3</v>
      </c>
      <c r="H225" s="52" t="s">
        <v>4</v>
      </c>
      <c r="I225" s="145"/>
      <c r="J225" s="80" t="s">
        <v>0</v>
      </c>
      <c r="K225" s="52" t="s">
        <v>1</v>
      </c>
      <c r="L225" s="52" t="s">
        <v>2</v>
      </c>
      <c r="M225" s="52" t="s">
        <v>3</v>
      </c>
      <c r="N225" s="52" t="s">
        <v>4</v>
      </c>
      <c r="O225" s="46"/>
      <c r="P225" s="80" t="s">
        <v>0</v>
      </c>
      <c r="Q225" s="52" t="s">
        <v>1</v>
      </c>
      <c r="R225" s="52" t="s">
        <v>2</v>
      </c>
      <c r="S225" s="52" t="s">
        <v>3</v>
      </c>
      <c r="T225" s="52" t="s">
        <v>4</v>
      </c>
      <c r="U225" s="46"/>
    </row>
    <row r="226" spans="1:23" s="47" customFormat="1">
      <c r="A226" s="187">
        <v>46336</v>
      </c>
      <c r="B226" s="48" t="s">
        <v>81</v>
      </c>
      <c r="C226" s="41" t="s">
        <v>256</v>
      </c>
      <c r="D226" s="80" t="s">
        <v>36</v>
      </c>
      <c r="E226" s="159" t="s">
        <v>153</v>
      </c>
      <c r="F226" s="168" t="s">
        <v>10</v>
      </c>
      <c r="G226" s="168" t="s">
        <v>140</v>
      </c>
      <c r="H226" s="144"/>
      <c r="I226" s="145"/>
      <c r="J226" s="80" t="s">
        <v>36</v>
      </c>
      <c r="K226" s="159" t="s">
        <v>153</v>
      </c>
      <c r="L226" s="168" t="s">
        <v>10</v>
      </c>
      <c r="M226" s="168" t="s">
        <v>140</v>
      </c>
      <c r="N226" s="144"/>
      <c r="O226" s="46"/>
      <c r="P226" s="80" t="s">
        <v>36</v>
      </c>
      <c r="Q226" s="159" t="s">
        <v>153</v>
      </c>
      <c r="R226" s="168" t="s">
        <v>10</v>
      </c>
      <c r="S226" s="168" t="s">
        <v>140</v>
      </c>
      <c r="T226" s="144"/>
      <c r="U226" s="46"/>
    </row>
    <row r="227" spans="1:23">
      <c r="A227" s="187">
        <v>46337</v>
      </c>
      <c r="B227" s="48" t="s">
        <v>82</v>
      </c>
      <c r="C227" s="41" t="s">
        <v>257</v>
      </c>
      <c r="D227" s="158" t="s">
        <v>42</v>
      </c>
      <c r="E227" s="168" t="s">
        <v>100</v>
      </c>
      <c r="F227" s="168" t="s">
        <v>101</v>
      </c>
      <c r="G227" s="168" t="s">
        <v>93</v>
      </c>
      <c r="H227" s="144"/>
      <c r="I227" s="145"/>
      <c r="J227" s="158" t="s">
        <v>42</v>
      </c>
      <c r="K227" s="168" t="s">
        <v>100</v>
      </c>
      <c r="L227" s="168" t="s">
        <v>101</v>
      </c>
      <c r="M227" s="168" t="s">
        <v>93</v>
      </c>
      <c r="N227" s="144"/>
      <c r="O227" s="46"/>
      <c r="P227" s="158" t="s">
        <v>42</v>
      </c>
      <c r="Q227" s="168" t="s">
        <v>100</v>
      </c>
      <c r="R227" s="168" t="s">
        <v>101</v>
      </c>
      <c r="S227" s="168" t="s">
        <v>93</v>
      </c>
      <c r="T227" s="144"/>
      <c r="U227" s="46"/>
    </row>
    <row r="228" spans="1:23">
      <c r="A228" s="187">
        <v>46338</v>
      </c>
      <c r="B228" s="48" t="s">
        <v>83</v>
      </c>
      <c r="C228" s="41" t="s">
        <v>257</v>
      </c>
      <c r="D228" s="81" t="s">
        <v>18</v>
      </c>
      <c r="E228" s="161" t="s">
        <v>19</v>
      </c>
      <c r="F228" s="52" t="s">
        <v>225</v>
      </c>
      <c r="G228" s="52" t="s">
        <v>102</v>
      </c>
      <c r="H228" s="144"/>
      <c r="I228" s="145"/>
      <c r="J228" s="81" t="s">
        <v>18</v>
      </c>
      <c r="K228" s="161" t="s">
        <v>19</v>
      </c>
      <c r="L228" s="52" t="s">
        <v>225</v>
      </c>
      <c r="M228" s="52" t="s">
        <v>102</v>
      </c>
      <c r="N228" s="144"/>
      <c r="O228" s="46"/>
      <c r="P228" s="81" t="s">
        <v>18</v>
      </c>
      <c r="Q228" s="161" t="s">
        <v>19</v>
      </c>
      <c r="R228" s="52" t="s">
        <v>225</v>
      </c>
      <c r="S228" s="52" t="s">
        <v>102</v>
      </c>
      <c r="T228" s="144"/>
      <c r="U228" s="46"/>
    </row>
    <row r="229" spans="1:23">
      <c r="A229" s="187">
        <v>46339</v>
      </c>
      <c r="B229" s="48" t="s">
        <v>84</v>
      </c>
      <c r="C229" s="41" t="s">
        <v>258</v>
      </c>
      <c r="D229" s="80" t="s">
        <v>24</v>
      </c>
      <c r="E229" s="163" t="s">
        <v>25</v>
      </c>
      <c r="F229" s="52" t="s">
        <v>26</v>
      </c>
      <c r="G229" s="52" t="s">
        <v>96</v>
      </c>
      <c r="H229" s="144"/>
      <c r="I229" s="145"/>
      <c r="J229" s="80" t="s">
        <v>24</v>
      </c>
      <c r="K229" s="163" t="s">
        <v>25</v>
      </c>
      <c r="L229" s="52" t="s">
        <v>26</v>
      </c>
      <c r="M229" s="52" t="s">
        <v>96</v>
      </c>
      <c r="N229" s="144"/>
      <c r="O229" s="46"/>
      <c r="P229" s="80" t="s">
        <v>24</v>
      </c>
      <c r="Q229" s="163" t="s">
        <v>25</v>
      </c>
      <c r="R229" s="52" t="s">
        <v>26</v>
      </c>
      <c r="S229" s="52" t="s">
        <v>96</v>
      </c>
      <c r="T229" s="144"/>
      <c r="U229" s="46"/>
    </row>
    <row r="230" spans="1:23">
      <c r="A230" s="45">
        <v>46340</v>
      </c>
      <c r="B230" s="46" t="s">
        <v>85</v>
      </c>
      <c r="C230" s="55" t="s">
        <v>257</v>
      </c>
      <c r="D230" s="143"/>
      <c r="E230" s="144"/>
      <c r="F230" s="144"/>
      <c r="G230" s="144"/>
      <c r="H230" s="144"/>
      <c r="I230" s="145"/>
      <c r="J230" s="143"/>
      <c r="K230" s="144"/>
      <c r="L230" s="144"/>
      <c r="M230" s="144"/>
      <c r="N230" s="144"/>
      <c r="O230" s="46"/>
      <c r="P230" s="143"/>
      <c r="Q230" s="144"/>
      <c r="R230" s="144"/>
      <c r="S230" s="144"/>
      <c r="T230" s="144"/>
      <c r="U230" s="46"/>
    </row>
    <row r="231" spans="1:23">
      <c r="A231" s="45">
        <v>46341</v>
      </c>
      <c r="B231" s="46" t="s">
        <v>86</v>
      </c>
      <c r="C231" s="55" t="s">
        <v>257</v>
      </c>
      <c r="D231" s="143"/>
      <c r="E231" s="144"/>
      <c r="F231" s="144"/>
      <c r="G231" s="144"/>
      <c r="H231" s="144"/>
      <c r="I231" s="145"/>
      <c r="J231" s="143"/>
      <c r="K231" s="144"/>
      <c r="L231" s="144"/>
      <c r="M231" s="144"/>
      <c r="N231" s="144"/>
      <c r="O231" s="46"/>
      <c r="P231" s="143"/>
      <c r="Q231" s="144"/>
      <c r="R231" s="144"/>
      <c r="S231" s="144"/>
      <c r="T231" s="144"/>
      <c r="U231" s="46"/>
    </row>
    <row r="232" spans="1:23" s="47" customFormat="1">
      <c r="A232" s="187">
        <v>46342</v>
      </c>
      <c r="B232" s="77" t="s">
        <v>80</v>
      </c>
      <c r="C232" s="78" t="s">
        <v>258</v>
      </c>
      <c r="D232" s="80" t="s">
        <v>0</v>
      </c>
      <c r="E232" s="52" t="s">
        <v>1</v>
      </c>
      <c r="F232" s="52" t="s">
        <v>2</v>
      </c>
      <c r="G232" s="168" t="s">
        <v>88</v>
      </c>
      <c r="H232" s="144"/>
      <c r="I232" s="145"/>
      <c r="J232" s="80" t="s">
        <v>0</v>
      </c>
      <c r="K232" s="52" t="s">
        <v>1</v>
      </c>
      <c r="L232" s="52" t="s">
        <v>2</v>
      </c>
      <c r="M232" s="168" t="s">
        <v>88</v>
      </c>
      <c r="N232" s="144"/>
      <c r="O232" s="46"/>
      <c r="P232" s="80" t="s">
        <v>0</v>
      </c>
      <c r="Q232" s="52" t="s">
        <v>1</v>
      </c>
      <c r="R232" s="52" t="s">
        <v>2</v>
      </c>
      <c r="S232" s="168" t="s">
        <v>88</v>
      </c>
      <c r="T232" s="144"/>
      <c r="U232" s="46"/>
      <c r="W232" s="47" t="s">
        <v>68</v>
      </c>
    </row>
    <row r="233" spans="1:23" s="221" customFormat="1">
      <c r="A233" s="215">
        <v>46343</v>
      </c>
      <c r="B233" s="216" t="s">
        <v>81</v>
      </c>
      <c r="C233" s="217" t="s">
        <v>259</v>
      </c>
      <c r="D233" s="218"/>
      <c r="E233" s="219"/>
      <c r="F233" s="219"/>
      <c r="G233" s="219"/>
      <c r="H233" s="219"/>
      <c r="I233" s="220"/>
      <c r="J233" s="218"/>
      <c r="K233" s="219"/>
      <c r="L233" s="219"/>
      <c r="M233" s="219"/>
      <c r="N233" s="219"/>
      <c r="O233" s="216"/>
      <c r="P233" s="218"/>
      <c r="Q233" s="219"/>
      <c r="R233" s="219"/>
      <c r="S233" s="219"/>
      <c r="T233" s="219"/>
      <c r="U233" s="216"/>
    </row>
    <row r="234" spans="1:23">
      <c r="A234" s="187">
        <v>46344</v>
      </c>
      <c r="B234" s="77" t="s">
        <v>82</v>
      </c>
      <c r="C234" s="78" t="s">
        <v>260</v>
      </c>
      <c r="D234" s="158"/>
      <c r="E234" s="159"/>
      <c r="F234" s="159"/>
      <c r="G234" s="144"/>
      <c r="H234" s="144"/>
      <c r="I234" s="145"/>
      <c r="J234" s="158"/>
      <c r="K234" s="159"/>
      <c r="L234" s="159"/>
      <c r="M234" s="144"/>
      <c r="N234" s="144"/>
      <c r="O234" s="46"/>
      <c r="P234" s="224"/>
      <c r="Q234" s="191"/>
      <c r="R234" s="191"/>
      <c r="S234" s="144"/>
      <c r="T234" s="144"/>
      <c r="U234" s="46"/>
    </row>
    <row r="235" spans="1:23">
      <c r="A235" s="187">
        <v>46345</v>
      </c>
      <c r="B235" s="77" t="s">
        <v>83</v>
      </c>
      <c r="C235" s="78" t="s">
        <v>261</v>
      </c>
      <c r="D235" s="158" t="s">
        <v>389</v>
      </c>
      <c r="E235" s="159" t="s">
        <v>19</v>
      </c>
      <c r="F235" s="159" t="s">
        <v>378</v>
      </c>
      <c r="G235" s="159" t="s">
        <v>102</v>
      </c>
      <c r="H235" s="159" t="s">
        <v>22</v>
      </c>
      <c r="I235" s="145"/>
      <c r="J235" s="158" t="s">
        <v>389</v>
      </c>
      <c r="K235" s="159" t="s">
        <v>19</v>
      </c>
      <c r="L235" s="159" t="s">
        <v>378</v>
      </c>
      <c r="M235" s="159" t="s">
        <v>102</v>
      </c>
      <c r="N235" s="159" t="s">
        <v>22</v>
      </c>
      <c r="O235" s="46"/>
      <c r="P235" s="158" t="s">
        <v>389</v>
      </c>
      <c r="Q235" s="159" t="s">
        <v>19</v>
      </c>
      <c r="R235" s="159" t="s">
        <v>378</v>
      </c>
      <c r="S235" s="159" t="s">
        <v>102</v>
      </c>
      <c r="T235" s="159" t="s">
        <v>22</v>
      </c>
      <c r="U235" s="46"/>
    </row>
    <row r="236" spans="1:23">
      <c r="A236" s="187">
        <v>46346</v>
      </c>
      <c r="B236" s="77" t="s">
        <v>84</v>
      </c>
      <c r="C236" s="78" t="s">
        <v>249</v>
      </c>
      <c r="D236" s="180" t="s">
        <v>387</v>
      </c>
      <c r="E236" s="306" t="s">
        <v>26</v>
      </c>
      <c r="F236" s="306" t="s">
        <v>96</v>
      </c>
      <c r="G236" s="306" t="s">
        <v>88</v>
      </c>
      <c r="H236" s="308" t="s">
        <v>401</v>
      </c>
      <c r="I236" s="307"/>
      <c r="J236" s="180" t="s">
        <v>387</v>
      </c>
      <c r="K236" s="306" t="s">
        <v>26</v>
      </c>
      <c r="L236" s="306" t="s">
        <v>96</v>
      </c>
      <c r="M236" s="306" t="s">
        <v>88</v>
      </c>
      <c r="N236" s="306" t="s">
        <v>5</v>
      </c>
      <c r="O236" s="77" t="s">
        <v>97</v>
      </c>
      <c r="P236" s="189" t="s">
        <v>354</v>
      </c>
      <c r="Q236" s="159"/>
      <c r="R236" s="159"/>
      <c r="S236" s="159"/>
      <c r="T236" s="159"/>
      <c r="U236" s="197" t="s">
        <v>97</v>
      </c>
    </row>
    <row r="237" spans="1:23">
      <c r="A237" s="45">
        <v>46347</v>
      </c>
      <c r="B237" s="46" t="s">
        <v>85</v>
      </c>
      <c r="C237" s="55" t="s">
        <v>241</v>
      </c>
      <c r="D237" s="143"/>
      <c r="E237" s="144"/>
      <c r="F237" s="144"/>
      <c r="G237" s="144"/>
      <c r="H237" s="144"/>
      <c r="I237" s="145"/>
      <c r="J237" s="143"/>
      <c r="K237" s="144"/>
      <c r="L237" s="144"/>
      <c r="M237" s="144"/>
      <c r="N237" s="144"/>
      <c r="O237" s="46"/>
      <c r="P237" s="143"/>
      <c r="Q237" s="144"/>
      <c r="R237" s="144"/>
      <c r="S237" s="144"/>
      <c r="T237" s="144"/>
      <c r="U237" s="46"/>
    </row>
    <row r="238" spans="1:23">
      <c r="A238" s="45">
        <v>46348</v>
      </c>
      <c r="B238" s="46" t="s">
        <v>86</v>
      </c>
      <c r="C238" s="55" t="s">
        <v>241</v>
      </c>
      <c r="D238" s="143"/>
      <c r="E238" s="144"/>
      <c r="F238" s="144"/>
      <c r="G238" s="144"/>
      <c r="H238" s="144"/>
      <c r="I238" s="145"/>
      <c r="J238" s="143"/>
      <c r="K238" s="144"/>
      <c r="L238" s="144"/>
      <c r="M238" s="144"/>
      <c r="N238" s="144"/>
      <c r="O238" s="46"/>
      <c r="P238" s="143"/>
      <c r="Q238" s="144"/>
      <c r="R238" s="144"/>
      <c r="S238" s="144"/>
      <c r="T238" s="144"/>
      <c r="U238" s="46"/>
    </row>
    <row r="239" spans="1:23" s="47" customFormat="1">
      <c r="A239" s="45">
        <v>46349</v>
      </c>
      <c r="B239" s="46" t="s">
        <v>80</v>
      </c>
      <c r="C239" s="55" t="s">
        <v>262</v>
      </c>
      <c r="D239" s="143"/>
      <c r="E239" s="144"/>
      <c r="F239" s="144"/>
      <c r="G239" s="144"/>
      <c r="H239" s="144"/>
      <c r="I239" s="145"/>
      <c r="J239" s="143"/>
      <c r="K239" s="144"/>
      <c r="L239" s="144"/>
      <c r="M239" s="144"/>
      <c r="N239" s="144"/>
      <c r="O239" s="46"/>
      <c r="P239" s="143"/>
      <c r="Q239" s="144"/>
      <c r="R239" s="144"/>
      <c r="S239" s="144"/>
      <c r="T239" s="144"/>
      <c r="U239" s="46"/>
    </row>
    <row r="240" spans="1:23" s="47" customFormat="1">
      <c r="A240" s="187">
        <v>46350</v>
      </c>
      <c r="B240" s="48" t="s">
        <v>81</v>
      </c>
      <c r="C240" s="41" t="s">
        <v>263</v>
      </c>
      <c r="D240" s="81" t="s">
        <v>6</v>
      </c>
      <c r="E240" s="52" t="s">
        <v>92</v>
      </c>
      <c r="F240" s="52" t="s">
        <v>89</v>
      </c>
      <c r="G240" s="52" t="s">
        <v>90</v>
      </c>
      <c r="H240" s="52" t="s">
        <v>229</v>
      </c>
      <c r="I240" s="145"/>
      <c r="J240" s="81" t="s">
        <v>6</v>
      </c>
      <c r="K240" s="52" t="s">
        <v>92</v>
      </c>
      <c r="L240" s="52" t="s">
        <v>89</v>
      </c>
      <c r="M240" s="52" t="s">
        <v>90</v>
      </c>
      <c r="N240" s="52" t="s">
        <v>229</v>
      </c>
      <c r="O240" s="46"/>
      <c r="P240" s="81" t="s">
        <v>6</v>
      </c>
      <c r="Q240" s="52" t="s">
        <v>92</v>
      </c>
      <c r="R240" s="52" t="s">
        <v>89</v>
      </c>
      <c r="S240" s="52" t="s">
        <v>90</v>
      </c>
      <c r="T240" s="52" t="s">
        <v>229</v>
      </c>
      <c r="U240" s="46"/>
    </row>
    <row r="241" spans="1:25">
      <c r="A241" s="187">
        <v>46351</v>
      </c>
      <c r="B241" s="48" t="s">
        <v>82</v>
      </c>
      <c r="C241" s="41" t="s">
        <v>264</v>
      </c>
      <c r="D241" s="179" t="s">
        <v>393</v>
      </c>
      <c r="E241" s="159" t="s">
        <v>43</v>
      </c>
      <c r="F241" s="159" t="s">
        <v>44</v>
      </c>
      <c r="G241" s="159" t="s">
        <v>45</v>
      </c>
      <c r="H241" s="159" t="s">
        <v>46</v>
      </c>
      <c r="I241" s="178" t="s">
        <v>11</v>
      </c>
      <c r="J241" s="179" t="s">
        <v>393</v>
      </c>
      <c r="K241" s="159" t="s">
        <v>43</v>
      </c>
      <c r="L241" s="159" t="s">
        <v>44</v>
      </c>
      <c r="M241" s="159" t="s">
        <v>45</v>
      </c>
      <c r="N241" s="159" t="s">
        <v>46</v>
      </c>
      <c r="O241" s="199" t="s">
        <v>11</v>
      </c>
      <c r="P241" s="179" t="s">
        <v>393</v>
      </c>
      <c r="Q241" s="159" t="s">
        <v>43</v>
      </c>
      <c r="R241" s="159" t="s">
        <v>44</v>
      </c>
      <c r="S241" s="159" t="s">
        <v>45</v>
      </c>
      <c r="T241" s="159" t="s">
        <v>46</v>
      </c>
      <c r="U241" s="199" t="s">
        <v>11</v>
      </c>
    </row>
    <row r="242" spans="1:25">
      <c r="A242" s="187">
        <v>46352</v>
      </c>
      <c r="B242" s="48" t="s">
        <v>83</v>
      </c>
      <c r="C242" s="41" t="s">
        <v>265</v>
      </c>
      <c r="D242" s="179" t="s">
        <v>24</v>
      </c>
      <c r="E242" s="178" t="s">
        <v>25</v>
      </c>
      <c r="F242" s="168" t="s">
        <v>26</v>
      </c>
      <c r="G242" s="168" t="s">
        <v>96</v>
      </c>
      <c r="H242" s="168" t="s">
        <v>88</v>
      </c>
      <c r="I242" s="145"/>
      <c r="J242" s="179" t="s">
        <v>24</v>
      </c>
      <c r="K242" s="178" t="s">
        <v>25</v>
      </c>
      <c r="L242" s="168" t="s">
        <v>26</v>
      </c>
      <c r="M242" s="168" t="s">
        <v>96</v>
      </c>
      <c r="N242" s="168" t="s">
        <v>88</v>
      </c>
      <c r="O242" s="46"/>
      <c r="P242" s="179" t="s">
        <v>24</v>
      </c>
      <c r="Q242" s="178" t="s">
        <v>25</v>
      </c>
      <c r="R242" s="168" t="s">
        <v>26</v>
      </c>
      <c r="S242" s="168" t="s">
        <v>96</v>
      </c>
      <c r="T242" s="168" t="s">
        <v>88</v>
      </c>
      <c r="U242" s="46"/>
    </row>
    <row r="243" spans="1:25">
      <c r="A243" s="45">
        <v>46353</v>
      </c>
      <c r="B243" s="46" t="s">
        <v>84</v>
      </c>
      <c r="C243" s="55" t="s">
        <v>266</v>
      </c>
      <c r="D243" s="143"/>
      <c r="E243" s="144"/>
      <c r="F243" s="144"/>
      <c r="G243" s="144"/>
      <c r="H243" s="144"/>
      <c r="I243" s="145"/>
      <c r="J243" s="143"/>
      <c r="K243" s="144"/>
      <c r="L243" s="144"/>
      <c r="M243" s="144"/>
      <c r="N243" s="144"/>
      <c r="O243" s="46"/>
      <c r="P243" s="143"/>
      <c r="Q243" s="144"/>
      <c r="R243" s="144"/>
      <c r="S243" s="144"/>
      <c r="T243" s="144"/>
      <c r="U243" s="46"/>
    </row>
    <row r="244" spans="1:25">
      <c r="A244" s="45">
        <v>46354</v>
      </c>
      <c r="B244" s="46" t="s">
        <v>85</v>
      </c>
      <c r="C244" s="55" t="s">
        <v>241</v>
      </c>
      <c r="D244" s="143"/>
      <c r="E244" s="144"/>
      <c r="F244" s="144"/>
      <c r="G244" s="144"/>
      <c r="H244" s="144"/>
      <c r="I244" s="145"/>
      <c r="J244" s="143"/>
      <c r="K244" s="144"/>
      <c r="L244" s="144"/>
      <c r="M244" s="144"/>
      <c r="N244" s="144"/>
      <c r="O244" s="46"/>
      <c r="P244" s="143"/>
      <c r="Q244" s="144"/>
      <c r="R244" s="144"/>
      <c r="S244" s="144"/>
      <c r="T244" s="144"/>
      <c r="U244" s="46"/>
    </row>
    <row r="245" spans="1:25">
      <c r="A245" s="45">
        <v>46355</v>
      </c>
      <c r="B245" s="46" t="s">
        <v>86</v>
      </c>
      <c r="C245" s="55" t="s">
        <v>241</v>
      </c>
      <c r="D245" s="143"/>
      <c r="E245" s="144"/>
      <c r="F245" s="144"/>
      <c r="G245" s="144"/>
      <c r="H245" s="144"/>
      <c r="I245" s="145"/>
      <c r="J245" s="143"/>
      <c r="K245" s="144"/>
      <c r="L245" s="144"/>
      <c r="M245" s="144"/>
      <c r="N245" s="144"/>
      <c r="O245" s="46"/>
      <c r="P245" s="143"/>
      <c r="Q245" s="144"/>
      <c r="R245" s="144"/>
      <c r="S245" s="144"/>
      <c r="T245" s="144"/>
      <c r="U245" s="46"/>
    </row>
    <row r="246" spans="1:25" s="47" customFormat="1" ht="18" thickBot="1">
      <c r="A246" s="244">
        <v>46356</v>
      </c>
      <c r="B246" s="266" t="s">
        <v>80</v>
      </c>
      <c r="C246" s="267" t="s">
        <v>267</v>
      </c>
      <c r="D246" s="233" t="s">
        <v>0</v>
      </c>
      <c r="E246" s="234" t="s">
        <v>1</v>
      </c>
      <c r="F246" s="234" t="s">
        <v>2</v>
      </c>
      <c r="G246" s="234" t="s">
        <v>3</v>
      </c>
      <c r="H246" s="234" t="s">
        <v>4</v>
      </c>
      <c r="I246" s="268" t="s">
        <v>5</v>
      </c>
      <c r="J246" s="233" t="s">
        <v>0</v>
      </c>
      <c r="K246" s="234" t="s">
        <v>1</v>
      </c>
      <c r="L246" s="234" t="s">
        <v>2</v>
      </c>
      <c r="M246" s="234" t="s">
        <v>3</v>
      </c>
      <c r="N246" s="234" t="s">
        <v>4</v>
      </c>
      <c r="O246" s="284" t="s">
        <v>5</v>
      </c>
      <c r="P246" s="233" t="s">
        <v>0</v>
      </c>
      <c r="Q246" s="234" t="s">
        <v>1</v>
      </c>
      <c r="R246" s="234" t="s">
        <v>2</v>
      </c>
      <c r="S246" s="234" t="s">
        <v>3</v>
      </c>
      <c r="T246" s="234" t="s">
        <v>4</v>
      </c>
      <c r="U246" s="284" t="s">
        <v>5</v>
      </c>
    </row>
    <row r="247" spans="1:25" s="47" customFormat="1">
      <c r="A247" s="245">
        <v>46357</v>
      </c>
      <c r="B247" s="257" t="s">
        <v>81</v>
      </c>
      <c r="C247" s="258" t="s">
        <v>111</v>
      </c>
      <c r="D247" s="269" t="s">
        <v>36</v>
      </c>
      <c r="E247" s="260" t="s">
        <v>92</v>
      </c>
      <c r="F247" s="260" t="s">
        <v>89</v>
      </c>
      <c r="G247" s="260" t="s">
        <v>90</v>
      </c>
      <c r="H247" s="260" t="s">
        <v>229</v>
      </c>
      <c r="I247" s="270" t="s">
        <v>11</v>
      </c>
      <c r="J247" s="269" t="s">
        <v>36</v>
      </c>
      <c r="K247" s="260" t="s">
        <v>92</v>
      </c>
      <c r="L247" s="260" t="s">
        <v>89</v>
      </c>
      <c r="M247" s="260" t="s">
        <v>90</v>
      </c>
      <c r="N247" s="260" t="s">
        <v>229</v>
      </c>
      <c r="O247" s="271" t="s">
        <v>11</v>
      </c>
      <c r="P247" s="269" t="s">
        <v>36</v>
      </c>
      <c r="Q247" s="260" t="s">
        <v>92</v>
      </c>
      <c r="R247" s="260" t="s">
        <v>89</v>
      </c>
      <c r="S247" s="260" t="s">
        <v>90</v>
      </c>
      <c r="T247" s="260" t="s">
        <v>229</v>
      </c>
      <c r="U247" s="271" t="s">
        <v>11</v>
      </c>
    </row>
    <row r="248" spans="1:25">
      <c r="A248" s="187">
        <v>46358</v>
      </c>
      <c r="B248" s="48" t="s">
        <v>82</v>
      </c>
      <c r="C248" s="41" t="s">
        <v>268</v>
      </c>
      <c r="D248" s="158" t="s">
        <v>12</v>
      </c>
      <c r="E248" s="168" t="s">
        <v>99</v>
      </c>
      <c r="F248" s="168" t="s">
        <v>100</v>
      </c>
      <c r="G248" s="168" t="s">
        <v>101</v>
      </c>
      <c r="H248" s="144"/>
      <c r="I248" s="145"/>
      <c r="J248" s="158" t="s">
        <v>12</v>
      </c>
      <c r="K248" s="168" t="s">
        <v>99</v>
      </c>
      <c r="L248" s="168" t="s">
        <v>100</v>
      </c>
      <c r="M248" s="168" t="s">
        <v>101</v>
      </c>
      <c r="N248" s="144"/>
      <c r="O248" s="46"/>
      <c r="P248" s="158" t="s">
        <v>12</v>
      </c>
      <c r="Q248" s="168" t="s">
        <v>99</v>
      </c>
      <c r="R248" s="168" t="s">
        <v>100</v>
      </c>
      <c r="S248" s="168" t="s">
        <v>101</v>
      </c>
      <c r="T248" s="144"/>
      <c r="U248" s="46"/>
    </row>
    <row r="249" spans="1:25">
      <c r="A249" s="187">
        <v>46359</v>
      </c>
      <c r="B249" s="48" t="s">
        <v>83</v>
      </c>
      <c r="C249" s="41" t="s">
        <v>269</v>
      </c>
      <c r="D249" s="158" t="s">
        <v>18</v>
      </c>
      <c r="E249" s="159" t="s">
        <v>19</v>
      </c>
      <c r="F249" s="159" t="s">
        <v>225</v>
      </c>
      <c r="G249" s="219" t="s">
        <v>222</v>
      </c>
      <c r="H249" s="144"/>
      <c r="I249" s="145"/>
      <c r="J249" s="158" t="s">
        <v>18</v>
      </c>
      <c r="K249" s="159" t="s">
        <v>19</v>
      </c>
      <c r="L249" s="159" t="s">
        <v>225</v>
      </c>
      <c r="M249" s="219" t="s">
        <v>222</v>
      </c>
      <c r="N249" s="144"/>
      <c r="O249" s="46"/>
      <c r="P249" s="158" t="s">
        <v>18</v>
      </c>
      <c r="Q249" s="159" t="s">
        <v>19</v>
      </c>
      <c r="R249" s="159" t="s">
        <v>225</v>
      </c>
      <c r="S249" s="219" t="s">
        <v>222</v>
      </c>
      <c r="T249" s="144"/>
      <c r="U249" s="46"/>
    </row>
    <row r="250" spans="1:25">
      <c r="A250" s="187">
        <v>46360</v>
      </c>
      <c r="B250" s="48" t="s">
        <v>84</v>
      </c>
      <c r="C250" s="41" t="s">
        <v>270</v>
      </c>
      <c r="D250" s="80" t="s">
        <v>24</v>
      </c>
      <c r="E250" s="163" t="s">
        <v>25</v>
      </c>
      <c r="F250" s="52" t="s">
        <v>26</v>
      </c>
      <c r="G250" s="168" t="s">
        <v>97</v>
      </c>
      <c r="H250" s="144"/>
      <c r="I250" s="145"/>
      <c r="J250" s="80" t="s">
        <v>24</v>
      </c>
      <c r="K250" s="163" t="s">
        <v>25</v>
      </c>
      <c r="L250" s="52" t="s">
        <v>26</v>
      </c>
      <c r="M250" s="168" t="s">
        <v>97</v>
      </c>
      <c r="N250" s="144"/>
      <c r="O250" s="46"/>
      <c r="P250" s="80" t="s">
        <v>24</v>
      </c>
      <c r="Q250" s="163" t="s">
        <v>25</v>
      </c>
      <c r="R250" s="52" t="s">
        <v>26</v>
      </c>
      <c r="S250" s="168" t="s">
        <v>97</v>
      </c>
      <c r="T250" s="144"/>
      <c r="U250" s="46"/>
    </row>
    <row r="251" spans="1:25">
      <c r="A251" s="45">
        <v>46361</v>
      </c>
      <c r="B251" s="46" t="s">
        <v>85</v>
      </c>
      <c r="C251" s="55" t="s">
        <v>241</v>
      </c>
      <c r="D251" s="143"/>
      <c r="E251" s="144"/>
      <c r="F251" s="144"/>
      <c r="G251" s="144"/>
      <c r="H251" s="144"/>
      <c r="I251" s="145"/>
      <c r="J251" s="143"/>
      <c r="K251" s="144"/>
      <c r="L251" s="144"/>
      <c r="M251" s="144"/>
      <c r="N251" s="144"/>
      <c r="O251" s="46"/>
      <c r="P251" s="143"/>
      <c r="Q251" s="144"/>
      <c r="R251" s="144"/>
      <c r="S251" s="144"/>
      <c r="T251" s="144"/>
      <c r="U251" s="46"/>
    </row>
    <row r="252" spans="1:25">
      <c r="A252" s="45">
        <v>46362</v>
      </c>
      <c r="B252" s="46" t="s">
        <v>86</v>
      </c>
      <c r="C252" s="55" t="s">
        <v>241</v>
      </c>
      <c r="D252" s="143"/>
      <c r="E252" s="144"/>
      <c r="F252" s="144"/>
      <c r="G252" s="144"/>
      <c r="H252" s="144"/>
      <c r="I252" s="145"/>
      <c r="J252" s="143"/>
      <c r="K252" s="144"/>
      <c r="L252" s="144"/>
      <c r="M252" s="144"/>
      <c r="N252" s="144"/>
      <c r="O252" s="46"/>
      <c r="P252" s="143"/>
      <c r="Q252" s="144"/>
      <c r="R252" s="144"/>
      <c r="S252" s="144"/>
      <c r="T252" s="144"/>
      <c r="U252" s="46"/>
    </row>
    <row r="253" spans="1:25" s="47" customFormat="1">
      <c r="A253" s="187">
        <v>46363</v>
      </c>
      <c r="B253" s="48" t="s">
        <v>80</v>
      </c>
      <c r="C253" s="41" t="s">
        <v>270</v>
      </c>
      <c r="D253" s="158" t="s">
        <v>0</v>
      </c>
      <c r="E253" s="168" t="s">
        <v>2</v>
      </c>
      <c r="F253" s="168" t="s">
        <v>3</v>
      </c>
      <c r="G253" s="168" t="s">
        <v>4</v>
      </c>
      <c r="H253" s="144"/>
      <c r="I253" s="145"/>
      <c r="J253" s="158" t="s">
        <v>0</v>
      </c>
      <c r="K253" s="168" t="s">
        <v>2</v>
      </c>
      <c r="L253" s="168" t="s">
        <v>3</v>
      </c>
      <c r="M253" s="168" t="s">
        <v>4</v>
      </c>
      <c r="N253" s="144"/>
      <c r="O253" s="46"/>
      <c r="P253" s="158" t="s">
        <v>0</v>
      </c>
      <c r="Q253" s="168" t="s">
        <v>2</v>
      </c>
      <c r="R253" s="168" t="s">
        <v>3</v>
      </c>
      <c r="S253" s="168" t="s">
        <v>4</v>
      </c>
      <c r="T253" s="144"/>
      <c r="U253" s="46"/>
    </row>
    <row r="254" spans="1:25" s="47" customFormat="1">
      <c r="A254" s="187">
        <v>46364</v>
      </c>
      <c r="B254" s="48" t="s">
        <v>81</v>
      </c>
      <c r="C254" s="41" t="s">
        <v>271</v>
      </c>
      <c r="D254" s="179" t="s">
        <v>75</v>
      </c>
      <c r="E254" s="168" t="s">
        <v>153</v>
      </c>
      <c r="F254" s="168" t="s">
        <v>154</v>
      </c>
      <c r="G254" s="168" t="s">
        <v>155</v>
      </c>
      <c r="H254" s="144"/>
      <c r="I254" s="145"/>
      <c r="J254" s="179" t="s">
        <v>75</v>
      </c>
      <c r="K254" s="168" t="s">
        <v>153</v>
      </c>
      <c r="L254" s="168" t="s">
        <v>154</v>
      </c>
      <c r="M254" s="168" t="s">
        <v>155</v>
      </c>
      <c r="N254" s="144"/>
      <c r="O254" s="46"/>
      <c r="P254" s="179" t="s">
        <v>75</v>
      </c>
      <c r="Q254" s="168" t="s">
        <v>153</v>
      </c>
      <c r="R254" s="168" t="s">
        <v>154</v>
      </c>
      <c r="S254" s="168" t="s">
        <v>155</v>
      </c>
      <c r="T254" s="144"/>
      <c r="U254" s="46"/>
      <c r="V254" s="232" t="s">
        <v>6</v>
      </c>
      <c r="W254" s="168" t="s">
        <v>154</v>
      </c>
      <c r="X254" s="168" t="s">
        <v>155</v>
      </c>
      <c r="Y254" s="168" t="s">
        <v>229</v>
      </c>
    </row>
    <row r="255" spans="1:25">
      <c r="A255" s="187">
        <v>46365</v>
      </c>
      <c r="B255" s="48" t="s">
        <v>82</v>
      </c>
      <c r="C255" s="41" t="s">
        <v>241</v>
      </c>
      <c r="D255" s="158" t="s">
        <v>42</v>
      </c>
      <c r="E255" s="159" t="s">
        <v>43</v>
      </c>
      <c r="F255" s="159" t="s">
        <v>44</v>
      </c>
      <c r="G255" s="159" t="s">
        <v>45</v>
      </c>
      <c r="H255" s="159" t="s">
        <v>46</v>
      </c>
      <c r="I255" s="178" t="s">
        <v>11</v>
      </c>
      <c r="J255" s="158" t="s">
        <v>42</v>
      </c>
      <c r="K255" s="159" t="s">
        <v>43</v>
      </c>
      <c r="L255" s="159" t="s">
        <v>44</v>
      </c>
      <c r="M255" s="159" t="s">
        <v>45</v>
      </c>
      <c r="N255" s="159" t="s">
        <v>46</v>
      </c>
      <c r="O255" s="199" t="s">
        <v>11</v>
      </c>
      <c r="P255" s="158" t="s">
        <v>42</v>
      </c>
      <c r="Q255" s="159" t="s">
        <v>43</v>
      </c>
      <c r="R255" s="159" t="s">
        <v>44</v>
      </c>
      <c r="S255" s="159" t="s">
        <v>45</v>
      </c>
      <c r="T255" s="159" t="s">
        <v>46</v>
      </c>
      <c r="U255" s="199" t="s">
        <v>11</v>
      </c>
    </row>
    <row r="256" spans="1:25">
      <c r="A256" s="187">
        <v>46366</v>
      </c>
      <c r="B256" s="48" t="s">
        <v>83</v>
      </c>
      <c r="C256" s="41" t="s">
        <v>272</v>
      </c>
      <c r="D256" s="81" t="s">
        <v>18</v>
      </c>
      <c r="E256" s="161" t="s">
        <v>19</v>
      </c>
      <c r="F256" s="52" t="s">
        <v>225</v>
      </c>
      <c r="G256" s="52" t="s">
        <v>102</v>
      </c>
      <c r="H256" s="159" t="s">
        <v>22</v>
      </c>
      <c r="I256" s="145"/>
      <c r="J256" s="81" t="s">
        <v>18</v>
      </c>
      <c r="K256" s="161" t="s">
        <v>19</v>
      </c>
      <c r="L256" s="52" t="s">
        <v>225</v>
      </c>
      <c r="M256" s="52" t="s">
        <v>102</v>
      </c>
      <c r="N256" s="159" t="s">
        <v>22</v>
      </c>
      <c r="O256" s="46"/>
      <c r="P256" s="81" t="s">
        <v>18</v>
      </c>
      <c r="Q256" s="161" t="s">
        <v>19</v>
      </c>
      <c r="R256" s="52" t="s">
        <v>225</v>
      </c>
      <c r="S256" s="52" t="s">
        <v>102</v>
      </c>
      <c r="T256" s="159" t="s">
        <v>22</v>
      </c>
      <c r="U256" s="46"/>
    </row>
    <row r="257" spans="1:42">
      <c r="A257" s="187">
        <v>46367</v>
      </c>
      <c r="B257" s="48" t="s">
        <v>84</v>
      </c>
      <c r="C257" s="41" t="s">
        <v>273</v>
      </c>
      <c r="D257" s="179" t="s">
        <v>393</v>
      </c>
      <c r="E257" s="159" t="s">
        <v>25</v>
      </c>
      <c r="F257" s="159" t="s">
        <v>388</v>
      </c>
      <c r="G257" s="159" t="s">
        <v>96</v>
      </c>
      <c r="H257" s="159" t="s">
        <v>88</v>
      </c>
      <c r="I257" s="145"/>
      <c r="J257" s="179" t="s">
        <v>393</v>
      </c>
      <c r="K257" s="159" t="s">
        <v>25</v>
      </c>
      <c r="L257" s="159" t="s">
        <v>388</v>
      </c>
      <c r="M257" s="159" t="s">
        <v>96</v>
      </c>
      <c r="N257" s="159" t="s">
        <v>88</v>
      </c>
      <c r="O257" s="46"/>
      <c r="P257" s="179" t="s">
        <v>393</v>
      </c>
      <c r="Q257" s="159" t="s">
        <v>25</v>
      </c>
      <c r="R257" s="159" t="s">
        <v>388</v>
      </c>
      <c r="S257" s="159" t="s">
        <v>96</v>
      </c>
      <c r="T257" s="159" t="s">
        <v>88</v>
      </c>
      <c r="U257" s="46"/>
    </row>
    <row r="258" spans="1:42">
      <c r="A258" s="45">
        <v>46368</v>
      </c>
      <c r="B258" s="46" t="s">
        <v>85</v>
      </c>
      <c r="C258" s="55" t="s">
        <v>274</v>
      </c>
      <c r="D258" s="143"/>
      <c r="E258" s="144"/>
      <c r="F258" s="144"/>
      <c r="G258" s="144"/>
      <c r="H258" s="144"/>
      <c r="I258" s="145"/>
      <c r="J258" s="143"/>
      <c r="K258" s="144"/>
      <c r="L258" s="144"/>
      <c r="M258" s="144"/>
      <c r="N258" s="144"/>
      <c r="O258" s="46"/>
      <c r="P258" s="143"/>
      <c r="Q258" s="144"/>
      <c r="R258" s="144"/>
      <c r="S258" s="144"/>
      <c r="T258" s="144"/>
      <c r="U258" s="46"/>
    </row>
    <row r="259" spans="1:42">
      <c r="A259" s="45">
        <v>46369</v>
      </c>
      <c r="B259" s="46" t="s">
        <v>86</v>
      </c>
      <c r="C259" s="55" t="s">
        <v>241</v>
      </c>
      <c r="D259" s="143"/>
      <c r="E259" s="144"/>
      <c r="F259" s="144"/>
      <c r="G259" s="144"/>
      <c r="H259" s="144"/>
      <c r="I259" s="145"/>
      <c r="J259" s="143"/>
      <c r="K259" s="144"/>
      <c r="L259" s="144"/>
      <c r="M259" s="144"/>
      <c r="N259" s="144"/>
      <c r="O259" s="46"/>
      <c r="P259" s="143"/>
      <c r="Q259" s="144"/>
      <c r="R259" s="144"/>
      <c r="S259" s="144"/>
      <c r="T259" s="144"/>
      <c r="U259" s="46"/>
    </row>
    <row r="260" spans="1:42" s="47" customFormat="1">
      <c r="A260" s="187">
        <v>46370</v>
      </c>
      <c r="B260" s="48" t="s">
        <v>80</v>
      </c>
      <c r="C260" s="41" t="s">
        <v>241</v>
      </c>
      <c r="D260" s="80" t="s">
        <v>0</v>
      </c>
      <c r="E260" s="52" t="s">
        <v>1</v>
      </c>
      <c r="F260" s="52" t="s">
        <v>2</v>
      </c>
      <c r="G260" s="52" t="s">
        <v>3</v>
      </c>
      <c r="H260" s="308" t="s">
        <v>400</v>
      </c>
      <c r="I260" s="307"/>
      <c r="J260" s="80" t="s">
        <v>0</v>
      </c>
      <c r="K260" s="52" t="s">
        <v>1</v>
      </c>
      <c r="L260" s="52" t="s">
        <v>2</v>
      </c>
      <c r="M260" s="52" t="s">
        <v>3</v>
      </c>
      <c r="N260" s="306" t="s">
        <v>16</v>
      </c>
      <c r="O260" s="77" t="s">
        <v>5</v>
      </c>
      <c r="P260" s="80" t="s">
        <v>0</v>
      </c>
      <c r="Q260" s="52" t="s">
        <v>1</v>
      </c>
      <c r="R260" s="52" t="s">
        <v>2</v>
      </c>
      <c r="S260" s="52" t="s">
        <v>3</v>
      </c>
      <c r="T260" s="306" t="s">
        <v>16</v>
      </c>
      <c r="U260" s="77" t="s">
        <v>5</v>
      </c>
    </row>
    <row r="261" spans="1:42" s="47" customFormat="1">
      <c r="A261" s="187">
        <v>46371</v>
      </c>
      <c r="B261" s="48" t="s">
        <v>81</v>
      </c>
      <c r="C261" s="41" t="s">
        <v>241</v>
      </c>
      <c r="D261" s="80" t="s">
        <v>36</v>
      </c>
      <c r="E261" s="52" t="s">
        <v>92</v>
      </c>
      <c r="F261" s="52" t="s">
        <v>89</v>
      </c>
      <c r="G261" s="52" t="s">
        <v>90</v>
      </c>
      <c r="H261" s="52" t="s">
        <v>229</v>
      </c>
      <c r="I261" s="180" t="s">
        <v>11</v>
      </c>
      <c r="J261" s="80" t="s">
        <v>36</v>
      </c>
      <c r="K261" s="52" t="s">
        <v>92</v>
      </c>
      <c r="L261" s="52" t="s">
        <v>89</v>
      </c>
      <c r="M261" s="52" t="s">
        <v>90</v>
      </c>
      <c r="N261" s="52" t="s">
        <v>229</v>
      </c>
      <c r="O261" s="77" t="s">
        <v>11</v>
      </c>
      <c r="P261" s="80" t="s">
        <v>36</v>
      </c>
      <c r="Q261" s="52" t="s">
        <v>92</v>
      </c>
      <c r="R261" s="52" t="s">
        <v>89</v>
      </c>
      <c r="S261" s="52" t="s">
        <v>90</v>
      </c>
      <c r="T261" s="52" t="s">
        <v>229</v>
      </c>
      <c r="U261" s="77" t="s">
        <v>11</v>
      </c>
    </row>
    <row r="262" spans="1:42">
      <c r="A262" s="187">
        <v>46372</v>
      </c>
      <c r="B262" s="48" t="s">
        <v>82</v>
      </c>
      <c r="C262" s="41" t="s">
        <v>241</v>
      </c>
      <c r="D262" s="158" t="s">
        <v>42</v>
      </c>
      <c r="E262" s="159" t="s">
        <v>43</v>
      </c>
      <c r="F262" s="159" t="s">
        <v>44</v>
      </c>
      <c r="G262" s="159" t="s">
        <v>45</v>
      </c>
      <c r="H262" s="306" t="s">
        <v>4</v>
      </c>
      <c r="I262" s="163" t="s">
        <v>75</v>
      </c>
      <c r="J262" s="158" t="s">
        <v>42</v>
      </c>
      <c r="K262" s="159" t="s">
        <v>43</v>
      </c>
      <c r="L262" s="159" t="s">
        <v>44</v>
      </c>
      <c r="M262" s="159" t="s">
        <v>45</v>
      </c>
      <c r="N262" s="306" t="s">
        <v>4</v>
      </c>
      <c r="O262" s="48" t="s">
        <v>75</v>
      </c>
      <c r="P262" s="158" t="s">
        <v>42</v>
      </c>
      <c r="Q262" s="159" t="s">
        <v>43</v>
      </c>
      <c r="R262" s="159" t="s">
        <v>44</v>
      </c>
      <c r="S262" s="159" t="s">
        <v>45</v>
      </c>
      <c r="T262" s="306" t="s">
        <v>4</v>
      </c>
      <c r="U262" s="48" t="s">
        <v>75</v>
      </c>
    </row>
    <row r="263" spans="1:42">
      <c r="A263" s="187">
        <v>46373</v>
      </c>
      <c r="B263" s="48" t="s">
        <v>83</v>
      </c>
      <c r="C263" s="41" t="s">
        <v>275</v>
      </c>
      <c r="D263" s="81" t="s">
        <v>18</v>
      </c>
      <c r="E263" s="161" t="s">
        <v>19</v>
      </c>
      <c r="F263" s="52" t="s">
        <v>225</v>
      </c>
      <c r="G263" s="52" t="s">
        <v>102</v>
      </c>
      <c r="H263" s="159" t="s">
        <v>22</v>
      </c>
      <c r="I263" s="145"/>
      <c r="J263" s="81" t="s">
        <v>18</v>
      </c>
      <c r="K263" s="161" t="s">
        <v>19</v>
      </c>
      <c r="L263" s="52" t="s">
        <v>225</v>
      </c>
      <c r="M263" s="52" t="s">
        <v>102</v>
      </c>
      <c r="N263" s="159" t="s">
        <v>22</v>
      </c>
      <c r="O263" s="46"/>
      <c r="P263" s="81" t="s">
        <v>18</v>
      </c>
      <c r="Q263" s="161" t="s">
        <v>19</v>
      </c>
      <c r="R263" s="52" t="s">
        <v>225</v>
      </c>
      <c r="S263" s="52" t="s">
        <v>102</v>
      </c>
      <c r="T263" s="159" t="s">
        <v>22</v>
      </c>
      <c r="U263" s="46"/>
    </row>
    <row r="264" spans="1:42">
      <c r="A264" s="187">
        <v>46374</v>
      </c>
      <c r="B264" s="48" t="s">
        <v>84</v>
      </c>
      <c r="C264" s="41" t="s">
        <v>241</v>
      </c>
      <c r="D264" s="80" t="s">
        <v>24</v>
      </c>
      <c r="E264" s="163" t="s">
        <v>25</v>
      </c>
      <c r="F264" s="168" t="s">
        <v>96</v>
      </c>
      <c r="G264" s="168" t="s">
        <v>88</v>
      </c>
      <c r="H264" s="168" t="s">
        <v>97</v>
      </c>
      <c r="I264" s="145"/>
      <c r="J264" s="80" t="s">
        <v>24</v>
      </c>
      <c r="K264" s="163" t="s">
        <v>25</v>
      </c>
      <c r="L264" s="168" t="s">
        <v>96</v>
      </c>
      <c r="M264" s="168" t="s">
        <v>88</v>
      </c>
      <c r="N264" s="168" t="s">
        <v>97</v>
      </c>
      <c r="O264" s="46"/>
      <c r="P264" s="80" t="s">
        <v>24</v>
      </c>
      <c r="Q264" s="163" t="s">
        <v>25</v>
      </c>
      <c r="R264" s="168" t="s">
        <v>96</v>
      </c>
      <c r="S264" s="168" t="s">
        <v>88</v>
      </c>
      <c r="T264" s="168" t="s">
        <v>97</v>
      </c>
      <c r="U264" s="46"/>
    </row>
    <row r="265" spans="1:42">
      <c r="A265" s="45">
        <v>46375</v>
      </c>
      <c r="B265" s="46" t="s">
        <v>85</v>
      </c>
      <c r="C265" s="55" t="s">
        <v>241</v>
      </c>
      <c r="D265" s="143"/>
      <c r="E265" s="144"/>
      <c r="F265" s="144"/>
      <c r="G265" s="144"/>
      <c r="H265" s="144"/>
      <c r="I265" s="145"/>
      <c r="J265" s="143"/>
      <c r="K265" s="144"/>
      <c r="L265" s="144"/>
      <c r="M265" s="144"/>
      <c r="N265" s="144"/>
      <c r="O265" s="46"/>
      <c r="P265" s="143"/>
      <c r="Q265" s="144"/>
      <c r="R265" s="144"/>
      <c r="S265" s="144"/>
      <c r="T265" s="144"/>
      <c r="U265" s="46"/>
    </row>
    <row r="266" spans="1:42">
      <c r="A266" s="45">
        <v>46376</v>
      </c>
      <c r="B266" s="46" t="s">
        <v>86</v>
      </c>
      <c r="C266" s="55" t="s">
        <v>248</v>
      </c>
      <c r="D266" s="143"/>
      <c r="E266" s="144"/>
      <c r="F266" s="144"/>
      <c r="G266" s="144"/>
      <c r="H266" s="144"/>
      <c r="I266" s="145"/>
      <c r="J266" s="143"/>
      <c r="K266" s="144"/>
      <c r="L266" s="144"/>
      <c r="M266" s="144"/>
      <c r="N266" s="144"/>
      <c r="O266" s="46"/>
      <c r="P266" s="143"/>
      <c r="Q266" s="144"/>
      <c r="R266" s="144"/>
      <c r="S266" s="144"/>
      <c r="T266" s="144"/>
      <c r="U266" s="46"/>
    </row>
    <row r="267" spans="1:42" s="47" customFormat="1">
      <c r="A267" s="187">
        <v>46377</v>
      </c>
      <c r="B267" s="77" t="s">
        <v>80</v>
      </c>
      <c r="C267" s="78" t="s">
        <v>241</v>
      </c>
      <c r="D267" s="80" t="s">
        <v>0</v>
      </c>
      <c r="E267" s="52" t="s">
        <v>1</v>
      </c>
      <c r="F267" s="52" t="s">
        <v>2</v>
      </c>
      <c r="G267" s="52" t="s">
        <v>3</v>
      </c>
      <c r="H267" s="52" t="s">
        <v>4</v>
      </c>
      <c r="I267" s="180" t="s">
        <v>5</v>
      </c>
      <c r="J267" s="80" t="s">
        <v>0</v>
      </c>
      <c r="K267" s="52" t="s">
        <v>1</v>
      </c>
      <c r="L267" s="52" t="s">
        <v>2</v>
      </c>
      <c r="M267" s="52" t="s">
        <v>3</v>
      </c>
      <c r="N267" s="52" t="s">
        <v>4</v>
      </c>
      <c r="O267" s="77" t="s">
        <v>5</v>
      </c>
      <c r="P267" s="80" t="s">
        <v>0</v>
      </c>
      <c r="Q267" s="52" t="s">
        <v>1</v>
      </c>
      <c r="R267" s="52" t="s">
        <v>2</v>
      </c>
      <c r="S267" s="52" t="s">
        <v>3</v>
      </c>
      <c r="T267" s="52" t="s">
        <v>4</v>
      </c>
      <c r="U267" s="77" t="s">
        <v>5</v>
      </c>
    </row>
    <row r="268" spans="1:42" s="47" customFormat="1">
      <c r="A268" s="187">
        <v>46378</v>
      </c>
      <c r="B268" s="77" t="s">
        <v>81</v>
      </c>
      <c r="C268" s="78" t="s">
        <v>276</v>
      </c>
      <c r="D268" s="179" t="s">
        <v>155</v>
      </c>
      <c r="E268" s="168" t="s">
        <v>229</v>
      </c>
      <c r="F268" s="159" t="s">
        <v>76</v>
      </c>
      <c r="G268" s="159" t="s">
        <v>75</v>
      </c>
      <c r="H268" s="159" t="s">
        <v>357</v>
      </c>
      <c r="I268" s="145"/>
      <c r="J268" s="179" t="s">
        <v>155</v>
      </c>
      <c r="K268" s="168" t="s">
        <v>229</v>
      </c>
      <c r="L268" s="159" t="s">
        <v>75</v>
      </c>
      <c r="M268" s="159" t="s">
        <v>76</v>
      </c>
      <c r="N268" s="159" t="s">
        <v>357</v>
      </c>
      <c r="O268" s="46"/>
      <c r="P268" s="179" t="s">
        <v>155</v>
      </c>
      <c r="Q268" s="168" t="s">
        <v>229</v>
      </c>
      <c r="R268" s="159" t="s">
        <v>76</v>
      </c>
      <c r="S268" s="159" t="s">
        <v>75</v>
      </c>
      <c r="T268" s="159" t="s">
        <v>357</v>
      </c>
      <c r="U268" s="46"/>
    </row>
    <row r="269" spans="1:42">
      <c r="A269" s="187">
        <v>46379</v>
      </c>
      <c r="B269" s="77" t="s">
        <v>82</v>
      </c>
      <c r="C269" s="78" t="s">
        <v>277</v>
      </c>
      <c r="D269" s="158" t="s">
        <v>74</v>
      </c>
      <c r="E269" s="159" t="s">
        <v>75</v>
      </c>
      <c r="F269" s="144"/>
      <c r="G269" s="144"/>
      <c r="H269" s="144"/>
      <c r="I269" s="145"/>
      <c r="J269" s="158" t="s">
        <v>74</v>
      </c>
      <c r="K269" s="159" t="s">
        <v>75</v>
      </c>
      <c r="L269" s="144"/>
      <c r="M269" s="144"/>
      <c r="N269" s="144"/>
      <c r="O269" s="46"/>
      <c r="P269" s="158" t="s">
        <v>74</v>
      </c>
      <c r="Q269" s="159" t="s">
        <v>75</v>
      </c>
      <c r="R269" s="144"/>
      <c r="S269" s="144"/>
      <c r="T269" s="144"/>
      <c r="U269" s="46"/>
      <c r="Y269" s="44" t="s">
        <v>0</v>
      </c>
      <c r="Z269" s="44" t="s">
        <v>1</v>
      </c>
      <c r="AA269" s="44" t="s">
        <v>2</v>
      </c>
      <c r="AB269" s="44" t="s">
        <v>3</v>
      </c>
      <c r="AC269" s="44" t="s">
        <v>4</v>
      </c>
      <c r="AD269" s="44" t="s">
        <v>5</v>
      </c>
      <c r="AE269" s="44" t="s">
        <v>0</v>
      </c>
      <c r="AF269" s="44" t="s">
        <v>1</v>
      </c>
      <c r="AG269" s="44" t="s">
        <v>2</v>
      </c>
      <c r="AH269" s="44" t="s">
        <v>3</v>
      </c>
      <c r="AI269" s="44" t="s">
        <v>4</v>
      </c>
      <c r="AJ269" s="44" t="s">
        <v>5</v>
      </c>
      <c r="AK269" s="44" t="s">
        <v>0</v>
      </c>
      <c r="AL269" s="44" t="s">
        <v>1</v>
      </c>
      <c r="AM269" s="44" t="s">
        <v>2</v>
      </c>
      <c r="AN269" s="44" t="s">
        <v>3</v>
      </c>
      <c r="AO269" s="44" t="s">
        <v>4</v>
      </c>
      <c r="AP269" s="44" t="s">
        <v>5</v>
      </c>
    </row>
    <row r="270" spans="1:42">
      <c r="A270" s="45">
        <v>46380</v>
      </c>
      <c r="B270" s="46" t="s">
        <v>83</v>
      </c>
      <c r="C270" s="55" t="s">
        <v>278</v>
      </c>
      <c r="D270" s="143"/>
      <c r="E270" s="144"/>
      <c r="F270" s="144"/>
      <c r="G270" s="144"/>
      <c r="H270" s="144"/>
      <c r="I270" s="145"/>
      <c r="J270" s="143"/>
      <c r="K270" s="144"/>
      <c r="L270" s="144"/>
      <c r="M270" s="144"/>
      <c r="N270" s="144"/>
      <c r="O270" s="46"/>
      <c r="P270" s="143"/>
      <c r="Q270" s="144"/>
      <c r="R270" s="144"/>
      <c r="S270" s="144"/>
      <c r="T270" s="144"/>
      <c r="U270" s="46"/>
      <c r="Y270" s="44" t="s">
        <v>36</v>
      </c>
      <c r="Z270" s="44" t="s">
        <v>37</v>
      </c>
      <c r="AA270" s="44" t="s">
        <v>38</v>
      </c>
      <c r="AB270" s="44" t="s">
        <v>39</v>
      </c>
      <c r="AC270" s="44" t="s">
        <v>40</v>
      </c>
      <c r="AD270" s="44" t="s">
        <v>41</v>
      </c>
      <c r="AE270" s="44" t="s">
        <v>36</v>
      </c>
      <c r="AF270" s="44" t="s">
        <v>37</v>
      </c>
      <c r="AG270" s="44" t="s">
        <v>38</v>
      </c>
      <c r="AH270" s="44" t="s">
        <v>39</v>
      </c>
      <c r="AI270" s="44" t="s">
        <v>40</v>
      </c>
      <c r="AJ270" s="44" t="s">
        <v>41</v>
      </c>
      <c r="AK270" s="44" t="s">
        <v>36</v>
      </c>
      <c r="AL270" s="44" t="s">
        <v>37</v>
      </c>
      <c r="AM270" s="44" t="s">
        <v>38</v>
      </c>
      <c r="AN270" s="44" t="s">
        <v>39</v>
      </c>
      <c r="AO270" s="44" t="s">
        <v>40</v>
      </c>
      <c r="AP270" s="44" t="s">
        <v>41</v>
      </c>
    </row>
    <row r="271" spans="1:42">
      <c r="A271" s="45">
        <v>46381</v>
      </c>
      <c r="B271" s="46" t="s">
        <v>84</v>
      </c>
      <c r="C271" s="55" t="s">
        <v>241</v>
      </c>
      <c r="D271" s="143"/>
      <c r="E271" s="144"/>
      <c r="F271" s="144"/>
      <c r="G271" s="144"/>
      <c r="H271" s="144"/>
      <c r="I271" s="145"/>
      <c r="J271" s="143"/>
      <c r="K271" s="144"/>
      <c r="L271" s="144"/>
      <c r="M271" s="144"/>
      <c r="N271" s="144"/>
      <c r="O271" s="46"/>
      <c r="P271" s="143"/>
      <c r="Q271" s="144"/>
      <c r="R271" s="144"/>
      <c r="S271" s="144"/>
      <c r="T271" s="144"/>
      <c r="U271" s="46"/>
      <c r="Y271" s="44" t="s">
        <v>42</v>
      </c>
      <c r="Z271" s="44" t="s">
        <v>43</v>
      </c>
      <c r="AA271" s="44" t="s">
        <v>44</v>
      </c>
      <c r="AB271" s="44" t="s">
        <v>45</v>
      </c>
      <c r="AC271" s="44" t="s">
        <v>46</v>
      </c>
      <c r="AD271" s="44" t="s">
        <v>47</v>
      </c>
      <c r="AE271" s="44" t="s">
        <v>42</v>
      </c>
      <c r="AF271" s="44" t="s">
        <v>43</v>
      </c>
      <c r="AG271" s="44" t="s">
        <v>44</v>
      </c>
      <c r="AH271" s="44" t="s">
        <v>45</v>
      </c>
      <c r="AI271" s="44" t="s">
        <v>46</v>
      </c>
      <c r="AJ271" s="44" t="s">
        <v>47</v>
      </c>
      <c r="AK271" s="44" t="s">
        <v>42</v>
      </c>
      <c r="AL271" s="44" t="s">
        <v>43</v>
      </c>
      <c r="AM271" s="44" t="s">
        <v>44</v>
      </c>
      <c r="AN271" s="44" t="s">
        <v>45</v>
      </c>
      <c r="AO271" s="44" t="s">
        <v>46</v>
      </c>
      <c r="AP271" s="44" t="s">
        <v>47</v>
      </c>
    </row>
    <row r="272" spans="1:42">
      <c r="A272" s="45">
        <v>46382</v>
      </c>
      <c r="B272" s="46" t="s">
        <v>85</v>
      </c>
      <c r="C272" s="55" t="s">
        <v>241</v>
      </c>
      <c r="D272" s="143"/>
      <c r="E272" s="144"/>
      <c r="F272" s="144"/>
      <c r="G272" s="144"/>
      <c r="H272" s="144"/>
      <c r="I272" s="145"/>
      <c r="J272" s="143"/>
      <c r="K272" s="144"/>
      <c r="L272" s="144"/>
      <c r="M272" s="144"/>
      <c r="N272" s="144"/>
      <c r="O272" s="46"/>
      <c r="P272" s="143"/>
      <c r="Q272" s="144"/>
      <c r="R272" s="144"/>
      <c r="S272" s="144"/>
      <c r="T272" s="144"/>
      <c r="U272" s="46"/>
      <c r="Y272" s="44" t="s">
        <v>48</v>
      </c>
      <c r="Z272" s="44" t="s">
        <v>49</v>
      </c>
      <c r="AA272" s="44" t="s">
        <v>50</v>
      </c>
      <c r="AB272" s="44" t="s">
        <v>51</v>
      </c>
      <c r="AC272" s="44" t="s">
        <v>52</v>
      </c>
      <c r="AE272" s="44" t="s">
        <v>48</v>
      </c>
      <c r="AF272" s="44" t="s">
        <v>49</v>
      </c>
      <c r="AG272" s="44" t="s">
        <v>50</v>
      </c>
      <c r="AH272" s="44" t="s">
        <v>51</v>
      </c>
      <c r="AI272" s="44" t="s">
        <v>52</v>
      </c>
      <c r="AK272" s="44" t="s">
        <v>48</v>
      </c>
      <c r="AL272" s="44" t="s">
        <v>49</v>
      </c>
      <c r="AM272" s="44" t="s">
        <v>50</v>
      </c>
      <c r="AN272" s="44" t="s">
        <v>51</v>
      </c>
      <c r="AO272" s="44" t="s">
        <v>52</v>
      </c>
    </row>
    <row r="273" spans="1:42">
      <c r="A273" s="45">
        <v>46383</v>
      </c>
      <c r="B273" s="46" t="s">
        <v>86</v>
      </c>
      <c r="C273" s="55" t="s">
        <v>241</v>
      </c>
      <c r="D273" s="143"/>
      <c r="E273" s="144"/>
      <c r="F273" s="144"/>
      <c r="G273" s="144"/>
      <c r="H273" s="144"/>
      <c r="I273" s="145"/>
      <c r="J273" s="143"/>
      <c r="K273" s="144"/>
      <c r="L273" s="144"/>
      <c r="M273" s="144"/>
      <c r="N273" s="144"/>
      <c r="O273" s="46"/>
      <c r="P273" s="143"/>
      <c r="Q273" s="144"/>
      <c r="R273" s="144"/>
      <c r="S273" s="144"/>
      <c r="T273" s="144"/>
      <c r="U273" s="46"/>
      <c r="Y273" s="44" t="s">
        <v>54</v>
      </c>
      <c r="Z273" s="44" t="s">
        <v>55</v>
      </c>
      <c r="AA273" s="44" t="s">
        <v>56</v>
      </c>
      <c r="AB273" s="44" t="s">
        <v>57</v>
      </c>
      <c r="AC273" s="44" t="s">
        <v>58</v>
      </c>
      <c r="AD273" s="44" t="s">
        <v>59</v>
      </c>
      <c r="AE273" s="44" t="s">
        <v>54</v>
      </c>
      <c r="AF273" s="44" t="s">
        <v>55</v>
      </c>
      <c r="AG273" s="44" t="s">
        <v>56</v>
      </c>
      <c r="AH273" s="44" t="s">
        <v>57</v>
      </c>
      <c r="AI273" s="44" t="s">
        <v>58</v>
      </c>
      <c r="AJ273" s="44" t="s">
        <v>59</v>
      </c>
      <c r="AK273" s="44" t="s">
        <v>54</v>
      </c>
      <c r="AL273" s="44" t="s">
        <v>55</v>
      </c>
      <c r="AM273" s="44" t="s">
        <v>56</v>
      </c>
      <c r="AN273" s="44" t="s">
        <v>57</v>
      </c>
      <c r="AO273" s="44" t="s">
        <v>58</v>
      </c>
      <c r="AP273" s="44" t="s">
        <v>59</v>
      </c>
    </row>
    <row r="274" spans="1:42" s="47" customFormat="1">
      <c r="A274" s="45">
        <v>46384</v>
      </c>
      <c r="B274" s="46" t="s">
        <v>80</v>
      </c>
      <c r="C274" s="55" t="s">
        <v>279</v>
      </c>
      <c r="D274" s="143"/>
      <c r="E274" s="144"/>
      <c r="F274" s="144"/>
      <c r="G274" s="144"/>
      <c r="H274" s="144"/>
      <c r="I274" s="145"/>
      <c r="J274" s="143"/>
      <c r="K274" s="144"/>
      <c r="L274" s="144"/>
      <c r="M274" s="144"/>
      <c r="N274" s="144"/>
      <c r="O274" s="46"/>
      <c r="P274" s="143"/>
      <c r="Q274" s="144"/>
      <c r="R274" s="144"/>
      <c r="S274" s="144"/>
      <c r="T274" s="144"/>
      <c r="U274" s="46"/>
    </row>
    <row r="275" spans="1:42" s="47" customFormat="1">
      <c r="A275" s="45">
        <v>46385</v>
      </c>
      <c r="B275" s="46" t="s">
        <v>81</v>
      </c>
      <c r="C275" s="55" t="s">
        <v>270</v>
      </c>
      <c r="D275" s="143"/>
      <c r="E275" s="144"/>
      <c r="F275" s="144"/>
      <c r="G275" s="144"/>
      <c r="H275" s="144"/>
      <c r="I275" s="145"/>
      <c r="J275" s="143"/>
      <c r="K275" s="144"/>
      <c r="L275" s="144"/>
      <c r="M275" s="144"/>
      <c r="N275" s="144"/>
      <c r="O275" s="46"/>
      <c r="P275" s="143"/>
      <c r="Q275" s="144"/>
      <c r="R275" s="144"/>
      <c r="S275" s="144"/>
      <c r="T275" s="144"/>
      <c r="U275" s="46"/>
    </row>
    <row r="276" spans="1:42">
      <c r="A276" s="45">
        <v>46386</v>
      </c>
      <c r="B276" s="46" t="s">
        <v>82</v>
      </c>
      <c r="C276" s="55" t="s">
        <v>270</v>
      </c>
      <c r="D276" s="143"/>
      <c r="E276" s="144"/>
      <c r="F276" s="144"/>
      <c r="G276" s="144"/>
      <c r="H276" s="144"/>
      <c r="I276" s="145"/>
      <c r="J276" s="143"/>
      <c r="K276" s="144"/>
      <c r="L276" s="144"/>
      <c r="M276" s="144"/>
      <c r="N276" s="144"/>
      <c r="O276" s="46"/>
      <c r="P276" s="143"/>
      <c r="Q276" s="144"/>
      <c r="R276" s="144"/>
      <c r="S276" s="144"/>
      <c r="T276" s="144"/>
      <c r="U276" s="46"/>
    </row>
    <row r="277" spans="1:42" ht="18" thickBot="1">
      <c r="A277" s="246">
        <v>46387</v>
      </c>
      <c r="B277" s="248" t="s">
        <v>83</v>
      </c>
      <c r="C277" s="249" t="s">
        <v>270</v>
      </c>
      <c r="D277" s="250"/>
      <c r="E277" s="251"/>
      <c r="F277" s="251"/>
      <c r="G277" s="251"/>
      <c r="H277" s="251"/>
      <c r="I277" s="238"/>
      <c r="J277" s="250"/>
      <c r="K277" s="251"/>
      <c r="L277" s="251"/>
      <c r="M277" s="251"/>
      <c r="N277" s="251"/>
      <c r="O277" s="248"/>
      <c r="P277" s="250"/>
      <c r="Q277" s="251"/>
      <c r="R277" s="251"/>
      <c r="S277" s="251"/>
      <c r="T277" s="251"/>
      <c r="U277" s="248"/>
    </row>
    <row r="278" spans="1:42">
      <c r="A278" s="247">
        <v>46388</v>
      </c>
      <c r="B278" s="252" t="s">
        <v>84</v>
      </c>
      <c r="C278" s="253" t="s">
        <v>280</v>
      </c>
      <c r="D278" s="254"/>
      <c r="E278" s="255"/>
      <c r="F278" s="255"/>
      <c r="G278" s="255"/>
      <c r="H278" s="255"/>
      <c r="I278" s="256"/>
      <c r="J278" s="254"/>
      <c r="K278" s="255"/>
      <c r="L278" s="255"/>
      <c r="M278" s="255"/>
      <c r="N278" s="255"/>
      <c r="O278" s="252"/>
      <c r="P278" s="254"/>
      <c r="Q278" s="255"/>
      <c r="R278" s="255"/>
      <c r="S278" s="255"/>
      <c r="T278" s="255"/>
      <c r="U278" s="252"/>
    </row>
    <row r="279" spans="1:42">
      <c r="A279" s="45">
        <v>46389</v>
      </c>
      <c r="B279" s="46" t="s">
        <v>85</v>
      </c>
      <c r="C279" s="55" t="s">
        <v>270</v>
      </c>
      <c r="D279" s="143"/>
      <c r="E279" s="144"/>
      <c r="F279" s="144"/>
      <c r="G279" s="144"/>
      <c r="H279" s="144"/>
      <c r="I279" s="145"/>
      <c r="J279" s="143"/>
      <c r="K279" s="144"/>
      <c r="L279" s="144"/>
      <c r="M279" s="144"/>
      <c r="N279" s="144"/>
      <c r="O279" s="46"/>
      <c r="P279" s="143"/>
      <c r="Q279" s="144"/>
      <c r="R279" s="144"/>
      <c r="S279" s="144"/>
      <c r="T279" s="144"/>
      <c r="U279" s="46"/>
    </row>
    <row r="280" spans="1:42">
      <c r="A280" s="45">
        <v>46390</v>
      </c>
      <c r="B280" s="46" t="s">
        <v>86</v>
      </c>
      <c r="C280" s="55" t="s">
        <v>260</v>
      </c>
      <c r="D280" s="143"/>
      <c r="E280" s="144"/>
      <c r="F280" s="144"/>
      <c r="G280" s="144"/>
      <c r="H280" s="144"/>
      <c r="I280" s="145"/>
      <c r="J280" s="143"/>
      <c r="K280" s="144"/>
      <c r="L280" s="144"/>
      <c r="M280" s="144"/>
      <c r="N280" s="144"/>
      <c r="O280" s="46"/>
      <c r="P280" s="143"/>
      <c r="Q280" s="144"/>
      <c r="R280" s="144"/>
      <c r="S280" s="144"/>
      <c r="T280" s="144"/>
      <c r="U280" s="46"/>
    </row>
    <row r="281" spans="1:42">
      <c r="A281" s="45">
        <v>46391</v>
      </c>
      <c r="B281" s="46" t="s">
        <v>80</v>
      </c>
      <c r="C281" s="55" t="s">
        <v>241</v>
      </c>
      <c r="D281" s="143"/>
      <c r="E281" s="144"/>
      <c r="F281" s="144"/>
      <c r="G281" s="144"/>
      <c r="H281" s="144"/>
      <c r="I281" s="145"/>
      <c r="J281" s="143"/>
      <c r="K281" s="144"/>
      <c r="L281" s="144"/>
      <c r="M281" s="144"/>
      <c r="N281" s="144"/>
      <c r="O281" s="46"/>
      <c r="P281" s="143"/>
      <c r="Q281" s="144"/>
      <c r="R281" s="144"/>
      <c r="S281" s="144"/>
      <c r="T281" s="144"/>
      <c r="U281" s="46"/>
    </row>
    <row r="282" spans="1:42">
      <c r="A282" s="45">
        <v>46392</v>
      </c>
      <c r="B282" s="46" t="s">
        <v>81</v>
      </c>
      <c r="C282" s="55" t="s">
        <v>241</v>
      </c>
      <c r="D282" s="143"/>
      <c r="E282" s="144"/>
      <c r="F282" s="144"/>
      <c r="G282" s="144"/>
      <c r="H282" s="144"/>
      <c r="I282" s="145"/>
      <c r="J282" s="143"/>
      <c r="K282" s="144"/>
      <c r="L282" s="144"/>
      <c r="M282" s="144"/>
      <c r="N282" s="144"/>
      <c r="O282" s="46"/>
      <c r="P282" s="143"/>
      <c r="Q282" s="144"/>
      <c r="R282" s="144"/>
      <c r="S282" s="144"/>
      <c r="T282" s="144"/>
      <c r="U282" s="46"/>
    </row>
    <row r="283" spans="1:42">
      <c r="A283" s="45">
        <v>46393</v>
      </c>
      <c r="B283" s="46" t="s">
        <v>82</v>
      </c>
      <c r="C283" s="55" t="s">
        <v>241</v>
      </c>
      <c r="D283" s="143"/>
      <c r="E283" s="144"/>
      <c r="F283" s="144"/>
      <c r="G283" s="144"/>
      <c r="H283" s="144"/>
      <c r="I283" s="145"/>
      <c r="J283" s="143"/>
      <c r="K283" s="144"/>
      <c r="L283" s="144"/>
      <c r="M283" s="144"/>
      <c r="N283" s="144"/>
      <c r="O283" s="46"/>
      <c r="P283" s="143"/>
      <c r="Q283" s="144"/>
      <c r="R283" s="144"/>
      <c r="S283" s="144"/>
      <c r="T283" s="144"/>
      <c r="U283" s="46"/>
    </row>
    <row r="284" spans="1:42">
      <c r="A284" s="187">
        <v>46394</v>
      </c>
      <c r="B284" s="48" t="s">
        <v>83</v>
      </c>
      <c r="C284" s="41" t="s">
        <v>281</v>
      </c>
      <c r="D284" s="158" t="s">
        <v>74</v>
      </c>
      <c r="E284" s="159" t="s">
        <v>75</v>
      </c>
      <c r="F284" s="144"/>
      <c r="G284" s="144"/>
      <c r="H284" s="144"/>
      <c r="I284" s="145"/>
      <c r="J284" s="158" t="s">
        <v>74</v>
      </c>
      <c r="K284" s="159" t="s">
        <v>75</v>
      </c>
      <c r="L284" s="144"/>
      <c r="M284" s="144"/>
      <c r="N284" s="144"/>
      <c r="O284" s="46"/>
      <c r="P284" s="158" t="s">
        <v>74</v>
      </c>
      <c r="Q284" s="159" t="s">
        <v>75</v>
      </c>
      <c r="R284" s="144"/>
      <c r="S284" s="144"/>
      <c r="T284" s="144"/>
      <c r="U284" s="46"/>
    </row>
    <row r="285" spans="1:42">
      <c r="A285" s="187">
        <v>46395</v>
      </c>
      <c r="B285" s="48" t="s">
        <v>84</v>
      </c>
      <c r="C285" s="41" t="s">
        <v>282</v>
      </c>
      <c r="D285" s="179" t="s">
        <v>0</v>
      </c>
      <c r="E285" s="178" t="s">
        <v>1</v>
      </c>
      <c r="F285" s="168" t="s">
        <v>2</v>
      </c>
      <c r="G285" s="168" t="s">
        <v>3</v>
      </c>
      <c r="H285" s="168" t="s">
        <v>4</v>
      </c>
      <c r="I285" s="145"/>
      <c r="J285" s="179" t="s">
        <v>0</v>
      </c>
      <c r="K285" s="178" t="s">
        <v>1</v>
      </c>
      <c r="L285" s="168" t="s">
        <v>2</v>
      </c>
      <c r="M285" s="168" t="s">
        <v>3</v>
      </c>
      <c r="N285" s="168" t="s">
        <v>4</v>
      </c>
      <c r="O285" s="46"/>
      <c r="P285" s="179" t="s">
        <v>0</v>
      </c>
      <c r="Q285" s="178" t="s">
        <v>1</v>
      </c>
      <c r="R285" s="168" t="s">
        <v>2</v>
      </c>
      <c r="S285" s="168" t="s">
        <v>3</v>
      </c>
      <c r="T285" s="168" t="s">
        <v>4</v>
      </c>
      <c r="U285" s="46"/>
    </row>
    <row r="286" spans="1:42">
      <c r="A286" s="45">
        <v>46396</v>
      </c>
      <c r="B286" s="46" t="s">
        <v>85</v>
      </c>
      <c r="C286" s="55" t="s">
        <v>241</v>
      </c>
      <c r="D286" s="143"/>
      <c r="E286" s="144"/>
      <c r="F286" s="144"/>
      <c r="G286" s="144"/>
      <c r="H286" s="144"/>
      <c r="I286" s="145"/>
      <c r="J286" s="143"/>
      <c r="K286" s="144"/>
      <c r="L286" s="144"/>
      <c r="M286" s="144"/>
      <c r="N286" s="144"/>
      <c r="O286" s="46"/>
      <c r="P286" s="143"/>
      <c r="Q286" s="144"/>
      <c r="R286" s="144"/>
      <c r="S286" s="144"/>
      <c r="T286" s="144"/>
      <c r="U286" s="46"/>
    </row>
    <row r="287" spans="1:42">
      <c r="A287" s="45">
        <v>46397</v>
      </c>
      <c r="B287" s="46" t="s">
        <v>86</v>
      </c>
      <c r="C287" s="55" t="s">
        <v>241</v>
      </c>
      <c r="D287" s="143"/>
      <c r="E287" s="144"/>
      <c r="F287" s="144"/>
      <c r="G287" s="144"/>
      <c r="H287" s="144"/>
      <c r="I287" s="145"/>
      <c r="J287" s="143"/>
      <c r="K287" s="144"/>
      <c r="L287" s="144"/>
      <c r="M287" s="144"/>
      <c r="N287" s="144"/>
      <c r="O287" s="46"/>
      <c r="P287" s="143"/>
      <c r="Q287" s="144"/>
      <c r="R287" s="144"/>
      <c r="S287" s="144"/>
      <c r="T287" s="144"/>
      <c r="U287" s="46"/>
    </row>
    <row r="288" spans="1:42" s="47" customFormat="1">
      <c r="A288" s="45">
        <v>46398</v>
      </c>
      <c r="B288" s="46" t="s">
        <v>80</v>
      </c>
      <c r="C288" s="55" t="s">
        <v>283</v>
      </c>
      <c r="D288" s="143"/>
      <c r="E288" s="144"/>
      <c r="F288" s="144"/>
      <c r="G288" s="144"/>
      <c r="H288" s="144"/>
      <c r="I288" s="145"/>
      <c r="J288" s="143"/>
      <c r="K288" s="144"/>
      <c r="L288" s="144"/>
      <c r="M288" s="144"/>
      <c r="N288" s="144"/>
      <c r="O288" s="46"/>
      <c r="P288" s="143"/>
      <c r="Q288" s="144"/>
      <c r="R288" s="144"/>
      <c r="S288" s="144"/>
      <c r="T288" s="144"/>
      <c r="U288" s="46"/>
    </row>
    <row r="289" spans="1:21" s="47" customFormat="1">
      <c r="A289" s="187">
        <v>46399</v>
      </c>
      <c r="B289" s="48" t="s">
        <v>81</v>
      </c>
      <c r="C289" s="41" t="s">
        <v>284</v>
      </c>
      <c r="D289" s="80" t="s">
        <v>36</v>
      </c>
      <c r="E289" s="52" t="s">
        <v>92</v>
      </c>
      <c r="F289" s="52" t="s">
        <v>89</v>
      </c>
      <c r="G289" s="52" t="s">
        <v>90</v>
      </c>
      <c r="H289" s="52" t="s">
        <v>229</v>
      </c>
      <c r="I289" s="180" t="s">
        <v>11</v>
      </c>
      <c r="J289" s="80" t="s">
        <v>36</v>
      </c>
      <c r="K289" s="52" t="s">
        <v>92</v>
      </c>
      <c r="L289" s="52" t="s">
        <v>89</v>
      </c>
      <c r="M289" s="52" t="s">
        <v>90</v>
      </c>
      <c r="N289" s="52" t="s">
        <v>229</v>
      </c>
      <c r="O289" s="77" t="s">
        <v>11</v>
      </c>
      <c r="P289" s="80" t="s">
        <v>36</v>
      </c>
      <c r="Q289" s="52" t="s">
        <v>92</v>
      </c>
      <c r="R289" s="52" t="s">
        <v>89</v>
      </c>
      <c r="S289" s="52" t="s">
        <v>90</v>
      </c>
      <c r="T289" s="144"/>
      <c r="U289" s="46"/>
    </row>
    <row r="290" spans="1:21" s="47" customFormat="1">
      <c r="A290" s="187">
        <v>46400</v>
      </c>
      <c r="B290" s="48" t="s">
        <v>82</v>
      </c>
      <c r="C290" s="41" t="s">
        <v>285</v>
      </c>
      <c r="D290" s="158" t="s">
        <v>42</v>
      </c>
      <c r="E290" s="159" t="s">
        <v>43</v>
      </c>
      <c r="F290" s="159" t="s">
        <v>44</v>
      </c>
      <c r="G290" s="159" t="s">
        <v>45</v>
      </c>
      <c r="H290" s="159" t="s">
        <v>46</v>
      </c>
      <c r="I290" s="163" t="s">
        <v>75</v>
      </c>
      <c r="J290" s="158" t="s">
        <v>42</v>
      </c>
      <c r="K290" s="159" t="s">
        <v>43</v>
      </c>
      <c r="L290" s="159" t="s">
        <v>44</v>
      </c>
      <c r="M290" s="159" t="s">
        <v>45</v>
      </c>
      <c r="N290" s="159" t="s">
        <v>46</v>
      </c>
      <c r="O290" s="48" t="s">
        <v>75</v>
      </c>
      <c r="P290" s="158" t="s">
        <v>42</v>
      </c>
      <c r="Q290" s="159" t="s">
        <v>43</v>
      </c>
      <c r="R290" s="159" t="s">
        <v>44</v>
      </c>
      <c r="S290" s="159" t="s">
        <v>45</v>
      </c>
      <c r="T290" s="144"/>
      <c r="U290" s="46"/>
    </row>
    <row r="291" spans="1:21">
      <c r="A291" s="187">
        <v>46401</v>
      </c>
      <c r="B291" s="48" t="s">
        <v>83</v>
      </c>
      <c r="C291" s="41" t="s">
        <v>270</v>
      </c>
      <c r="D291" s="81" t="s">
        <v>18</v>
      </c>
      <c r="E291" s="168" t="s">
        <v>225</v>
      </c>
      <c r="F291" s="168" t="s">
        <v>102</v>
      </c>
      <c r="G291" s="168" t="s">
        <v>22</v>
      </c>
      <c r="H291" s="198" t="s">
        <v>19</v>
      </c>
      <c r="I291" s="145"/>
      <c r="J291" s="81" t="s">
        <v>18</v>
      </c>
      <c r="K291" s="168" t="s">
        <v>225</v>
      </c>
      <c r="L291" s="168" t="s">
        <v>102</v>
      </c>
      <c r="M291" s="168" t="s">
        <v>22</v>
      </c>
      <c r="N291" s="198" t="s">
        <v>19</v>
      </c>
      <c r="O291" s="46"/>
      <c r="P291" s="81" t="s">
        <v>18</v>
      </c>
      <c r="Q291" s="168" t="s">
        <v>225</v>
      </c>
      <c r="R291" s="168" t="s">
        <v>102</v>
      </c>
      <c r="S291" s="168" t="s">
        <v>22</v>
      </c>
      <c r="T291" s="144"/>
      <c r="U291" s="46"/>
    </row>
    <row r="292" spans="1:21">
      <c r="A292" s="187">
        <v>46402</v>
      </c>
      <c r="B292" s="48" t="s">
        <v>84</v>
      </c>
      <c r="C292" s="41" t="s">
        <v>286</v>
      </c>
      <c r="D292" s="80" t="s">
        <v>24</v>
      </c>
      <c r="E292" s="168" t="s">
        <v>26</v>
      </c>
      <c r="F292" s="168" t="s">
        <v>96</v>
      </c>
      <c r="G292" s="168" t="s">
        <v>88</v>
      </c>
      <c r="H292" s="178" t="s">
        <v>25</v>
      </c>
      <c r="I292" s="180" t="s">
        <v>97</v>
      </c>
      <c r="J292" s="80" t="s">
        <v>24</v>
      </c>
      <c r="K292" s="168" t="s">
        <v>26</v>
      </c>
      <c r="L292" s="168" t="s">
        <v>96</v>
      </c>
      <c r="M292" s="168" t="s">
        <v>88</v>
      </c>
      <c r="N292" s="178" t="s">
        <v>25</v>
      </c>
      <c r="O292" s="77" t="s">
        <v>97</v>
      </c>
      <c r="P292" s="80" t="s">
        <v>24</v>
      </c>
      <c r="Q292" s="168" t="s">
        <v>26</v>
      </c>
      <c r="R292" s="168" t="s">
        <v>96</v>
      </c>
      <c r="S292" s="168" t="s">
        <v>88</v>
      </c>
      <c r="T292" s="144"/>
      <c r="U292" s="46"/>
    </row>
    <row r="293" spans="1:21">
      <c r="A293" s="45">
        <v>46403</v>
      </c>
      <c r="B293" s="46" t="s">
        <v>85</v>
      </c>
      <c r="C293" s="55" t="s">
        <v>241</v>
      </c>
      <c r="D293" s="143"/>
      <c r="E293" s="144"/>
      <c r="F293" s="144"/>
      <c r="G293" s="144"/>
      <c r="H293" s="144"/>
      <c r="I293" s="145"/>
      <c r="J293" s="143"/>
      <c r="K293" s="144"/>
      <c r="L293" s="144"/>
      <c r="M293" s="144"/>
      <c r="N293" s="144"/>
      <c r="O293" s="46"/>
      <c r="P293" s="143"/>
      <c r="Q293" s="144"/>
      <c r="R293" s="144"/>
      <c r="S293" s="144"/>
      <c r="T293" s="144"/>
      <c r="U293" s="46"/>
    </row>
    <row r="294" spans="1:21">
      <c r="A294" s="45">
        <v>46404</v>
      </c>
      <c r="B294" s="46" t="s">
        <v>86</v>
      </c>
      <c r="C294" s="55" t="s">
        <v>248</v>
      </c>
      <c r="D294" s="143"/>
      <c r="E294" s="144"/>
      <c r="F294" s="144"/>
      <c r="G294" s="144"/>
      <c r="H294" s="144"/>
      <c r="I294" s="145"/>
      <c r="J294" s="143"/>
      <c r="K294" s="144"/>
      <c r="L294" s="144"/>
      <c r="M294" s="144"/>
      <c r="N294" s="144"/>
      <c r="O294" s="46"/>
      <c r="P294" s="143"/>
      <c r="Q294" s="144"/>
      <c r="R294" s="144"/>
      <c r="S294" s="144"/>
      <c r="T294" s="144"/>
      <c r="U294" s="46"/>
    </row>
    <row r="295" spans="1:21" s="47" customFormat="1">
      <c r="A295" s="187">
        <v>46405</v>
      </c>
      <c r="B295" s="48" t="s">
        <v>80</v>
      </c>
      <c r="C295" s="41" t="s">
        <v>241</v>
      </c>
      <c r="D295" s="80" t="s">
        <v>0</v>
      </c>
      <c r="E295" s="52" t="s">
        <v>1</v>
      </c>
      <c r="F295" s="52" t="s">
        <v>2</v>
      </c>
      <c r="G295" s="52" t="s">
        <v>3</v>
      </c>
      <c r="H295" s="52" t="s">
        <v>4</v>
      </c>
      <c r="I295" s="180" t="s">
        <v>5</v>
      </c>
      <c r="J295" s="80" t="s">
        <v>0</v>
      </c>
      <c r="K295" s="52" t="s">
        <v>1</v>
      </c>
      <c r="L295" s="52" t="s">
        <v>2</v>
      </c>
      <c r="M295" s="52" t="s">
        <v>3</v>
      </c>
      <c r="N295" s="52" t="s">
        <v>4</v>
      </c>
      <c r="O295" s="77" t="s">
        <v>5</v>
      </c>
      <c r="P295" s="80" t="s">
        <v>0</v>
      </c>
      <c r="Q295" s="52" t="s">
        <v>1</v>
      </c>
      <c r="R295" s="52" t="s">
        <v>2</v>
      </c>
      <c r="S295" s="52" t="s">
        <v>3</v>
      </c>
      <c r="T295" s="52" t="s">
        <v>4</v>
      </c>
      <c r="U295" s="77" t="s">
        <v>5</v>
      </c>
    </row>
    <row r="296" spans="1:21" s="47" customFormat="1">
      <c r="A296" s="187">
        <v>46406</v>
      </c>
      <c r="B296" s="48" t="s">
        <v>81</v>
      </c>
      <c r="C296" s="41" t="s">
        <v>287</v>
      </c>
      <c r="D296" s="80" t="s">
        <v>36</v>
      </c>
      <c r="E296" s="52" t="s">
        <v>92</v>
      </c>
      <c r="F296" s="52" t="s">
        <v>89</v>
      </c>
      <c r="G296" s="168" t="s">
        <v>229</v>
      </c>
      <c r="H296" s="168" t="s">
        <v>140</v>
      </c>
      <c r="I296" s="145"/>
      <c r="J296" s="80" t="s">
        <v>36</v>
      </c>
      <c r="K296" s="52" t="s">
        <v>92</v>
      </c>
      <c r="L296" s="52" t="s">
        <v>89</v>
      </c>
      <c r="M296" s="168" t="s">
        <v>229</v>
      </c>
      <c r="N296" s="168" t="s">
        <v>140</v>
      </c>
      <c r="O296" s="46"/>
      <c r="P296" s="80" t="s">
        <v>36</v>
      </c>
      <c r="Q296" s="52" t="s">
        <v>92</v>
      </c>
      <c r="R296" s="52" t="s">
        <v>89</v>
      </c>
      <c r="S296" s="168" t="s">
        <v>229</v>
      </c>
      <c r="T296" s="168" t="s">
        <v>140</v>
      </c>
      <c r="U296" s="46"/>
    </row>
    <row r="297" spans="1:21">
      <c r="A297" s="187">
        <v>46407</v>
      </c>
      <c r="B297" s="48" t="s">
        <v>82</v>
      </c>
      <c r="C297" s="41" t="s">
        <v>288</v>
      </c>
      <c r="D297" s="158" t="s">
        <v>42</v>
      </c>
      <c r="E297" s="159" t="s">
        <v>43</v>
      </c>
      <c r="F297" s="168" t="s">
        <v>101</v>
      </c>
      <c r="G297" s="159" t="s">
        <v>100</v>
      </c>
      <c r="H297" s="168" t="s">
        <v>99</v>
      </c>
      <c r="I297" s="163" t="s">
        <v>75</v>
      </c>
      <c r="J297" s="193" t="s">
        <v>358</v>
      </c>
      <c r="K297" s="191"/>
      <c r="L297" s="191"/>
      <c r="M297" s="191"/>
      <c r="N297" s="191"/>
      <c r="O297" s="192"/>
      <c r="P297" s="158" t="s">
        <v>42</v>
      </c>
      <c r="Q297" s="159" t="s">
        <v>43</v>
      </c>
      <c r="R297" s="168" t="s">
        <v>101</v>
      </c>
      <c r="S297" s="144"/>
      <c r="T297" s="144"/>
      <c r="U297" s="46"/>
    </row>
    <row r="298" spans="1:21">
      <c r="A298" s="187">
        <v>46408</v>
      </c>
      <c r="B298" s="48" t="s">
        <v>83</v>
      </c>
      <c r="C298" s="41" t="s">
        <v>289</v>
      </c>
      <c r="D298" s="81" t="s">
        <v>18</v>
      </c>
      <c r="E298" s="161" t="s">
        <v>19</v>
      </c>
      <c r="F298" s="168" t="s">
        <v>222</v>
      </c>
      <c r="G298" s="52" t="s">
        <v>102</v>
      </c>
      <c r="H298" s="168" t="s">
        <v>378</v>
      </c>
      <c r="I298" s="145"/>
      <c r="J298" s="193" t="s">
        <v>358</v>
      </c>
      <c r="K298" s="191"/>
      <c r="L298" s="191"/>
      <c r="M298" s="191"/>
      <c r="N298" s="191"/>
      <c r="O298" s="192"/>
      <c r="P298" s="81" t="s">
        <v>18</v>
      </c>
      <c r="Q298" s="161" t="s">
        <v>19</v>
      </c>
      <c r="R298" s="168" t="s">
        <v>222</v>
      </c>
      <c r="S298" s="166"/>
      <c r="T298" s="166"/>
      <c r="U298" s="167"/>
    </row>
    <row r="299" spans="1:21">
      <c r="A299" s="187">
        <v>46409</v>
      </c>
      <c r="B299" s="48" t="s">
        <v>84</v>
      </c>
      <c r="C299" s="41" t="s">
        <v>290</v>
      </c>
      <c r="D299" s="80" t="s">
        <v>24</v>
      </c>
      <c r="E299" s="163" t="s">
        <v>25</v>
      </c>
      <c r="F299" s="168" t="s">
        <v>88</v>
      </c>
      <c r="G299" s="52" t="s">
        <v>96</v>
      </c>
      <c r="H299" s="168" t="s">
        <v>388</v>
      </c>
      <c r="I299" s="180" t="s">
        <v>97</v>
      </c>
      <c r="J299" s="80" t="s">
        <v>24</v>
      </c>
      <c r="K299" s="163" t="s">
        <v>25</v>
      </c>
      <c r="L299" s="168" t="s">
        <v>88</v>
      </c>
      <c r="M299" s="52" t="s">
        <v>96</v>
      </c>
      <c r="N299" s="168" t="s">
        <v>388</v>
      </c>
      <c r="O299" s="77" t="s">
        <v>97</v>
      </c>
      <c r="P299" s="80" t="s">
        <v>24</v>
      </c>
      <c r="Q299" s="163" t="s">
        <v>25</v>
      </c>
      <c r="R299" s="168" t="s">
        <v>88</v>
      </c>
      <c r="S299" s="144"/>
      <c r="T299" s="144"/>
      <c r="U299" s="46"/>
    </row>
    <row r="300" spans="1:21">
      <c r="A300" s="45">
        <v>46410</v>
      </c>
      <c r="B300" s="46" t="s">
        <v>85</v>
      </c>
      <c r="C300" s="55" t="s">
        <v>241</v>
      </c>
      <c r="D300" s="143"/>
      <c r="E300" s="144"/>
      <c r="F300" s="144"/>
      <c r="G300" s="144"/>
      <c r="H300" s="144"/>
      <c r="I300" s="145"/>
      <c r="J300" s="143"/>
      <c r="K300" s="144"/>
      <c r="L300" s="144"/>
      <c r="M300" s="144"/>
      <c r="N300" s="144"/>
      <c r="O300" s="46"/>
      <c r="P300" s="143"/>
      <c r="Q300" s="144"/>
      <c r="R300" s="144"/>
      <c r="S300" s="144"/>
      <c r="T300" s="144"/>
      <c r="U300" s="46"/>
    </row>
    <row r="301" spans="1:21">
      <c r="A301" s="45">
        <v>46411</v>
      </c>
      <c r="B301" s="46" t="s">
        <v>86</v>
      </c>
      <c r="C301" s="55" t="s">
        <v>291</v>
      </c>
      <c r="D301" s="143"/>
      <c r="E301" s="144"/>
      <c r="F301" s="144"/>
      <c r="G301" s="144"/>
      <c r="H301" s="144"/>
      <c r="I301" s="145"/>
      <c r="J301" s="143"/>
      <c r="K301" s="144"/>
      <c r="L301" s="144"/>
      <c r="M301" s="144"/>
      <c r="N301" s="144"/>
      <c r="O301" s="46"/>
      <c r="P301" s="143"/>
      <c r="Q301" s="144"/>
      <c r="R301" s="144"/>
      <c r="S301" s="144"/>
      <c r="T301" s="144"/>
      <c r="U301" s="46"/>
    </row>
    <row r="302" spans="1:21" s="47" customFormat="1">
      <c r="A302" s="187">
        <v>46412</v>
      </c>
      <c r="B302" s="48" t="s">
        <v>80</v>
      </c>
      <c r="C302" s="41" t="s">
        <v>292</v>
      </c>
      <c r="D302" s="158" t="s">
        <v>0</v>
      </c>
      <c r="E302" s="159" t="s">
        <v>1</v>
      </c>
      <c r="F302" s="159" t="s">
        <v>2</v>
      </c>
      <c r="G302" s="159" t="s">
        <v>3</v>
      </c>
      <c r="H302" s="159" t="s">
        <v>4</v>
      </c>
      <c r="I302" s="145"/>
      <c r="J302" s="158" t="s">
        <v>0</v>
      </c>
      <c r="K302" s="159" t="s">
        <v>1</v>
      </c>
      <c r="L302" s="159" t="s">
        <v>2</v>
      </c>
      <c r="M302" s="159" t="s">
        <v>3</v>
      </c>
      <c r="N302" s="159" t="s">
        <v>4</v>
      </c>
      <c r="O302" s="46"/>
      <c r="P302" s="64" t="s">
        <v>354</v>
      </c>
      <c r="Q302" s="165"/>
      <c r="R302" s="165"/>
      <c r="S302" s="165"/>
      <c r="T302" s="165"/>
      <c r="U302" s="46"/>
    </row>
    <row r="303" spans="1:21" s="47" customFormat="1">
      <c r="A303" s="187">
        <v>46413</v>
      </c>
      <c r="B303" s="48" t="s">
        <v>81</v>
      </c>
      <c r="C303" s="41" t="s">
        <v>293</v>
      </c>
      <c r="D303" s="80" t="s">
        <v>36</v>
      </c>
      <c r="E303" s="52" t="s">
        <v>92</v>
      </c>
      <c r="F303" s="52" t="s">
        <v>89</v>
      </c>
      <c r="G303" s="52" t="s">
        <v>90</v>
      </c>
      <c r="H303" s="52" t="s">
        <v>229</v>
      </c>
      <c r="I303" s="163" t="s">
        <v>11</v>
      </c>
      <c r="J303" s="80" t="s">
        <v>36</v>
      </c>
      <c r="K303" s="52" t="s">
        <v>92</v>
      </c>
      <c r="L303" s="52" t="s">
        <v>89</v>
      </c>
      <c r="M303" s="52" t="s">
        <v>90</v>
      </c>
      <c r="N303" s="52" t="s">
        <v>229</v>
      </c>
      <c r="O303" s="48" t="s">
        <v>11</v>
      </c>
      <c r="P303" s="80" t="s">
        <v>36</v>
      </c>
      <c r="Q303" s="52" t="s">
        <v>92</v>
      </c>
      <c r="R303" s="52" t="s">
        <v>89</v>
      </c>
      <c r="S303" s="52" t="s">
        <v>90</v>
      </c>
      <c r="T303" s="52" t="s">
        <v>229</v>
      </c>
      <c r="U303" s="48" t="s">
        <v>11</v>
      </c>
    </row>
    <row r="304" spans="1:21">
      <c r="A304" s="187">
        <v>46414</v>
      </c>
      <c r="B304" s="48" t="s">
        <v>82</v>
      </c>
      <c r="C304" s="41" t="s">
        <v>294</v>
      </c>
      <c r="D304" s="218" t="s">
        <v>42</v>
      </c>
      <c r="E304" s="159" t="s">
        <v>43</v>
      </c>
      <c r="F304" s="159" t="s">
        <v>44</v>
      </c>
      <c r="G304" s="159" t="s">
        <v>45</v>
      </c>
      <c r="H304" s="159" t="s">
        <v>46</v>
      </c>
      <c r="I304" s="163" t="s">
        <v>75</v>
      </c>
      <c r="J304" s="218" t="s">
        <v>42</v>
      </c>
      <c r="K304" s="159" t="s">
        <v>43</v>
      </c>
      <c r="L304" s="159" t="s">
        <v>44</v>
      </c>
      <c r="M304" s="159" t="s">
        <v>45</v>
      </c>
      <c r="N304" s="159" t="s">
        <v>46</v>
      </c>
      <c r="O304" s="48" t="s">
        <v>75</v>
      </c>
      <c r="P304" s="218" t="s">
        <v>42</v>
      </c>
      <c r="Q304" s="159" t="s">
        <v>43</v>
      </c>
      <c r="R304" s="159" t="s">
        <v>44</v>
      </c>
      <c r="S304" s="159" t="s">
        <v>45</v>
      </c>
      <c r="T304" s="159" t="s">
        <v>46</v>
      </c>
      <c r="U304" s="48" t="s">
        <v>75</v>
      </c>
    </row>
    <row r="305" spans="1:21">
      <c r="A305" s="187">
        <v>46415</v>
      </c>
      <c r="B305" s="48" t="s">
        <v>83</v>
      </c>
      <c r="C305" s="41" t="s">
        <v>295</v>
      </c>
      <c r="D305" s="81" t="s">
        <v>18</v>
      </c>
      <c r="E305" s="161" t="s">
        <v>19</v>
      </c>
      <c r="F305" s="52" t="s">
        <v>225</v>
      </c>
      <c r="G305" s="52" t="s">
        <v>102</v>
      </c>
      <c r="H305" s="159" t="s">
        <v>22</v>
      </c>
      <c r="I305" s="145"/>
      <c r="J305" s="81" t="s">
        <v>18</v>
      </c>
      <c r="K305" s="161" t="s">
        <v>19</v>
      </c>
      <c r="L305" s="52" t="s">
        <v>225</v>
      </c>
      <c r="M305" s="52" t="s">
        <v>102</v>
      </c>
      <c r="N305" s="159" t="s">
        <v>22</v>
      </c>
      <c r="O305" s="46"/>
      <c r="P305" s="81" t="s">
        <v>18</v>
      </c>
      <c r="Q305" s="161" t="s">
        <v>19</v>
      </c>
      <c r="R305" s="52" t="s">
        <v>225</v>
      </c>
      <c r="S305" s="52" t="s">
        <v>102</v>
      </c>
      <c r="T305" s="159" t="s">
        <v>22</v>
      </c>
      <c r="U305" s="46"/>
    </row>
    <row r="306" spans="1:21">
      <c r="A306" s="187">
        <v>46416</v>
      </c>
      <c r="B306" s="48" t="s">
        <v>84</v>
      </c>
      <c r="C306" s="41" t="s">
        <v>241</v>
      </c>
      <c r="D306" s="80" t="s">
        <v>24</v>
      </c>
      <c r="E306" s="163" t="s">
        <v>25</v>
      </c>
      <c r="F306" s="52" t="s">
        <v>26</v>
      </c>
      <c r="G306" s="52" t="s">
        <v>96</v>
      </c>
      <c r="H306" s="52" t="s">
        <v>88</v>
      </c>
      <c r="I306" s="180" t="s">
        <v>97</v>
      </c>
      <c r="J306" s="80" t="s">
        <v>24</v>
      </c>
      <c r="K306" s="163" t="s">
        <v>25</v>
      </c>
      <c r="L306" s="52" t="s">
        <v>26</v>
      </c>
      <c r="M306" s="52" t="s">
        <v>96</v>
      </c>
      <c r="N306" s="52" t="s">
        <v>88</v>
      </c>
      <c r="O306" s="77" t="s">
        <v>97</v>
      </c>
      <c r="P306" s="80" t="s">
        <v>24</v>
      </c>
      <c r="Q306" s="163" t="s">
        <v>25</v>
      </c>
      <c r="R306" s="52" t="s">
        <v>26</v>
      </c>
      <c r="S306" s="52" t="s">
        <v>96</v>
      </c>
      <c r="T306" s="52" t="s">
        <v>88</v>
      </c>
      <c r="U306" s="77" t="s">
        <v>97</v>
      </c>
    </row>
    <row r="307" spans="1:21">
      <c r="A307" s="45">
        <v>46417</v>
      </c>
      <c r="B307" s="46" t="s">
        <v>85</v>
      </c>
      <c r="C307" s="55" t="s">
        <v>241</v>
      </c>
      <c r="D307" s="143"/>
      <c r="E307" s="144"/>
      <c r="F307" s="144"/>
      <c r="G307" s="144"/>
      <c r="H307" s="144"/>
      <c r="I307" s="145"/>
      <c r="J307" s="143"/>
      <c r="K307" s="144"/>
      <c r="L307" s="144"/>
      <c r="M307" s="144"/>
      <c r="N307" s="144"/>
      <c r="O307" s="46"/>
      <c r="P307" s="143"/>
      <c r="Q307" s="144"/>
      <c r="R307" s="144"/>
      <c r="S307" s="144"/>
      <c r="T307" s="144"/>
      <c r="U307" s="46"/>
    </row>
    <row r="308" spans="1:21" ht="18" thickBot="1">
      <c r="A308" s="212">
        <v>46418</v>
      </c>
      <c r="B308" s="51" t="s">
        <v>86</v>
      </c>
      <c r="C308" s="56" t="s">
        <v>241</v>
      </c>
      <c r="D308" s="272"/>
      <c r="E308" s="273"/>
      <c r="F308" s="273"/>
      <c r="G308" s="273"/>
      <c r="H308" s="273"/>
      <c r="I308" s="274"/>
      <c r="J308" s="272"/>
      <c r="K308" s="273"/>
      <c r="L308" s="273"/>
      <c r="M308" s="273"/>
      <c r="N308" s="273"/>
      <c r="O308" s="275"/>
      <c r="P308" s="272"/>
      <c r="Q308" s="273"/>
      <c r="R308" s="273"/>
      <c r="S308" s="273"/>
      <c r="T308" s="273"/>
      <c r="U308" s="51"/>
    </row>
    <row r="309" spans="1:21" s="47" customFormat="1">
      <c r="A309" s="245">
        <v>46419</v>
      </c>
      <c r="B309" s="257" t="s">
        <v>80</v>
      </c>
      <c r="C309" s="258" t="s">
        <v>296</v>
      </c>
      <c r="D309" s="259" t="s">
        <v>5</v>
      </c>
      <c r="E309" s="260" t="s">
        <v>1</v>
      </c>
      <c r="F309" s="260" t="s">
        <v>2</v>
      </c>
      <c r="G309" s="260" t="s">
        <v>3</v>
      </c>
      <c r="H309" s="260" t="s">
        <v>4</v>
      </c>
      <c r="I309" s="252"/>
      <c r="J309" s="285" t="s">
        <v>5</v>
      </c>
      <c r="K309" s="260" t="s">
        <v>1</v>
      </c>
      <c r="L309" s="260" t="s">
        <v>2</v>
      </c>
      <c r="M309" s="260" t="s">
        <v>3</v>
      </c>
      <c r="N309" s="260" t="s">
        <v>4</v>
      </c>
      <c r="O309" s="252"/>
      <c r="P309" s="285" t="s">
        <v>5</v>
      </c>
      <c r="Q309" s="260" t="s">
        <v>1</v>
      </c>
      <c r="R309" s="260" t="s">
        <v>2</v>
      </c>
      <c r="S309" s="260" t="s">
        <v>3</v>
      </c>
      <c r="T309" s="260" t="s">
        <v>4</v>
      </c>
      <c r="U309" s="252"/>
    </row>
    <row r="310" spans="1:21" s="47" customFormat="1">
      <c r="A310" s="187">
        <v>46420</v>
      </c>
      <c r="B310" s="48" t="s">
        <v>81</v>
      </c>
      <c r="C310" s="41" t="s">
        <v>297</v>
      </c>
      <c r="D310" s="80" t="s">
        <v>36</v>
      </c>
      <c r="E310" s="52" t="s">
        <v>92</v>
      </c>
      <c r="F310" s="52" t="s">
        <v>89</v>
      </c>
      <c r="G310" s="52" t="s">
        <v>90</v>
      </c>
      <c r="H310" s="52" t="s">
        <v>229</v>
      </c>
      <c r="I310" s="163" t="s">
        <v>11</v>
      </c>
      <c r="J310" s="80" t="s">
        <v>36</v>
      </c>
      <c r="K310" s="52" t="s">
        <v>92</v>
      </c>
      <c r="L310" s="52" t="s">
        <v>89</v>
      </c>
      <c r="M310" s="52" t="s">
        <v>90</v>
      </c>
      <c r="N310" s="52" t="s">
        <v>229</v>
      </c>
      <c r="O310" s="48" t="s">
        <v>11</v>
      </c>
      <c r="P310" s="80" t="s">
        <v>36</v>
      </c>
      <c r="Q310" s="52" t="s">
        <v>92</v>
      </c>
      <c r="R310" s="52" t="s">
        <v>89</v>
      </c>
      <c r="S310" s="52" t="s">
        <v>90</v>
      </c>
      <c r="T310" s="52" t="s">
        <v>229</v>
      </c>
      <c r="U310" s="48" t="s">
        <v>11</v>
      </c>
    </row>
    <row r="311" spans="1:21">
      <c r="A311" s="187">
        <v>46421</v>
      </c>
      <c r="B311" s="48" t="s">
        <v>82</v>
      </c>
      <c r="C311" s="41" t="s">
        <v>298</v>
      </c>
      <c r="D311" s="158" t="s">
        <v>42</v>
      </c>
      <c r="E311" s="159" t="s">
        <v>43</v>
      </c>
      <c r="F311" s="159" t="s">
        <v>44</v>
      </c>
      <c r="G311" s="159" t="s">
        <v>45</v>
      </c>
      <c r="H311" s="159" t="s">
        <v>46</v>
      </c>
      <c r="I311" s="163" t="s">
        <v>75</v>
      </c>
      <c r="J311" s="158" t="s">
        <v>42</v>
      </c>
      <c r="K311" s="159" t="s">
        <v>43</v>
      </c>
      <c r="L311" s="159" t="s">
        <v>44</v>
      </c>
      <c r="M311" s="159" t="s">
        <v>45</v>
      </c>
      <c r="N311" s="159" t="s">
        <v>46</v>
      </c>
      <c r="O311" s="48" t="s">
        <v>75</v>
      </c>
      <c r="P311" s="158" t="s">
        <v>42</v>
      </c>
      <c r="Q311" s="159" t="s">
        <v>43</v>
      </c>
      <c r="R311" s="159" t="s">
        <v>44</v>
      </c>
      <c r="S311" s="159" t="s">
        <v>45</v>
      </c>
      <c r="T311" s="159" t="s">
        <v>46</v>
      </c>
      <c r="U311" s="48" t="s">
        <v>75</v>
      </c>
    </row>
    <row r="312" spans="1:21">
      <c r="A312" s="187">
        <v>46422</v>
      </c>
      <c r="B312" s="48" t="s">
        <v>83</v>
      </c>
      <c r="C312" s="41" t="s">
        <v>299</v>
      </c>
      <c r="D312" s="81" t="s">
        <v>18</v>
      </c>
      <c r="E312" s="161" t="s">
        <v>19</v>
      </c>
      <c r="F312" s="52" t="s">
        <v>225</v>
      </c>
      <c r="G312" s="52" t="s">
        <v>102</v>
      </c>
      <c r="H312" s="159" t="s">
        <v>22</v>
      </c>
      <c r="I312" s="145"/>
      <c r="J312" s="81" t="s">
        <v>18</v>
      </c>
      <c r="K312" s="161" t="s">
        <v>19</v>
      </c>
      <c r="L312" s="52" t="s">
        <v>225</v>
      </c>
      <c r="M312" s="52" t="s">
        <v>102</v>
      </c>
      <c r="N312" s="159" t="s">
        <v>22</v>
      </c>
      <c r="O312" s="46"/>
      <c r="P312" s="81" t="s">
        <v>18</v>
      </c>
      <c r="Q312" s="161" t="s">
        <v>19</v>
      </c>
      <c r="R312" s="52" t="s">
        <v>225</v>
      </c>
      <c r="S312" s="52" t="s">
        <v>102</v>
      </c>
      <c r="T312" s="159" t="s">
        <v>22</v>
      </c>
      <c r="U312" s="46"/>
    </row>
    <row r="313" spans="1:21">
      <c r="A313" s="187">
        <v>46423</v>
      </c>
      <c r="B313" s="48" t="s">
        <v>84</v>
      </c>
      <c r="C313" s="41" t="s">
        <v>300</v>
      </c>
      <c r="D313" s="80" t="s">
        <v>24</v>
      </c>
      <c r="E313" s="163" t="s">
        <v>25</v>
      </c>
      <c r="F313" s="52" t="s">
        <v>26</v>
      </c>
      <c r="G313" s="52" t="s">
        <v>96</v>
      </c>
      <c r="H313" s="52" t="s">
        <v>88</v>
      </c>
      <c r="I313" s="180" t="s">
        <v>97</v>
      </c>
      <c r="J313" s="80" t="s">
        <v>24</v>
      </c>
      <c r="K313" s="163" t="s">
        <v>25</v>
      </c>
      <c r="L313" s="52" t="s">
        <v>26</v>
      </c>
      <c r="M313" s="52" t="s">
        <v>96</v>
      </c>
      <c r="N313" s="52" t="s">
        <v>88</v>
      </c>
      <c r="O313" s="77" t="s">
        <v>97</v>
      </c>
      <c r="P313" s="80" t="s">
        <v>24</v>
      </c>
      <c r="Q313" s="163" t="s">
        <v>25</v>
      </c>
      <c r="R313" s="52" t="s">
        <v>26</v>
      </c>
      <c r="S313" s="52" t="s">
        <v>96</v>
      </c>
      <c r="T313" s="52" t="s">
        <v>88</v>
      </c>
      <c r="U313" s="77" t="s">
        <v>97</v>
      </c>
    </row>
    <row r="314" spans="1:21">
      <c r="A314" s="45">
        <v>46424</v>
      </c>
      <c r="B314" s="46" t="s">
        <v>85</v>
      </c>
      <c r="C314" s="55" t="s">
        <v>300</v>
      </c>
      <c r="D314" s="143"/>
      <c r="E314" s="144"/>
      <c r="F314" s="144"/>
      <c r="G314" s="144"/>
      <c r="H314" s="144"/>
      <c r="I314" s="145"/>
      <c r="J314" s="143"/>
      <c r="K314" s="144"/>
      <c r="L314" s="144"/>
      <c r="M314" s="144"/>
      <c r="N314" s="144"/>
      <c r="O314" s="46"/>
      <c r="P314" s="143"/>
      <c r="Q314" s="144"/>
      <c r="R314" s="144"/>
      <c r="S314" s="144"/>
      <c r="T314" s="144"/>
      <c r="U314" s="46"/>
    </row>
    <row r="315" spans="1:21">
      <c r="A315" s="45">
        <v>46425</v>
      </c>
      <c r="B315" s="46" t="s">
        <v>86</v>
      </c>
      <c r="C315" s="55" t="s">
        <v>300</v>
      </c>
      <c r="D315" s="143"/>
      <c r="E315" s="144"/>
      <c r="F315" s="144"/>
      <c r="G315" s="144"/>
      <c r="H315" s="144"/>
      <c r="I315" s="145"/>
      <c r="J315" s="143"/>
      <c r="K315" s="144"/>
      <c r="L315" s="144"/>
      <c r="M315" s="144"/>
      <c r="N315" s="144"/>
      <c r="O315" s="46"/>
      <c r="P315" s="143"/>
      <c r="Q315" s="144"/>
      <c r="R315" s="144"/>
      <c r="S315" s="144"/>
      <c r="T315" s="144"/>
      <c r="U315" s="46"/>
    </row>
    <row r="316" spans="1:21" s="47" customFormat="1">
      <c r="A316" s="187">
        <v>46426</v>
      </c>
      <c r="B316" s="48" t="s">
        <v>80</v>
      </c>
      <c r="C316" s="41" t="s">
        <v>301</v>
      </c>
      <c r="D316" s="80" t="s">
        <v>0</v>
      </c>
      <c r="E316" s="52" t="s">
        <v>1</v>
      </c>
      <c r="F316" s="52" t="s">
        <v>2</v>
      </c>
      <c r="G316" s="52" t="s">
        <v>3</v>
      </c>
      <c r="H316" s="168" t="s">
        <v>22</v>
      </c>
      <c r="I316" s="46"/>
      <c r="J316" s="80" t="s">
        <v>0</v>
      </c>
      <c r="K316" s="52" t="s">
        <v>1</v>
      </c>
      <c r="L316" s="52" t="s">
        <v>2</v>
      </c>
      <c r="M316" s="52" t="s">
        <v>3</v>
      </c>
      <c r="N316" s="168" t="s">
        <v>22</v>
      </c>
      <c r="O316" s="46"/>
      <c r="P316" s="80" t="s">
        <v>0</v>
      </c>
      <c r="Q316" s="52" t="s">
        <v>1</v>
      </c>
      <c r="R316" s="52" t="s">
        <v>2</v>
      </c>
      <c r="S316" s="52" t="s">
        <v>3</v>
      </c>
      <c r="T316" s="168" t="s">
        <v>22</v>
      </c>
      <c r="U316" s="46"/>
    </row>
    <row r="317" spans="1:21" s="47" customFormat="1">
      <c r="A317" s="187">
        <v>46427</v>
      </c>
      <c r="B317" s="77" t="s">
        <v>81</v>
      </c>
      <c r="C317" s="78"/>
      <c r="D317" s="80" t="s">
        <v>36</v>
      </c>
      <c r="E317" s="52" t="s">
        <v>92</v>
      </c>
      <c r="F317" s="52" t="s">
        <v>89</v>
      </c>
      <c r="G317" s="52" t="s">
        <v>90</v>
      </c>
      <c r="H317" s="168" t="s">
        <v>140</v>
      </c>
      <c r="I317" s="46"/>
      <c r="J317" s="80" t="s">
        <v>36</v>
      </c>
      <c r="K317" s="52" t="s">
        <v>92</v>
      </c>
      <c r="L317" s="52" t="s">
        <v>89</v>
      </c>
      <c r="M317" s="52" t="s">
        <v>90</v>
      </c>
      <c r="N317" s="168" t="s">
        <v>140</v>
      </c>
      <c r="O317" s="46"/>
      <c r="P317" s="80" t="s">
        <v>36</v>
      </c>
      <c r="Q317" s="52" t="s">
        <v>92</v>
      </c>
      <c r="R317" s="52" t="s">
        <v>89</v>
      </c>
      <c r="S317" s="52" t="s">
        <v>90</v>
      </c>
      <c r="T317" s="168" t="s">
        <v>140</v>
      </c>
      <c r="U317" s="46"/>
    </row>
    <row r="318" spans="1:21">
      <c r="A318" s="187">
        <v>46428</v>
      </c>
      <c r="B318" s="48" t="s">
        <v>82</v>
      </c>
      <c r="C318" s="41"/>
      <c r="D318" s="158" t="s">
        <v>42</v>
      </c>
      <c r="E318" s="159" t="s">
        <v>43</v>
      </c>
      <c r="F318" s="159" t="s">
        <v>44</v>
      </c>
      <c r="G318" s="159" t="s">
        <v>45</v>
      </c>
      <c r="H318" s="159" t="s">
        <v>46</v>
      </c>
      <c r="I318" s="163" t="s">
        <v>75</v>
      </c>
      <c r="J318" s="158" t="s">
        <v>42</v>
      </c>
      <c r="K318" s="159" t="s">
        <v>43</v>
      </c>
      <c r="L318" s="159" t="s">
        <v>44</v>
      </c>
      <c r="M318" s="159" t="s">
        <v>45</v>
      </c>
      <c r="N318" s="159" t="s">
        <v>46</v>
      </c>
      <c r="O318" s="48" t="s">
        <v>75</v>
      </c>
      <c r="P318" s="158" t="s">
        <v>42</v>
      </c>
      <c r="Q318" s="159" t="s">
        <v>43</v>
      </c>
      <c r="R318" s="159" t="s">
        <v>44</v>
      </c>
      <c r="S318" s="159" t="s">
        <v>45</v>
      </c>
      <c r="T318" s="159" t="s">
        <v>46</v>
      </c>
      <c r="U318" s="48" t="s">
        <v>75</v>
      </c>
    </row>
    <row r="319" spans="1:21" s="47" customFormat="1">
      <c r="A319" s="45">
        <v>46429</v>
      </c>
      <c r="B319" s="46" t="s">
        <v>83</v>
      </c>
      <c r="C319" s="55" t="s">
        <v>302</v>
      </c>
      <c r="D319" s="143"/>
      <c r="E319" s="144"/>
      <c r="F319" s="144"/>
      <c r="G319" s="144"/>
      <c r="H319" s="144"/>
      <c r="I319" s="145"/>
      <c r="J319" s="143"/>
      <c r="K319" s="144"/>
      <c r="L319" s="144"/>
      <c r="M319" s="144"/>
      <c r="N319" s="144"/>
      <c r="O319" s="46"/>
      <c r="P319" s="143"/>
      <c r="Q319" s="144"/>
      <c r="R319" s="144"/>
      <c r="S319" s="144"/>
      <c r="T319" s="144"/>
      <c r="U319" s="46"/>
    </row>
    <row r="320" spans="1:21">
      <c r="A320" s="187">
        <v>46430</v>
      </c>
      <c r="B320" s="48" t="s">
        <v>84</v>
      </c>
      <c r="C320" s="41"/>
      <c r="D320" s="80" t="s">
        <v>24</v>
      </c>
      <c r="E320" s="163" t="s">
        <v>25</v>
      </c>
      <c r="F320" s="52" t="s">
        <v>26</v>
      </c>
      <c r="G320" s="52" t="s">
        <v>96</v>
      </c>
      <c r="H320" s="159" t="s">
        <v>88</v>
      </c>
      <c r="I320" s="180" t="s">
        <v>97</v>
      </c>
      <c r="J320" s="80" t="s">
        <v>24</v>
      </c>
      <c r="K320" s="163" t="s">
        <v>25</v>
      </c>
      <c r="L320" s="52" t="s">
        <v>26</v>
      </c>
      <c r="M320" s="52" t="s">
        <v>96</v>
      </c>
      <c r="N320" s="159" t="s">
        <v>88</v>
      </c>
      <c r="O320" s="77" t="s">
        <v>97</v>
      </c>
      <c r="P320" s="80" t="s">
        <v>24</v>
      </c>
      <c r="Q320" s="163" t="s">
        <v>25</v>
      </c>
      <c r="R320" s="52" t="s">
        <v>26</v>
      </c>
      <c r="S320" s="52" t="s">
        <v>96</v>
      </c>
      <c r="T320" s="159" t="s">
        <v>88</v>
      </c>
      <c r="U320" s="77" t="s">
        <v>97</v>
      </c>
    </row>
    <row r="321" spans="1:41">
      <c r="A321" s="45">
        <v>46431</v>
      </c>
      <c r="B321" s="46" t="s">
        <v>85</v>
      </c>
      <c r="C321" s="55"/>
      <c r="D321" s="143"/>
      <c r="E321" s="144"/>
      <c r="F321" s="144"/>
      <c r="G321" s="144"/>
      <c r="H321" s="144"/>
      <c r="I321" s="145"/>
      <c r="J321" s="143"/>
      <c r="K321" s="144"/>
      <c r="L321" s="144"/>
      <c r="M321" s="144"/>
      <c r="N321" s="144"/>
      <c r="O321" s="46"/>
      <c r="P321" s="143"/>
      <c r="Q321" s="144"/>
      <c r="R321" s="144"/>
      <c r="S321" s="144"/>
      <c r="T321" s="144"/>
      <c r="U321" s="46"/>
    </row>
    <row r="322" spans="1:41">
      <c r="A322" s="45">
        <v>46432</v>
      </c>
      <c r="B322" s="46" t="s">
        <v>86</v>
      </c>
      <c r="C322" s="55"/>
      <c r="D322" s="143"/>
      <c r="E322" s="144"/>
      <c r="F322" s="144"/>
      <c r="G322" s="144"/>
      <c r="H322" s="144"/>
      <c r="I322" s="145"/>
      <c r="J322" s="143"/>
      <c r="K322" s="144"/>
      <c r="L322" s="144"/>
      <c r="M322" s="144"/>
      <c r="N322" s="144"/>
      <c r="O322" s="46"/>
      <c r="P322" s="143"/>
      <c r="Q322" s="144"/>
      <c r="R322" s="144"/>
      <c r="S322" s="144"/>
      <c r="T322" s="144"/>
      <c r="U322" s="46"/>
    </row>
    <row r="323" spans="1:41" s="47" customFormat="1">
      <c r="A323" s="187">
        <v>46433</v>
      </c>
      <c r="B323" s="48" t="s">
        <v>80</v>
      </c>
      <c r="C323" s="41" t="s">
        <v>303</v>
      </c>
      <c r="D323" s="179" t="s">
        <v>42</v>
      </c>
      <c r="E323" s="168" t="s">
        <v>13</v>
      </c>
      <c r="F323" s="168" t="s">
        <v>101</v>
      </c>
      <c r="G323" s="168" t="s">
        <v>4</v>
      </c>
      <c r="H323" s="168" t="s">
        <v>5</v>
      </c>
      <c r="I323" s="145"/>
      <c r="J323" s="179" t="s">
        <v>42</v>
      </c>
      <c r="K323" s="168" t="s">
        <v>13</v>
      </c>
      <c r="L323" s="168" t="s">
        <v>101</v>
      </c>
      <c r="M323" s="168" t="s">
        <v>4</v>
      </c>
      <c r="N323" s="168" t="s">
        <v>5</v>
      </c>
      <c r="O323" s="46"/>
      <c r="P323" s="179" t="s">
        <v>42</v>
      </c>
      <c r="Q323" s="168" t="s">
        <v>13</v>
      </c>
      <c r="R323" s="168" t="s">
        <v>101</v>
      </c>
      <c r="S323" s="168" t="s">
        <v>4</v>
      </c>
      <c r="T323" s="168" t="s">
        <v>5</v>
      </c>
      <c r="U323" s="46"/>
    </row>
    <row r="324" spans="1:41" s="47" customFormat="1">
      <c r="A324" s="187">
        <v>46434</v>
      </c>
      <c r="B324" s="48" t="s">
        <v>81</v>
      </c>
      <c r="C324" s="41" t="s">
        <v>359</v>
      </c>
      <c r="D324" s="218" t="s">
        <v>18</v>
      </c>
      <c r="E324" s="219" t="s">
        <v>377</v>
      </c>
      <c r="F324" s="219" t="s">
        <v>378</v>
      </c>
      <c r="G324" s="219" t="s">
        <v>102</v>
      </c>
      <c r="H324" s="52" t="s">
        <v>229</v>
      </c>
      <c r="I324" s="180" t="s">
        <v>11</v>
      </c>
      <c r="J324" s="218" t="s">
        <v>18</v>
      </c>
      <c r="K324" s="219" t="s">
        <v>377</v>
      </c>
      <c r="L324" s="219" t="s">
        <v>378</v>
      </c>
      <c r="M324" s="219" t="s">
        <v>102</v>
      </c>
      <c r="N324" s="52" t="s">
        <v>229</v>
      </c>
      <c r="O324" s="77" t="s">
        <v>11</v>
      </c>
      <c r="P324" s="218" t="s">
        <v>18</v>
      </c>
      <c r="Q324" s="219" t="s">
        <v>377</v>
      </c>
      <c r="R324" s="219" t="s">
        <v>378</v>
      </c>
      <c r="S324" s="219" t="s">
        <v>102</v>
      </c>
      <c r="T324" s="52" t="s">
        <v>229</v>
      </c>
      <c r="U324" s="77" t="s">
        <v>11</v>
      </c>
    </row>
    <row r="325" spans="1:41" s="221" customFormat="1">
      <c r="A325" s="215">
        <v>46435</v>
      </c>
      <c r="B325" s="216" t="s">
        <v>82</v>
      </c>
      <c r="C325" s="217" t="s">
        <v>360</v>
      </c>
      <c r="D325" s="218"/>
      <c r="E325" s="219"/>
      <c r="F325" s="219"/>
      <c r="G325" s="219"/>
      <c r="H325" s="219"/>
      <c r="I325" s="220"/>
      <c r="J325" s="218"/>
      <c r="K325" s="219"/>
      <c r="L325" s="219"/>
      <c r="M325" s="219"/>
      <c r="N325" s="219"/>
      <c r="O325" s="216"/>
      <c r="P325" s="218"/>
      <c r="Q325" s="219"/>
      <c r="R325" s="219"/>
      <c r="S325" s="219"/>
      <c r="T325" s="219"/>
      <c r="U325" s="216"/>
      <c r="X325" s="221" t="s">
        <v>0</v>
      </c>
      <c r="Y325" s="221" t="s">
        <v>1</v>
      </c>
      <c r="Z325" s="221" t="s">
        <v>2</v>
      </c>
      <c r="AA325" s="221" t="s">
        <v>3</v>
      </c>
      <c r="AB325" s="221" t="s">
        <v>4</v>
      </c>
      <c r="AC325" s="221" t="s">
        <v>5</v>
      </c>
      <c r="AD325" s="221" t="s">
        <v>0</v>
      </c>
      <c r="AE325" s="221" t="s">
        <v>1</v>
      </c>
      <c r="AF325" s="221" t="s">
        <v>2</v>
      </c>
      <c r="AG325" s="221" t="s">
        <v>3</v>
      </c>
      <c r="AH325" s="221" t="s">
        <v>4</v>
      </c>
      <c r="AI325" s="221" t="s">
        <v>5</v>
      </c>
      <c r="AJ325" s="221" t="s">
        <v>0</v>
      </c>
      <c r="AK325" s="221" t="s">
        <v>1</v>
      </c>
      <c r="AL325" s="221" t="s">
        <v>2</v>
      </c>
      <c r="AM325" s="221" t="s">
        <v>3</v>
      </c>
      <c r="AN325" s="221" t="s">
        <v>4</v>
      </c>
      <c r="AO325" s="221" t="s">
        <v>5</v>
      </c>
    </row>
    <row r="326" spans="1:41">
      <c r="A326" s="187">
        <v>46436</v>
      </c>
      <c r="B326" s="48" t="s">
        <v>83</v>
      </c>
      <c r="C326" s="41" t="s">
        <v>360</v>
      </c>
      <c r="D326" s="158"/>
      <c r="E326" s="159"/>
      <c r="F326" s="159"/>
      <c r="G326" s="144"/>
      <c r="H326" s="144"/>
      <c r="I326" s="145"/>
      <c r="J326" s="158"/>
      <c r="K326" s="159"/>
      <c r="L326" s="159"/>
      <c r="M326" s="144"/>
      <c r="N326" s="144"/>
      <c r="O326" s="46"/>
      <c r="P326" s="158"/>
      <c r="Q326" s="159"/>
      <c r="R326" s="159"/>
      <c r="S326" s="144"/>
      <c r="T326" s="144"/>
      <c r="U326" s="46"/>
      <c r="X326" s="44" t="s">
        <v>36</v>
      </c>
      <c r="Y326" s="44" t="s">
        <v>37</v>
      </c>
      <c r="Z326" s="44" t="s">
        <v>38</v>
      </c>
      <c r="AA326" s="44" t="s">
        <v>39</v>
      </c>
      <c r="AB326" s="44" t="s">
        <v>40</v>
      </c>
      <c r="AC326" s="44" t="s">
        <v>41</v>
      </c>
      <c r="AD326" s="44" t="s">
        <v>36</v>
      </c>
      <c r="AE326" s="44" t="s">
        <v>37</v>
      </c>
      <c r="AF326" s="44" t="s">
        <v>38</v>
      </c>
      <c r="AG326" s="44" t="s">
        <v>39</v>
      </c>
      <c r="AH326" s="44" t="s">
        <v>40</v>
      </c>
      <c r="AI326" s="44" t="s">
        <v>41</v>
      </c>
      <c r="AJ326" s="44" t="s">
        <v>36</v>
      </c>
      <c r="AK326" s="44" t="s">
        <v>37</v>
      </c>
      <c r="AL326" s="44" t="s">
        <v>38</v>
      </c>
      <c r="AM326" s="44" t="s">
        <v>39</v>
      </c>
      <c r="AN326" s="44" t="s">
        <v>40</v>
      </c>
      <c r="AO326" s="44" t="s">
        <v>41</v>
      </c>
    </row>
    <row r="327" spans="1:41">
      <c r="A327" s="187">
        <v>46437</v>
      </c>
      <c r="B327" s="48" t="s">
        <v>84</v>
      </c>
      <c r="C327" s="41" t="s">
        <v>361</v>
      </c>
      <c r="D327" s="158"/>
      <c r="E327" s="159"/>
      <c r="F327" s="159"/>
      <c r="G327" s="144"/>
      <c r="H327" s="144"/>
      <c r="I327" s="145"/>
      <c r="J327" s="158"/>
      <c r="K327" s="159"/>
      <c r="L327" s="159"/>
      <c r="M327" s="144"/>
      <c r="N327" s="144"/>
      <c r="O327" s="46"/>
      <c r="P327" s="158"/>
      <c r="Q327" s="159"/>
      <c r="R327" s="159"/>
      <c r="S327" s="144"/>
      <c r="T327" s="144"/>
      <c r="U327" s="46"/>
      <c r="X327" s="44" t="s">
        <v>42</v>
      </c>
      <c r="Y327" s="44" t="s">
        <v>43</v>
      </c>
      <c r="Z327" s="44" t="s">
        <v>44</v>
      </c>
      <c r="AA327" s="44" t="s">
        <v>45</v>
      </c>
      <c r="AB327" s="44" t="s">
        <v>46</v>
      </c>
      <c r="AC327" s="44" t="s">
        <v>47</v>
      </c>
      <c r="AD327" s="44" t="s">
        <v>42</v>
      </c>
      <c r="AE327" s="44" t="s">
        <v>43</v>
      </c>
      <c r="AF327" s="44" t="s">
        <v>44</v>
      </c>
      <c r="AG327" s="44" t="s">
        <v>45</v>
      </c>
      <c r="AH327" s="44" t="s">
        <v>46</v>
      </c>
      <c r="AI327" s="44" t="s">
        <v>47</v>
      </c>
      <c r="AJ327" s="44" t="s">
        <v>42</v>
      </c>
      <c r="AK327" s="44" t="s">
        <v>43</v>
      </c>
      <c r="AL327" s="44" t="s">
        <v>44</v>
      </c>
      <c r="AM327" s="44" t="s">
        <v>45</v>
      </c>
      <c r="AN327" s="44" t="s">
        <v>46</v>
      </c>
      <c r="AO327" s="44" t="s">
        <v>47</v>
      </c>
    </row>
    <row r="328" spans="1:41">
      <c r="A328" s="45">
        <v>46438</v>
      </c>
      <c r="B328" s="46" t="s">
        <v>85</v>
      </c>
      <c r="C328" s="55" t="s">
        <v>241</v>
      </c>
      <c r="D328" s="143"/>
      <c r="E328" s="144"/>
      <c r="F328" s="144"/>
      <c r="G328" s="144"/>
      <c r="H328" s="144"/>
      <c r="I328" s="145"/>
      <c r="J328" s="143"/>
      <c r="K328" s="144"/>
      <c r="L328" s="144"/>
      <c r="M328" s="144"/>
      <c r="N328" s="144"/>
      <c r="O328" s="46"/>
      <c r="P328" s="143"/>
      <c r="Q328" s="144"/>
      <c r="R328" s="144"/>
      <c r="S328" s="144"/>
      <c r="T328" s="144"/>
      <c r="U328" s="46"/>
      <c r="X328" s="44" t="s">
        <v>48</v>
      </c>
      <c r="Y328" s="44" t="s">
        <v>49</v>
      </c>
      <c r="Z328" s="44" t="s">
        <v>50</v>
      </c>
      <c r="AA328" s="44" t="s">
        <v>51</v>
      </c>
      <c r="AB328" s="44" t="s">
        <v>52</v>
      </c>
      <c r="AD328" s="44" t="s">
        <v>48</v>
      </c>
      <c r="AE328" s="44" t="s">
        <v>49</v>
      </c>
      <c r="AF328" s="44" t="s">
        <v>50</v>
      </c>
      <c r="AG328" s="44" t="s">
        <v>51</v>
      </c>
      <c r="AH328" s="44" t="s">
        <v>52</v>
      </c>
      <c r="AJ328" s="44" t="s">
        <v>48</v>
      </c>
      <c r="AK328" s="44" t="s">
        <v>49</v>
      </c>
      <c r="AL328" s="44" t="s">
        <v>50</v>
      </c>
      <c r="AM328" s="44" t="s">
        <v>51</v>
      </c>
      <c r="AN328" s="44" t="s">
        <v>52</v>
      </c>
    </row>
    <row r="329" spans="1:41">
      <c r="A329" s="45">
        <v>46439</v>
      </c>
      <c r="B329" s="46" t="s">
        <v>86</v>
      </c>
      <c r="C329" s="55" t="s">
        <v>241</v>
      </c>
      <c r="D329" s="143"/>
      <c r="E329" s="144"/>
      <c r="F329" s="144"/>
      <c r="G329" s="144"/>
      <c r="H329" s="144"/>
      <c r="I329" s="145"/>
      <c r="J329" s="143"/>
      <c r="K329" s="144"/>
      <c r="L329" s="144"/>
      <c r="M329" s="144"/>
      <c r="N329" s="144"/>
      <c r="O329" s="46"/>
      <c r="P329" s="143"/>
      <c r="Q329" s="144"/>
      <c r="R329" s="144"/>
      <c r="S329" s="144"/>
      <c r="T329" s="144"/>
      <c r="U329" s="46"/>
      <c r="X329" s="44" t="s">
        <v>54</v>
      </c>
      <c r="Y329" s="44" t="s">
        <v>55</v>
      </c>
      <c r="Z329" s="44" t="s">
        <v>56</v>
      </c>
      <c r="AA329" s="44" t="s">
        <v>57</v>
      </c>
      <c r="AB329" s="44" t="s">
        <v>58</v>
      </c>
      <c r="AC329" s="44" t="s">
        <v>59</v>
      </c>
      <c r="AD329" s="44" t="s">
        <v>54</v>
      </c>
      <c r="AE329" s="44" t="s">
        <v>55</v>
      </c>
      <c r="AF329" s="44" t="s">
        <v>56</v>
      </c>
      <c r="AG329" s="44" t="s">
        <v>57</v>
      </c>
      <c r="AH329" s="44" t="s">
        <v>58</v>
      </c>
      <c r="AI329" s="44" t="s">
        <v>59</v>
      </c>
      <c r="AJ329" s="44" t="s">
        <v>54</v>
      </c>
      <c r="AK329" s="44" t="s">
        <v>55</v>
      </c>
      <c r="AL329" s="44" t="s">
        <v>56</v>
      </c>
      <c r="AM329" s="44" t="s">
        <v>57</v>
      </c>
      <c r="AN329" s="44" t="s">
        <v>58</v>
      </c>
      <c r="AO329" s="44" t="s">
        <v>59</v>
      </c>
    </row>
    <row r="330" spans="1:41" s="47" customFormat="1">
      <c r="A330" s="187">
        <v>46440</v>
      </c>
      <c r="B330" s="77" t="s">
        <v>80</v>
      </c>
      <c r="C330" s="78" t="s">
        <v>304</v>
      </c>
      <c r="D330" s="80" t="s">
        <v>0</v>
      </c>
      <c r="E330" s="52" t="s">
        <v>1</v>
      </c>
      <c r="F330" s="52" t="s">
        <v>2</v>
      </c>
      <c r="G330" s="52" t="s">
        <v>3</v>
      </c>
      <c r="H330" s="52" t="s">
        <v>4</v>
      </c>
      <c r="I330" s="145"/>
      <c r="J330" s="80" t="s">
        <v>0</v>
      </c>
      <c r="K330" s="52" t="s">
        <v>1</v>
      </c>
      <c r="L330" s="52" t="s">
        <v>2</v>
      </c>
      <c r="M330" s="52" t="s">
        <v>3</v>
      </c>
      <c r="N330" s="52" t="s">
        <v>4</v>
      </c>
      <c r="O330" s="46"/>
      <c r="P330" s="80" t="s">
        <v>0</v>
      </c>
      <c r="Q330" s="52" t="s">
        <v>1</v>
      </c>
      <c r="R330" s="52" t="s">
        <v>2</v>
      </c>
      <c r="S330" s="52" t="s">
        <v>3</v>
      </c>
      <c r="T330" s="52" t="s">
        <v>4</v>
      </c>
      <c r="U330" s="46"/>
    </row>
    <row r="331" spans="1:41" s="47" customFormat="1" ht="19.5" customHeight="1">
      <c r="A331" s="45">
        <v>46441</v>
      </c>
      <c r="B331" s="46" t="s">
        <v>81</v>
      </c>
      <c r="C331" s="55" t="s">
        <v>305</v>
      </c>
      <c r="D331" s="143"/>
      <c r="E331" s="144"/>
      <c r="F331" s="144"/>
      <c r="G331" s="144"/>
      <c r="H331" s="144"/>
      <c r="I331" s="145"/>
      <c r="J331" s="143"/>
      <c r="K331" s="144"/>
      <c r="L331" s="144"/>
      <c r="M331" s="144"/>
      <c r="N331" s="144"/>
      <c r="O331" s="46"/>
      <c r="P331" s="143"/>
      <c r="Q331" s="144"/>
      <c r="R331" s="144"/>
      <c r="S331" s="144"/>
      <c r="T331" s="144"/>
      <c r="U331" s="46"/>
    </row>
    <row r="332" spans="1:41" s="47" customFormat="1">
      <c r="A332" s="187">
        <v>46442</v>
      </c>
      <c r="B332" s="48" t="s">
        <v>82</v>
      </c>
      <c r="C332" s="41" t="s">
        <v>381</v>
      </c>
      <c r="D332" s="158" t="s">
        <v>42</v>
      </c>
      <c r="E332" s="159" t="s">
        <v>43</v>
      </c>
      <c r="F332" s="159" t="s">
        <v>44</v>
      </c>
      <c r="G332" s="159" t="s">
        <v>45</v>
      </c>
      <c r="H332" s="159" t="s">
        <v>46</v>
      </c>
      <c r="I332" s="77" t="s">
        <v>380</v>
      </c>
      <c r="J332" s="158" t="s">
        <v>42</v>
      </c>
      <c r="K332" s="159" t="s">
        <v>43</v>
      </c>
      <c r="L332" s="159" t="s">
        <v>44</v>
      </c>
      <c r="M332" s="159" t="s">
        <v>45</v>
      </c>
      <c r="N332" s="159" t="s">
        <v>46</v>
      </c>
      <c r="O332" s="77" t="s">
        <v>75</v>
      </c>
      <c r="P332" s="158" t="s">
        <v>42</v>
      </c>
      <c r="Q332" s="159" t="s">
        <v>43</v>
      </c>
      <c r="R332" s="159" t="s">
        <v>44</v>
      </c>
      <c r="S332" s="144"/>
      <c r="T332" s="144"/>
      <c r="U332" s="46"/>
    </row>
    <row r="333" spans="1:41">
      <c r="A333" s="187">
        <v>46443</v>
      </c>
      <c r="B333" s="48" t="s">
        <v>83</v>
      </c>
      <c r="C333" s="41" t="s">
        <v>379</v>
      </c>
      <c r="D333" s="158" t="s">
        <v>18</v>
      </c>
      <c r="E333" s="159" t="s">
        <v>377</v>
      </c>
      <c r="F333" s="159" t="s">
        <v>378</v>
      </c>
      <c r="G333" s="159" t="s">
        <v>102</v>
      </c>
      <c r="H333" s="159" t="s">
        <v>22</v>
      </c>
      <c r="I333" s="145"/>
      <c r="J333" s="158" t="s">
        <v>18</v>
      </c>
      <c r="K333" s="159" t="s">
        <v>377</v>
      </c>
      <c r="L333" s="159" t="s">
        <v>378</v>
      </c>
      <c r="M333" s="159" t="s">
        <v>102</v>
      </c>
      <c r="N333" s="159" t="s">
        <v>22</v>
      </c>
      <c r="O333" s="46"/>
      <c r="P333" s="158" t="s">
        <v>18</v>
      </c>
      <c r="Q333" s="159" t="s">
        <v>377</v>
      </c>
      <c r="R333" s="159" t="s">
        <v>378</v>
      </c>
      <c r="S333" s="159" t="s">
        <v>102</v>
      </c>
      <c r="T333" s="159" t="s">
        <v>22</v>
      </c>
      <c r="U333" s="46"/>
    </row>
    <row r="334" spans="1:41">
      <c r="A334" s="187">
        <v>46444</v>
      </c>
      <c r="B334" s="48" t="s">
        <v>84</v>
      </c>
      <c r="C334" s="41" t="s">
        <v>306</v>
      </c>
      <c r="D334" s="80" t="s">
        <v>24</v>
      </c>
      <c r="E334" s="163" t="s">
        <v>25</v>
      </c>
      <c r="F334" s="52" t="s">
        <v>26</v>
      </c>
      <c r="G334" s="52" t="s">
        <v>96</v>
      </c>
      <c r="H334" s="52" t="s">
        <v>88</v>
      </c>
      <c r="I334" s="180" t="s">
        <v>97</v>
      </c>
      <c r="J334" s="80" t="s">
        <v>24</v>
      </c>
      <c r="K334" s="163" t="s">
        <v>25</v>
      </c>
      <c r="L334" s="52" t="s">
        <v>26</v>
      </c>
      <c r="M334" s="52" t="s">
        <v>96</v>
      </c>
      <c r="N334" s="52" t="s">
        <v>88</v>
      </c>
      <c r="O334" s="77" t="s">
        <v>97</v>
      </c>
      <c r="P334" s="80" t="s">
        <v>24</v>
      </c>
      <c r="Q334" s="163" t="s">
        <v>25</v>
      </c>
      <c r="R334" s="52" t="s">
        <v>26</v>
      </c>
      <c r="S334" s="52" t="s">
        <v>96</v>
      </c>
      <c r="T334" s="52" t="s">
        <v>88</v>
      </c>
      <c r="U334" s="77" t="s">
        <v>97</v>
      </c>
    </row>
    <row r="335" spans="1:41">
      <c r="A335" s="45">
        <v>46445</v>
      </c>
      <c r="B335" s="46" t="s">
        <v>85</v>
      </c>
      <c r="C335" s="55" t="s">
        <v>241</v>
      </c>
      <c r="D335" s="143"/>
      <c r="E335" s="144"/>
      <c r="F335" s="144"/>
      <c r="G335" s="144"/>
      <c r="H335" s="144"/>
      <c r="I335" s="145"/>
      <c r="J335" s="143"/>
      <c r="K335" s="144"/>
      <c r="L335" s="144"/>
      <c r="M335" s="144"/>
      <c r="N335" s="144"/>
      <c r="O335" s="46"/>
      <c r="P335" s="143"/>
      <c r="Q335" s="144"/>
      <c r="R335" s="144"/>
      <c r="S335" s="144"/>
      <c r="T335" s="144"/>
      <c r="U335" s="46"/>
    </row>
    <row r="336" spans="1:41" ht="18" thickBot="1">
      <c r="A336" s="246">
        <v>46446</v>
      </c>
      <c r="B336" s="248" t="s">
        <v>86</v>
      </c>
      <c r="C336" s="249" t="s">
        <v>241</v>
      </c>
      <c r="D336" s="250"/>
      <c r="E336" s="251"/>
      <c r="F336" s="251"/>
      <c r="G336" s="251"/>
      <c r="H336" s="251"/>
      <c r="I336" s="238"/>
      <c r="J336" s="250"/>
      <c r="K336" s="251"/>
      <c r="L336" s="251"/>
      <c r="M336" s="251"/>
      <c r="N336" s="251"/>
      <c r="O336" s="248"/>
      <c r="P336" s="250"/>
      <c r="Q336" s="251"/>
      <c r="R336" s="251"/>
      <c r="S336" s="251"/>
      <c r="T336" s="251"/>
      <c r="U336" s="248"/>
    </row>
    <row r="337" spans="1:41" s="47" customFormat="1">
      <c r="A337" s="245">
        <v>46447</v>
      </c>
      <c r="B337" s="257" t="s">
        <v>80</v>
      </c>
      <c r="C337" s="258" t="s">
        <v>308</v>
      </c>
      <c r="D337" s="261" t="s">
        <v>0</v>
      </c>
      <c r="E337" s="262" t="s">
        <v>1</v>
      </c>
      <c r="F337" s="262" t="s">
        <v>2</v>
      </c>
      <c r="G337" s="262" t="s">
        <v>3</v>
      </c>
      <c r="H337" s="255"/>
      <c r="I337" s="256"/>
      <c r="J337" s="261" t="s">
        <v>0</v>
      </c>
      <c r="K337" s="262" t="s">
        <v>1</v>
      </c>
      <c r="L337" s="262" t="s">
        <v>2</v>
      </c>
      <c r="M337" s="262" t="s">
        <v>3</v>
      </c>
      <c r="N337" s="255"/>
      <c r="O337" s="252"/>
      <c r="P337" s="261" t="s">
        <v>0</v>
      </c>
      <c r="Q337" s="262" t="s">
        <v>1</v>
      </c>
      <c r="R337" s="262" t="s">
        <v>2</v>
      </c>
      <c r="S337" s="262" t="s">
        <v>3</v>
      </c>
      <c r="T337" s="255"/>
      <c r="U337" s="252"/>
    </row>
    <row r="338" spans="1:41" s="47" customFormat="1">
      <c r="A338" s="187">
        <v>46448</v>
      </c>
      <c r="B338" s="48" t="s">
        <v>81</v>
      </c>
      <c r="C338" s="41" t="s">
        <v>337</v>
      </c>
      <c r="D338" s="158" t="s">
        <v>6</v>
      </c>
      <c r="E338" s="159" t="s">
        <v>153</v>
      </c>
      <c r="F338" s="159" t="s">
        <v>154</v>
      </c>
      <c r="G338" s="219" t="s">
        <v>155</v>
      </c>
      <c r="H338" s="194" t="s">
        <v>362</v>
      </c>
      <c r="I338" s="180"/>
      <c r="J338" s="158" t="s">
        <v>6</v>
      </c>
      <c r="K338" s="159" t="s">
        <v>153</v>
      </c>
      <c r="L338" s="159" t="s">
        <v>154</v>
      </c>
      <c r="M338" s="219" t="s">
        <v>155</v>
      </c>
      <c r="N338" s="194" t="s">
        <v>362</v>
      </c>
      <c r="O338" s="77"/>
      <c r="P338" s="158" t="s">
        <v>6</v>
      </c>
      <c r="Q338" s="159" t="s">
        <v>153</v>
      </c>
      <c r="R338" s="159" t="s">
        <v>154</v>
      </c>
      <c r="S338" s="219" t="s">
        <v>155</v>
      </c>
      <c r="T338" s="194" t="s">
        <v>362</v>
      </c>
      <c r="U338" s="77"/>
      <c r="X338" s="47" t="s">
        <v>0</v>
      </c>
      <c r="Y338" s="47" t="s">
        <v>1</v>
      </c>
      <c r="Z338" s="47" t="s">
        <v>2</v>
      </c>
      <c r="AA338" s="47" t="s">
        <v>3</v>
      </c>
      <c r="AB338" s="47" t="s">
        <v>4</v>
      </c>
      <c r="AC338" s="47" t="s">
        <v>5</v>
      </c>
      <c r="AD338" s="47" t="s">
        <v>0</v>
      </c>
      <c r="AE338" s="47" t="s">
        <v>1</v>
      </c>
      <c r="AF338" s="47" t="s">
        <v>2</v>
      </c>
      <c r="AG338" s="47" t="s">
        <v>3</v>
      </c>
      <c r="AH338" s="47" t="s">
        <v>4</v>
      </c>
      <c r="AI338" s="47" t="s">
        <v>5</v>
      </c>
      <c r="AJ338" s="47" t="s">
        <v>0</v>
      </c>
      <c r="AK338" s="47" t="s">
        <v>1</v>
      </c>
      <c r="AL338" s="47" t="s">
        <v>2</v>
      </c>
      <c r="AM338" s="47" t="s">
        <v>3</v>
      </c>
      <c r="AN338" s="47" t="s">
        <v>4</v>
      </c>
      <c r="AO338" s="47" t="s">
        <v>5</v>
      </c>
    </row>
    <row r="339" spans="1:41">
      <c r="A339" s="187">
        <v>46449</v>
      </c>
      <c r="B339" s="48" t="s">
        <v>82</v>
      </c>
      <c r="C339" s="41" t="s">
        <v>241</v>
      </c>
      <c r="D339" s="189" t="s">
        <v>12</v>
      </c>
      <c r="E339" s="190" t="s">
        <v>13</v>
      </c>
      <c r="F339" s="190" t="s">
        <v>14</v>
      </c>
      <c r="G339" s="190" t="s">
        <v>15</v>
      </c>
      <c r="H339" s="190" t="s">
        <v>16</v>
      </c>
      <c r="I339" s="180" t="s">
        <v>75</v>
      </c>
      <c r="J339" s="189" t="s">
        <v>12</v>
      </c>
      <c r="K339" s="190" t="s">
        <v>13</v>
      </c>
      <c r="L339" s="190" t="s">
        <v>14</v>
      </c>
      <c r="M339" s="190" t="s">
        <v>15</v>
      </c>
      <c r="N339" s="190" t="s">
        <v>364</v>
      </c>
      <c r="O339" s="77" t="s">
        <v>364</v>
      </c>
      <c r="P339" s="189" t="s">
        <v>366</v>
      </c>
      <c r="Q339" s="190" t="s">
        <v>367</v>
      </c>
      <c r="R339" s="190" t="s">
        <v>368</v>
      </c>
      <c r="S339" s="190" t="s">
        <v>370</v>
      </c>
      <c r="T339" s="166"/>
      <c r="U339" s="46"/>
      <c r="X339" s="44" t="s">
        <v>36</v>
      </c>
      <c r="Y339" s="44" t="s">
        <v>37</v>
      </c>
      <c r="Z339" s="44" t="s">
        <v>38</v>
      </c>
      <c r="AA339" s="44" t="s">
        <v>39</v>
      </c>
      <c r="AB339" s="44" t="s">
        <v>40</v>
      </c>
      <c r="AC339" s="47" t="s">
        <v>41</v>
      </c>
      <c r="AD339" s="47" t="s">
        <v>36</v>
      </c>
      <c r="AE339" s="47" t="s">
        <v>37</v>
      </c>
      <c r="AF339" s="47" t="s">
        <v>38</v>
      </c>
      <c r="AG339" s="47" t="s">
        <v>39</v>
      </c>
      <c r="AH339" s="47" t="s">
        <v>40</v>
      </c>
      <c r="AI339" s="44" t="s">
        <v>41</v>
      </c>
      <c r="AJ339" s="44" t="s">
        <v>36</v>
      </c>
      <c r="AK339" s="44" t="s">
        <v>37</v>
      </c>
      <c r="AL339" s="44" t="s">
        <v>38</v>
      </c>
      <c r="AM339" s="44" t="s">
        <v>39</v>
      </c>
      <c r="AN339" s="44" t="s">
        <v>40</v>
      </c>
      <c r="AO339" s="44" t="s">
        <v>41</v>
      </c>
    </row>
    <row r="340" spans="1:41">
      <c r="A340" s="187">
        <v>46450</v>
      </c>
      <c r="B340" s="48" t="s">
        <v>83</v>
      </c>
      <c r="C340" s="41" t="s">
        <v>338</v>
      </c>
      <c r="D340" s="189" t="s">
        <v>389</v>
      </c>
      <c r="E340" s="198" t="s">
        <v>378</v>
      </c>
      <c r="F340" s="198" t="s">
        <v>102</v>
      </c>
      <c r="G340" s="198" t="s">
        <v>93</v>
      </c>
      <c r="H340" s="166" t="s">
        <v>363</v>
      </c>
      <c r="I340" s="145"/>
      <c r="J340" s="189" t="s">
        <v>389</v>
      </c>
      <c r="K340" s="190" t="s">
        <v>365</v>
      </c>
      <c r="L340" s="190"/>
      <c r="M340" s="198" t="s">
        <v>93</v>
      </c>
      <c r="N340" s="166" t="s">
        <v>363</v>
      </c>
      <c r="O340" s="46"/>
      <c r="P340" s="189" t="s">
        <v>369</v>
      </c>
      <c r="Q340" s="190" t="s">
        <v>365</v>
      </c>
      <c r="R340" s="190"/>
      <c r="S340" s="190" t="s">
        <v>75</v>
      </c>
      <c r="T340" s="166"/>
      <c r="U340" s="46"/>
      <c r="X340" s="44" t="s">
        <v>42</v>
      </c>
      <c r="Y340" s="44" t="s">
        <v>43</v>
      </c>
      <c r="Z340" s="44" t="s">
        <v>44</v>
      </c>
      <c r="AA340" s="44" t="s">
        <v>45</v>
      </c>
      <c r="AB340" s="44" t="s">
        <v>46</v>
      </c>
      <c r="AC340" s="44" t="s">
        <v>47</v>
      </c>
      <c r="AD340" s="44" t="s">
        <v>42</v>
      </c>
      <c r="AE340" s="44" t="s">
        <v>43</v>
      </c>
      <c r="AF340" s="44" t="s">
        <v>44</v>
      </c>
      <c r="AG340" s="44" t="s">
        <v>45</v>
      </c>
      <c r="AH340" s="44" t="s">
        <v>46</v>
      </c>
      <c r="AI340" s="44" t="s">
        <v>47</v>
      </c>
      <c r="AJ340" s="44" t="s">
        <v>42</v>
      </c>
      <c r="AK340" s="44" t="s">
        <v>43</v>
      </c>
      <c r="AL340" s="44" t="s">
        <v>44</v>
      </c>
      <c r="AM340" s="44" t="s">
        <v>45</v>
      </c>
      <c r="AN340" s="44" t="s">
        <v>46</v>
      </c>
      <c r="AO340" s="44" t="s">
        <v>47</v>
      </c>
    </row>
    <row r="341" spans="1:41">
      <c r="A341" s="187">
        <v>46451</v>
      </c>
      <c r="B341" s="48" t="s">
        <v>84</v>
      </c>
      <c r="C341" s="41" t="s">
        <v>339</v>
      </c>
      <c r="D341" s="195" t="s">
        <v>371</v>
      </c>
      <c r="E341" s="159"/>
      <c r="F341" s="159"/>
      <c r="G341" s="159"/>
      <c r="H341" s="166"/>
      <c r="I341" s="145"/>
      <c r="J341" s="189" t="s">
        <v>372</v>
      </c>
      <c r="K341" s="159"/>
      <c r="L341" s="159"/>
      <c r="M341" s="159"/>
      <c r="N341" s="166"/>
      <c r="O341" s="46"/>
      <c r="P341" s="189" t="s">
        <v>372</v>
      </c>
      <c r="Q341" s="159"/>
      <c r="R341" s="159"/>
      <c r="S341" s="159"/>
      <c r="T341" s="166"/>
      <c r="U341" s="46"/>
      <c r="X341" s="44" t="s">
        <v>48</v>
      </c>
      <c r="Y341" s="44" t="s">
        <v>49</v>
      </c>
      <c r="Z341" s="44" t="s">
        <v>50</v>
      </c>
      <c r="AA341" s="44" t="s">
        <v>51</v>
      </c>
      <c r="AB341" s="44" t="s">
        <v>52</v>
      </c>
      <c r="AD341" s="44" t="s">
        <v>48</v>
      </c>
      <c r="AE341" s="44" t="s">
        <v>49</v>
      </c>
      <c r="AF341" s="44" t="s">
        <v>50</v>
      </c>
      <c r="AG341" s="44" t="s">
        <v>51</v>
      </c>
      <c r="AH341" s="44" t="s">
        <v>52</v>
      </c>
      <c r="AJ341" s="44" t="s">
        <v>48</v>
      </c>
      <c r="AK341" s="44" t="s">
        <v>49</v>
      </c>
      <c r="AL341" s="44" t="s">
        <v>50</v>
      </c>
      <c r="AM341" s="44" t="s">
        <v>51</v>
      </c>
      <c r="AN341" s="44" t="s">
        <v>52</v>
      </c>
    </row>
    <row r="342" spans="1:41">
      <c r="A342" s="45">
        <v>46452</v>
      </c>
      <c r="B342" s="46" t="s">
        <v>85</v>
      </c>
      <c r="C342" s="55" t="s">
        <v>241</v>
      </c>
      <c r="D342" s="143"/>
      <c r="E342" s="144"/>
      <c r="F342" s="144"/>
      <c r="G342" s="144"/>
      <c r="H342" s="144"/>
      <c r="I342" s="145"/>
      <c r="J342" s="143"/>
      <c r="K342" s="144"/>
      <c r="L342" s="144"/>
      <c r="M342" s="144"/>
      <c r="N342" s="144"/>
      <c r="O342" s="46"/>
      <c r="P342" s="143"/>
      <c r="Q342" s="144"/>
      <c r="R342" s="144"/>
      <c r="S342" s="144"/>
      <c r="T342" s="144"/>
      <c r="U342" s="46"/>
      <c r="X342" s="44" t="s">
        <v>54</v>
      </c>
      <c r="Y342" s="44" t="s">
        <v>55</v>
      </c>
      <c r="Z342" s="44" t="s">
        <v>56</v>
      </c>
      <c r="AA342" s="44" t="s">
        <v>57</v>
      </c>
      <c r="AB342" s="44" t="s">
        <v>58</v>
      </c>
      <c r="AC342" s="44" t="s">
        <v>59</v>
      </c>
      <c r="AD342" s="44" t="s">
        <v>54</v>
      </c>
      <c r="AE342" s="44" t="s">
        <v>55</v>
      </c>
      <c r="AF342" s="44" t="s">
        <v>56</v>
      </c>
      <c r="AG342" s="44" t="s">
        <v>57</v>
      </c>
      <c r="AH342" s="44" t="s">
        <v>58</v>
      </c>
      <c r="AI342" s="44" t="s">
        <v>59</v>
      </c>
      <c r="AJ342" s="44" t="s">
        <v>54</v>
      </c>
      <c r="AK342" s="44" t="s">
        <v>55</v>
      </c>
      <c r="AL342" s="44" t="s">
        <v>56</v>
      </c>
      <c r="AM342" s="44" t="s">
        <v>57</v>
      </c>
      <c r="AN342" s="44" t="s">
        <v>58</v>
      </c>
      <c r="AO342" s="44" t="s">
        <v>59</v>
      </c>
    </row>
    <row r="343" spans="1:41">
      <c r="A343" s="45">
        <v>46453</v>
      </c>
      <c r="B343" s="46" t="s">
        <v>86</v>
      </c>
      <c r="C343" s="55" t="s">
        <v>241</v>
      </c>
      <c r="D343" s="143"/>
      <c r="E343" s="144"/>
      <c r="F343" s="144"/>
      <c r="G343" s="144"/>
      <c r="H343" s="144"/>
      <c r="I343" s="145"/>
      <c r="J343" s="143"/>
      <c r="K343" s="144"/>
      <c r="L343" s="144"/>
      <c r="M343" s="144"/>
      <c r="N343" s="144"/>
      <c r="O343" s="46"/>
      <c r="P343" s="143"/>
      <c r="Q343" s="144"/>
      <c r="R343" s="144"/>
      <c r="S343" s="144"/>
      <c r="T343" s="144"/>
      <c r="U343" s="46"/>
    </row>
    <row r="344" spans="1:41" s="47" customFormat="1">
      <c r="A344" s="187">
        <v>46454</v>
      </c>
      <c r="B344" s="48" t="s">
        <v>80</v>
      </c>
      <c r="C344" s="41" t="s">
        <v>340</v>
      </c>
      <c r="D344" s="158" t="s">
        <v>0</v>
      </c>
      <c r="E344" s="168" t="s">
        <v>2</v>
      </c>
      <c r="F344" s="168" t="s">
        <v>3</v>
      </c>
      <c r="G344" s="168" t="s">
        <v>4</v>
      </c>
      <c r="H344" s="168" t="s">
        <v>5</v>
      </c>
      <c r="I344" s="145"/>
      <c r="J344" s="158" t="s">
        <v>0</v>
      </c>
      <c r="K344" s="168" t="s">
        <v>2</v>
      </c>
      <c r="L344" s="168" t="s">
        <v>3</v>
      </c>
      <c r="M344" s="168" t="s">
        <v>4</v>
      </c>
      <c r="N344" s="168" t="s">
        <v>5</v>
      </c>
      <c r="O344" s="46"/>
      <c r="P344" s="143"/>
      <c r="Q344" s="144"/>
      <c r="R344" s="144"/>
      <c r="S344" s="144"/>
      <c r="T344" s="144"/>
      <c r="U344" s="46"/>
    </row>
    <row r="345" spans="1:41" s="47" customFormat="1">
      <c r="A345" s="187">
        <v>46455</v>
      </c>
      <c r="B345" s="48" t="s">
        <v>81</v>
      </c>
      <c r="C345" s="41" t="s">
        <v>341</v>
      </c>
      <c r="D345" s="158" t="s">
        <v>6</v>
      </c>
      <c r="E345" s="159" t="s">
        <v>153</v>
      </c>
      <c r="F345" s="159" t="s">
        <v>154</v>
      </c>
      <c r="G345" s="159" t="s">
        <v>155</v>
      </c>
      <c r="H345" s="159" t="s">
        <v>229</v>
      </c>
      <c r="I345" s="180" t="s">
        <v>11</v>
      </c>
      <c r="J345" s="158" t="s">
        <v>6</v>
      </c>
      <c r="K345" s="159" t="s">
        <v>153</v>
      </c>
      <c r="L345" s="159" t="s">
        <v>154</v>
      </c>
      <c r="M345" s="159" t="s">
        <v>155</v>
      </c>
      <c r="N345" s="159" t="s">
        <v>229</v>
      </c>
      <c r="O345" s="77" t="s">
        <v>11</v>
      </c>
      <c r="P345" s="143"/>
      <c r="Q345" s="144"/>
      <c r="R345" s="144"/>
      <c r="S345" s="144"/>
      <c r="T345" s="144"/>
      <c r="U345" s="46"/>
    </row>
    <row r="346" spans="1:41">
      <c r="A346" s="187">
        <v>46456</v>
      </c>
      <c r="B346" s="48" t="s">
        <v>82</v>
      </c>
      <c r="C346" s="41" t="s">
        <v>383</v>
      </c>
      <c r="D346" s="158" t="s">
        <v>42</v>
      </c>
      <c r="E346" s="159" t="s">
        <v>43</v>
      </c>
      <c r="F346" s="159" t="s">
        <v>44</v>
      </c>
      <c r="G346" s="159" t="s">
        <v>45</v>
      </c>
      <c r="H346" s="159" t="s">
        <v>46</v>
      </c>
      <c r="I346" s="180" t="s">
        <v>75</v>
      </c>
      <c r="J346" s="158" t="s">
        <v>42</v>
      </c>
      <c r="K346" s="159" t="s">
        <v>43</v>
      </c>
      <c r="L346" s="159" t="s">
        <v>44</v>
      </c>
      <c r="M346" s="159" t="s">
        <v>45</v>
      </c>
      <c r="N346" s="159" t="s">
        <v>46</v>
      </c>
      <c r="O346" s="77" t="s">
        <v>75</v>
      </c>
      <c r="P346" s="143"/>
      <c r="Q346" s="144"/>
      <c r="R346" s="144"/>
      <c r="S346" s="144"/>
      <c r="T346" s="144"/>
      <c r="U346" s="46"/>
    </row>
    <row r="347" spans="1:41">
      <c r="A347" s="187">
        <v>46457</v>
      </c>
      <c r="B347" s="48" t="s">
        <v>83</v>
      </c>
      <c r="C347" s="41" t="s">
        <v>382</v>
      </c>
      <c r="D347" s="189" t="s">
        <v>18</v>
      </c>
      <c r="E347" s="190" t="s">
        <v>377</v>
      </c>
      <c r="F347" s="190" t="s">
        <v>378</v>
      </c>
      <c r="G347" s="190" t="s">
        <v>102</v>
      </c>
      <c r="H347" s="159" t="s">
        <v>22</v>
      </c>
      <c r="I347" s="145"/>
      <c r="J347" s="189" t="s">
        <v>18</v>
      </c>
      <c r="K347" s="190" t="s">
        <v>377</v>
      </c>
      <c r="L347" s="190" t="s">
        <v>378</v>
      </c>
      <c r="M347" s="190" t="s">
        <v>102</v>
      </c>
      <c r="N347" s="159" t="s">
        <v>22</v>
      </c>
      <c r="O347" s="46"/>
      <c r="P347" s="143"/>
      <c r="Q347" s="144"/>
      <c r="R347" s="144"/>
      <c r="S347" s="144"/>
      <c r="T347" s="144"/>
      <c r="U347" s="46"/>
    </row>
    <row r="348" spans="1:41">
      <c r="A348" s="187">
        <v>46458</v>
      </c>
      <c r="B348" s="48" t="s">
        <v>84</v>
      </c>
      <c r="C348" s="41" t="s">
        <v>342</v>
      </c>
      <c r="D348" s="158" t="s">
        <v>24</v>
      </c>
      <c r="E348" s="168" t="s">
        <v>388</v>
      </c>
      <c r="F348" s="168" t="s">
        <v>88</v>
      </c>
      <c r="G348" s="168" t="s">
        <v>97</v>
      </c>
      <c r="H348" s="144"/>
      <c r="I348" s="145"/>
      <c r="J348" s="158" t="s">
        <v>24</v>
      </c>
      <c r="K348" s="168" t="s">
        <v>388</v>
      </c>
      <c r="L348" s="168" t="s">
        <v>88</v>
      </c>
      <c r="M348" s="168" t="s">
        <v>97</v>
      </c>
      <c r="N348" s="144"/>
      <c r="O348" s="46"/>
      <c r="P348" s="143"/>
      <c r="Q348" s="144"/>
      <c r="R348" s="144"/>
      <c r="S348" s="144"/>
      <c r="T348" s="144"/>
      <c r="U348" s="46"/>
    </row>
    <row r="349" spans="1:41">
      <c r="A349" s="45">
        <v>46459</v>
      </c>
      <c r="B349" s="46" t="s">
        <v>85</v>
      </c>
      <c r="C349" s="55" t="s">
        <v>241</v>
      </c>
      <c r="D349" s="143"/>
      <c r="E349" s="144"/>
      <c r="F349" s="144"/>
      <c r="G349" s="144"/>
      <c r="H349" s="144"/>
      <c r="I349" s="145"/>
      <c r="J349" s="143"/>
      <c r="K349" s="144"/>
      <c r="L349" s="144"/>
      <c r="M349" s="144"/>
      <c r="N349" s="144"/>
      <c r="O349" s="46"/>
      <c r="P349" s="143"/>
      <c r="Q349" s="144"/>
      <c r="R349" s="144"/>
      <c r="S349" s="144"/>
      <c r="T349" s="144"/>
      <c r="U349" s="46"/>
    </row>
    <row r="350" spans="1:41">
      <c r="A350" s="45">
        <v>46460</v>
      </c>
      <c r="B350" s="46" t="s">
        <v>86</v>
      </c>
      <c r="C350" s="55" t="s">
        <v>248</v>
      </c>
      <c r="D350" s="143"/>
      <c r="E350" s="144"/>
      <c r="F350" s="144"/>
      <c r="G350" s="144"/>
      <c r="H350" s="144"/>
      <c r="I350" s="145"/>
      <c r="J350" s="143"/>
      <c r="K350" s="144"/>
      <c r="L350" s="144"/>
      <c r="M350" s="144"/>
      <c r="N350" s="144"/>
      <c r="O350" s="46"/>
      <c r="P350" s="143"/>
      <c r="Q350" s="144"/>
      <c r="R350" s="144"/>
      <c r="S350" s="144"/>
      <c r="T350" s="144"/>
      <c r="U350" s="46"/>
    </row>
    <row r="351" spans="1:41" s="47" customFormat="1">
      <c r="A351" s="187">
        <v>46461</v>
      </c>
      <c r="B351" s="48" t="s">
        <v>80</v>
      </c>
      <c r="C351" s="41" t="s">
        <v>343</v>
      </c>
      <c r="D351" s="158" t="s">
        <v>0</v>
      </c>
      <c r="E351" s="159" t="s">
        <v>1</v>
      </c>
      <c r="F351" s="159" t="s">
        <v>2</v>
      </c>
      <c r="G351" s="159" t="s">
        <v>3</v>
      </c>
      <c r="H351" s="159" t="s">
        <v>4</v>
      </c>
      <c r="I351" s="180" t="s">
        <v>373</v>
      </c>
      <c r="J351" s="158" t="s">
        <v>0</v>
      </c>
      <c r="K351" s="159" t="s">
        <v>1</v>
      </c>
      <c r="L351" s="159" t="s">
        <v>2</v>
      </c>
      <c r="M351" s="159" t="s">
        <v>3</v>
      </c>
      <c r="N351" s="159" t="s">
        <v>4</v>
      </c>
      <c r="O351" s="77" t="s">
        <v>373</v>
      </c>
      <c r="P351" s="143"/>
      <c r="Q351" s="144"/>
      <c r="R351" s="144"/>
      <c r="S351" s="144"/>
      <c r="T351" s="144"/>
      <c r="U351" s="46"/>
    </row>
    <row r="352" spans="1:41" s="47" customFormat="1">
      <c r="A352" s="187">
        <v>46462</v>
      </c>
      <c r="B352" s="48" t="s">
        <v>81</v>
      </c>
      <c r="C352" s="41" t="s">
        <v>344</v>
      </c>
      <c r="D352" s="158" t="s">
        <v>6</v>
      </c>
      <c r="E352" s="159" t="s">
        <v>153</v>
      </c>
      <c r="F352" s="159" t="s">
        <v>154</v>
      </c>
      <c r="G352" s="159" t="s">
        <v>155</v>
      </c>
      <c r="H352" s="159" t="s">
        <v>229</v>
      </c>
      <c r="I352" s="180" t="s">
        <v>11</v>
      </c>
      <c r="J352" s="158" t="s">
        <v>6</v>
      </c>
      <c r="K352" s="159" t="s">
        <v>153</v>
      </c>
      <c r="L352" s="159" t="s">
        <v>154</v>
      </c>
      <c r="M352" s="159" t="s">
        <v>155</v>
      </c>
      <c r="N352" s="159" t="s">
        <v>229</v>
      </c>
      <c r="O352" s="77" t="s">
        <v>11</v>
      </c>
      <c r="P352" s="143"/>
      <c r="Q352" s="144"/>
      <c r="R352" s="144"/>
      <c r="S352" s="144"/>
      <c r="T352" s="144"/>
      <c r="U352" s="46"/>
    </row>
    <row r="353" spans="1:21">
      <c r="A353" s="187">
        <v>46463</v>
      </c>
      <c r="B353" s="48" t="s">
        <v>82</v>
      </c>
      <c r="C353" s="41" t="s">
        <v>345</v>
      </c>
      <c r="D353" s="158" t="s">
        <v>42</v>
      </c>
      <c r="E353" s="159" t="s">
        <v>43</v>
      </c>
      <c r="F353" s="159" t="s">
        <v>44</v>
      </c>
      <c r="G353" s="159" t="s">
        <v>45</v>
      </c>
      <c r="H353" s="159" t="s">
        <v>46</v>
      </c>
      <c r="I353" s="180" t="s">
        <v>75</v>
      </c>
      <c r="J353" s="158" t="s">
        <v>42</v>
      </c>
      <c r="K353" s="159" t="s">
        <v>43</v>
      </c>
      <c r="L353" s="159" t="s">
        <v>44</v>
      </c>
      <c r="M353" s="159" t="s">
        <v>45</v>
      </c>
      <c r="N353" s="159" t="s">
        <v>46</v>
      </c>
      <c r="O353" s="77" t="s">
        <v>75</v>
      </c>
      <c r="P353" s="143"/>
      <c r="Q353" s="144"/>
      <c r="R353" s="144"/>
      <c r="S353" s="144"/>
      <c r="T353" s="144"/>
      <c r="U353" s="46"/>
    </row>
    <row r="354" spans="1:21">
      <c r="A354" s="187">
        <v>46464</v>
      </c>
      <c r="B354" s="77" t="s">
        <v>83</v>
      </c>
      <c r="C354" s="78" t="s">
        <v>346</v>
      </c>
      <c r="D354" s="189" t="s">
        <v>18</v>
      </c>
      <c r="E354" s="190" t="s">
        <v>377</v>
      </c>
      <c r="F354" s="190" t="s">
        <v>378</v>
      </c>
      <c r="G354" s="190" t="s">
        <v>102</v>
      </c>
      <c r="H354" s="144"/>
      <c r="I354" s="145"/>
      <c r="J354" s="189" t="s">
        <v>18</v>
      </c>
      <c r="K354" s="190" t="s">
        <v>377</v>
      </c>
      <c r="L354" s="190" t="s">
        <v>378</v>
      </c>
      <c r="M354" s="190" t="s">
        <v>102</v>
      </c>
      <c r="N354" s="144"/>
      <c r="O354" s="46"/>
      <c r="P354" s="143"/>
      <c r="Q354" s="144"/>
      <c r="R354" s="144"/>
      <c r="S354" s="144"/>
      <c r="T354" s="144"/>
      <c r="U354" s="46"/>
    </row>
    <row r="355" spans="1:21">
      <c r="A355" s="187">
        <v>46465</v>
      </c>
      <c r="B355" s="77" t="s">
        <v>84</v>
      </c>
      <c r="C355" s="78" t="s">
        <v>347</v>
      </c>
      <c r="D355" s="158" t="s">
        <v>24</v>
      </c>
      <c r="E355" s="159" t="s">
        <v>25</v>
      </c>
      <c r="F355" s="159" t="s">
        <v>26</v>
      </c>
      <c r="G355" s="159" t="s">
        <v>96</v>
      </c>
      <c r="H355" s="159" t="s">
        <v>88</v>
      </c>
      <c r="I355" s="180" t="s">
        <v>97</v>
      </c>
      <c r="J355" s="158" t="s">
        <v>24</v>
      </c>
      <c r="K355" s="159" t="s">
        <v>25</v>
      </c>
      <c r="L355" s="159" t="s">
        <v>26</v>
      </c>
      <c r="M355" s="159" t="s">
        <v>96</v>
      </c>
      <c r="N355" s="159" t="s">
        <v>88</v>
      </c>
      <c r="O355" s="77" t="s">
        <v>97</v>
      </c>
      <c r="P355" s="143"/>
      <c r="Q355" s="144"/>
      <c r="R355" s="144"/>
      <c r="S355" s="144"/>
      <c r="T355" s="144"/>
      <c r="U355" s="46"/>
    </row>
    <row r="356" spans="1:21">
      <c r="A356" s="45">
        <v>46466</v>
      </c>
      <c r="B356" s="46" t="s">
        <v>85</v>
      </c>
      <c r="C356" s="55" t="s">
        <v>241</v>
      </c>
      <c r="D356" s="143"/>
      <c r="E356" s="144"/>
      <c r="F356" s="144"/>
      <c r="G356" s="144"/>
      <c r="H356" s="144"/>
      <c r="I356" s="145"/>
      <c r="J356" s="143"/>
      <c r="K356" s="144"/>
      <c r="L356" s="144"/>
      <c r="M356" s="144"/>
      <c r="N356" s="144"/>
      <c r="O356" s="46"/>
      <c r="P356" s="143"/>
      <c r="Q356" s="144"/>
      <c r="R356" s="144"/>
      <c r="S356" s="144"/>
      <c r="T356" s="144"/>
      <c r="U356" s="46"/>
    </row>
    <row r="357" spans="1:21">
      <c r="A357" s="45">
        <v>46467</v>
      </c>
      <c r="B357" s="46" t="s">
        <v>86</v>
      </c>
      <c r="C357" s="55" t="s">
        <v>348</v>
      </c>
      <c r="D357" s="143"/>
      <c r="E357" s="144"/>
      <c r="F357" s="144"/>
      <c r="G357" s="144"/>
      <c r="H357" s="144"/>
      <c r="I357" s="145"/>
      <c r="J357" s="143"/>
      <c r="K357" s="144"/>
      <c r="L357" s="144"/>
      <c r="M357" s="144"/>
      <c r="N357" s="144"/>
      <c r="O357" s="46"/>
      <c r="P357" s="143"/>
      <c r="Q357" s="144"/>
      <c r="R357" s="144"/>
      <c r="S357" s="144"/>
      <c r="T357" s="144"/>
      <c r="U357" s="46"/>
    </row>
    <row r="358" spans="1:21" s="47" customFormat="1">
      <c r="A358" s="45">
        <v>46468</v>
      </c>
      <c r="B358" s="46" t="s">
        <v>80</v>
      </c>
      <c r="C358" s="55" t="s">
        <v>349</v>
      </c>
      <c r="D358" s="143"/>
      <c r="E358" s="144"/>
      <c r="F358" s="144"/>
      <c r="G358" s="144"/>
      <c r="H358" s="144"/>
      <c r="I358" s="145"/>
      <c r="J358" s="143"/>
      <c r="K358" s="144"/>
      <c r="L358" s="144"/>
      <c r="M358" s="144"/>
      <c r="N358" s="144"/>
      <c r="O358" s="46"/>
      <c r="P358" s="143"/>
      <c r="Q358" s="144"/>
      <c r="R358" s="144"/>
      <c r="S358" s="144"/>
      <c r="T358" s="144"/>
      <c r="U358" s="46"/>
    </row>
    <row r="359" spans="1:21" s="47" customFormat="1">
      <c r="A359" s="187">
        <v>46469</v>
      </c>
      <c r="B359" s="77" t="s">
        <v>81</v>
      </c>
      <c r="C359" s="78" t="s">
        <v>350</v>
      </c>
      <c r="D359" s="179" t="s">
        <v>102</v>
      </c>
      <c r="E359" s="168" t="s">
        <v>93</v>
      </c>
      <c r="F359" s="159" t="s">
        <v>75</v>
      </c>
      <c r="G359" s="159" t="s">
        <v>76</v>
      </c>
      <c r="H359" s="159" t="s">
        <v>357</v>
      </c>
      <c r="I359" s="145"/>
      <c r="J359" s="179" t="s">
        <v>102</v>
      </c>
      <c r="K359" s="168" t="s">
        <v>93</v>
      </c>
      <c r="L359" s="159" t="s">
        <v>76</v>
      </c>
      <c r="M359" s="159" t="s">
        <v>75</v>
      </c>
      <c r="N359" s="159" t="s">
        <v>357</v>
      </c>
      <c r="O359" s="46"/>
      <c r="P359" s="143"/>
      <c r="Q359" s="144"/>
      <c r="R359" s="144"/>
      <c r="S359" s="144"/>
      <c r="T359" s="144"/>
      <c r="U359" s="46"/>
    </row>
    <row r="360" spans="1:21">
      <c r="A360" s="187">
        <v>46470</v>
      </c>
      <c r="B360" s="77" t="s">
        <v>82</v>
      </c>
      <c r="C360" s="78" t="s">
        <v>351</v>
      </c>
      <c r="D360" s="158" t="s">
        <v>74</v>
      </c>
      <c r="E360" s="159" t="s">
        <v>75</v>
      </c>
      <c r="F360" s="144"/>
      <c r="G360" s="144"/>
      <c r="H360" s="144"/>
      <c r="I360" s="145"/>
      <c r="J360" s="158" t="s">
        <v>74</v>
      </c>
      <c r="K360" s="159" t="s">
        <v>75</v>
      </c>
      <c r="L360" s="144"/>
      <c r="M360" s="144"/>
      <c r="N360" s="144"/>
      <c r="O360" s="46"/>
      <c r="P360" s="143"/>
      <c r="Q360" s="144"/>
      <c r="R360" s="144"/>
      <c r="S360" s="144"/>
      <c r="T360" s="144"/>
      <c r="U360" s="46"/>
    </row>
    <row r="361" spans="1:21">
      <c r="A361" s="45">
        <v>46471</v>
      </c>
      <c r="B361" s="46" t="s">
        <v>83</v>
      </c>
      <c r="C361" s="55" t="s">
        <v>352</v>
      </c>
      <c r="D361" s="143"/>
      <c r="E361" s="144"/>
      <c r="F361" s="144"/>
      <c r="G361" s="144"/>
      <c r="H361" s="144"/>
      <c r="I361" s="145"/>
      <c r="J361" s="143"/>
      <c r="K361" s="144"/>
      <c r="L361" s="144"/>
      <c r="M361" s="144"/>
      <c r="N361" s="144"/>
      <c r="O361" s="46"/>
      <c r="P361" s="143"/>
      <c r="Q361" s="144"/>
      <c r="R361" s="144"/>
      <c r="S361" s="144"/>
      <c r="T361" s="144"/>
      <c r="U361" s="46"/>
    </row>
    <row r="362" spans="1:21">
      <c r="A362" s="45">
        <v>46472</v>
      </c>
      <c r="B362" s="46" t="s">
        <v>84</v>
      </c>
      <c r="C362" s="55" t="s">
        <v>353</v>
      </c>
      <c r="D362" s="143"/>
      <c r="E362" s="144"/>
      <c r="F362" s="144"/>
      <c r="G362" s="144"/>
      <c r="H362" s="144"/>
      <c r="I362" s="145"/>
      <c r="J362" s="143"/>
      <c r="K362" s="144"/>
      <c r="L362" s="144"/>
      <c r="M362" s="144"/>
      <c r="N362" s="144"/>
      <c r="O362" s="46"/>
      <c r="P362" s="143"/>
      <c r="Q362" s="144"/>
      <c r="R362" s="144"/>
      <c r="S362" s="144"/>
      <c r="T362" s="144"/>
      <c r="U362" s="46"/>
    </row>
    <row r="363" spans="1:21">
      <c r="A363" s="45">
        <v>46473</v>
      </c>
      <c r="B363" s="46" t="s">
        <v>85</v>
      </c>
      <c r="C363" s="55" t="s">
        <v>241</v>
      </c>
      <c r="D363" s="143"/>
      <c r="E363" s="144"/>
      <c r="F363" s="144"/>
      <c r="G363" s="144"/>
      <c r="H363" s="144"/>
      <c r="I363" s="145"/>
      <c r="J363" s="143"/>
      <c r="K363" s="144"/>
      <c r="L363" s="144"/>
      <c r="M363" s="144"/>
      <c r="N363" s="144"/>
      <c r="O363" s="46"/>
      <c r="P363" s="143"/>
      <c r="Q363" s="144"/>
      <c r="R363" s="144"/>
      <c r="S363" s="144"/>
      <c r="T363" s="144"/>
      <c r="U363" s="46"/>
    </row>
    <row r="364" spans="1:21">
      <c r="A364" s="45">
        <v>46474</v>
      </c>
      <c r="B364" s="46" t="s">
        <v>86</v>
      </c>
      <c r="C364" s="55" t="s">
        <v>241</v>
      </c>
      <c r="D364" s="143"/>
      <c r="E364" s="144"/>
      <c r="F364" s="144"/>
      <c r="G364" s="144"/>
      <c r="H364" s="144"/>
      <c r="I364" s="145"/>
      <c r="J364" s="143"/>
      <c r="K364" s="144"/>
      <c r="L364" s="144"/>
      <c r="M364" s="144"/>
      <c r="N364" s="144"/>
      <c r="O364" s="46"/>
      <c r="P364" s="143"/>
      <c r="Q364" s="144"/>
      <c r="R364" s="144"/>
      <c r="S364" s="144"/>
      <c r="T364" s="144"/>
      <c r="U364" s="46"/>
    </row>
    <row r="365" spans="1:21" s="47" customFormat="1">
      <c r="A365" s="45">
        <v>46475</v>
      </c>
      <c r="B365" s="248" t="s">
        <v>80</v>
      </c>
      <c r="C365" s="249" t="s">
        <v>241</v>
      </c>
      <c r="D365" s="250"/>
      <c r="E365" s="251"/>
      <c r="F365" s="251"/>
      <c r="G365" s="251"/>
      <c r="H365" s="251"/>
      <c r="I365" s="238"/>
      <c r="J365" s="250"/>
      <c r="K365" s="251"/>
      <c r="L365" s="251"/>
      <c r="M365" s="251"/>
      <c r="N365" s="251"/>
      <c r="O365" s="248"/>
      <c r="P365" s="250"/>
      <c r="Q365" s="251"/>
      <c r="R365" s="251"/>
      <c r="S365" s="251"/>
      <c r="T365" s="251"/>
      <c r="U365" s="248"/>
    </row>
    <row r="366" spans="1:21" s="47" customFormat="1">
      <c r="A366" s="45">
        <v>46476</v>
      </c>
      <c r="B366" s="145" t="s">
        <v>374</v>
      </c>
      <c r="C366" s="263" t="s">
        <v>241</v>
      </c>
      <c r="D366" s="146"/>
      <c r="E366" s="144"/>
      <c r="F366" s="144"/>
      <c r="G366" s="144"/>
      <c r="H366" s="144"/>
      <c r="I366" s="144"/>
      <c r="J366" s="143"/>
      <c r="K366" s="144"/>
      <c r="L366" s="144"/>
      <c r="M366" s="144"/>
      <c r="N366" s="144"/>
      <c r="O366" s="46"/>
      <c r="P366" s="143"/>
      <c r="Q366" s="144"/>
      <c r="R366" s="144"/>
      <c r="S366" s="144"/>
      <c r="T366" s="144"/>
      <c r="U366" s="46"/>
    </row>
    <row r="367" spans="1:21" ht="18" thickBot="1">
      <c r="A367" s="264">
        <v>46477</v>
      </c>
      <c r="B367" s="184" t="s">
        <v>375</v>
      </c>
      <c r="C367" s="265"/>
      <c r="D367" s="185"/>
      <c r="E367" s="183"/>
      <c r="F367" s="183"/>
      <c r="G367" s="183"/>
      <c r="H367" s="183"/>
      <c r="I367" s="183"/>
      <c r="J367" s="182"/>
      <c r="K367" s="183"/>
      <c r="L367" s="183"/>
      <c r="M367" s="183"/>
      <c r="N367" s="183"/>
      <c r="O367" s="51"/>
      <c r="P367" s="182"/>
      <c r="Q367" s="183"/>
      <c r="R367" s="183"/>
      <c r="S367" s="183"/>
      <c r="T367" s="183"/>
      <c r="U367" s="51"/>
    </row>
    <row r="368" spans="1:21">
      <c r="A368" s="45"/>
      <c r="B368" s="54"/>
      <c r="C368" s="53"/>
      <c r="D368" s="186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</row>
    <row r="369" spans="1:1">
      <c r="A369" s="45"/>
    </row>
  </sheetData>
  <mergeCells count="14">
    <mergeCell ref="D1:I1"/>
    <mergeCell ref="J1:O1"/>
    <mergeCell ref="P1:U1"/>
    <mergeCell ref="P81:U81"/>
    <mergeCell ref="D206:H206"/>
    <mergeCell ref="J206:N206"/>
    <mergeCell ref="P206:T206"/>
    <mergeCell ref="D163:F163"/>
    <mergeCell ref="J163:L163"/>
    <mergeCell ref="P163:R163"/>
    <mergeCell ref="T198:U198"/>
    <mergeCell ref="N201:O201"/>
    <mergeCell ref="P201:T201"/>
    <mergeCell ref="H204:I204"/>
  </mergeCells>
  <phoneticPr fontId="1"/>
  <pageMargins left="0.62992125984251968" right="0.23622047244094491" top="0.55118110236220474" bottom="0.35433070866141736" header="0.31496062992125984" footer="0.31496062992125984"/>
  <pageSetup paperSize="9" scale="66" orientation="portrait" r:id="rId1"/>
  <rowBreaks count="5" manualBreakCount="5">
    <brk id="63" max="18" man="1"/>
    <brk id="124" max="18" man="1"/>
    <brk id="185" max="18" man="1"/>
    <brk id="246" max="18" man="1"/>
    <brk id="308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EA7E-F09D-4B7D-A0C5-A3C727B8CF96}">
  <dimension ref="A1:BP249"/>
  <sheetViews>
    <sheetView tabSelected="1" view="pageBreakPreview" zoomScale="80" zoomScaleNormal="85" zoomScaleSheetLayoutView="80" workbookViewId="0">
      <selection activeCell="AF39" sqref="AF39"/>
    </sheetView>
  </sheetViews>
  <sheetFormatPr defaultRowHeight="17.649999999999999"/>
  <cols>
    <col min="1" max="1" width="2.5" bestFit="1" customWidth="1"/>
    <col min="2" max="5" width="3.375" bestFit="1" customWidth="1"/>
    <col min="6" max="6" width="3.875" customWidth="1"/>
    <col min="7" max="16" width="3.375" bestFit="1" customWidth="1"/>
    <col min="17" max="17" width="3" customWidth="1"/>
    <col min="18" max="33" width="4" customWidth="1"/>
    <col min="34" max="34" width="3.625" customWidth="1"/>
    <col min="39" max="68" width="5.25" bestFit="1" customWidth="1"/>
  </cols>
  <sheetData>
    <row r="1" spans="1:68">
      <c r="AF1" s="309"/>
      <c r="AG1" s="310"/>
      <c r="AH1" s="310"/>
    </row>
    <row r="2" spans="1:68" ht="22.15">
      <c r="A2" s="311" t="s">
        <v>69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</row>
    <row r="3" spans="1:68" ht="22.15">
      <c r="A3" s="30"/>
      <c r="B3" s="311" t="s">
        <v>70</v>
      </c>
      <c r="C3" s="311"/>
      <c r="D3" s="311"/>
      <c r="E3" s="311"/>
      <c r="F3" s="311"/>
      <c r="G3" s="311" t="s">
        <v>71</v>
      </c>
      <c r="H3" s="311"/>
      <c r="I3" s="311"/>
      <c r="J3" s="311"/>
      <c r="K3" s="311"/>
      <c r="L3" s="311" t="s">
        <v>72</v>
      </c>
      <c r="M3" s="311"/>
      <c r="N3" s="311"/>
      <c r="O3" s="311"/>
      <c r="P3" s="311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68" ht="18" thickBot="1">
      <c r="A4" s="314" t="s">
        <v>184</v>
      </c>
      <c r="B4" s="314"/>
      <c r="C4" s="314"/>
      <c r="D4" s="314"/>
      <c r="E4" s="314"/>
      <c r="F4" s="314"/>
      <c r="G4" s="314"/>
      <c r="H4" s="314"/>
      <c r="T4" t="s">
        <v>5</v>
      </c>
      <c r="U4" t="s">
        <v>139</v>
      </c>
    </row>
    <row r="5" spans="1:68" ht="18" thickBot="1">
      <c r="A5" s="2"/>
      <c r="B5" s="61" t="s">
        <v>30</v>
      </c>
      <c r="C5" s="61" t="s">
        <v>31</v>
      </c>
      <c r="D5" s="61" t="s">
        <v>33</v>
      </c>
      <c r="E5" s="61" t="s">
        <v>34</v>
      </c>
      <c r="F5" s="62" t="s">
        <v>35</v>
      </c>
      <c r="G5" s="2" t="s">
        <v>30</v>
      </c>
      <c r="H5" s="3" t="s">
        <v>31</v>
      </c>
      <c r="I5" s="3" t="s">
        <v>33</v>
      </c>
      <c r="J5" s="3" t="s">
        <v>34</v>
      </c>
      <c r="K5" s="4" t="s">
        <v>35</v>
      </c>
      <c r="L5" s="9" t="s">
        <v>30</v>
      </c>
      <c r="M5" s="3" t="s">
        <v>31</v>
      </c>
      <c r="N5" s="3" t="s">
        <v>33</v>
      </c>
      <c r="O5" s="3" t="s">
        <v>34</v>
      </c>
      <c r="P5" s="4" t="s">
        <v>35</v>
      </c>
      <c r="T5" t="s">
        <v>140</v>
      </c>
      <c r="U5" t="s">
        <v>141</v>
      </c>
      <c r="AI5" s="17" t="s">
        <v>61</v>
      </c>
      <c r="AJ5" t="e">
        <f>MATCH(AI5,年計!$C$2:$C$367,0)</f>
        <v>#N/A</v>
      </c>
      <c r="AM5" s="69" t="s">
        <v>0</v>
      </c>
      <c r="AN5" s="70" t="s">
        <v>6</v>
      </c>
      <c r="AO5" s="70" t="s">
        <v>12</v>
      </c>
      <c r="AP5" s="70" t="s">
        <v>18</v>
      </c>
      <c r="AQ5" s="70" t="s">
        <v>24</v>
      </c>
      <c r="AR5" s="69" t="s">
        <v>0</v>
      </c>
      <c r="AS5" s="70" t="s">
        <v>36</v>
      </c>
      <c r="AT5" s="70" t="s">
        <v>42</v>
      </c>
      <c r="AU5" s="70" t="s">
        <v>48</v>
      </c>
      <c r="AV5" s="71" t="s">
        <v>54</v>
      </c>
      <c r="AW5" s="70" t="s">
        <v>0</v>
      </c>
      <c r="AX5" s="70" t="s">
        <v>36</v>
      </c>
      <c r="AY5" s="70" t="s">
        <v>42</v>
      </c>
      <c r="AZ5" s="70" t="s">
        <v>48</v>
      </c>
      <c r="BA5" s="71" t="s">
        <v>54</v>
      </c>
    </row>
    <row r="6" spans="1:68">
      <c r="A6" s="11">
        <v>1</v>
      </c>
      <c r="B6" s="23">
        <f>COUNTIF(年計!$D$3:$I$47,AM5)</f>
        <v>4</v>
      </c>
      <c r="C6" s="21">
        <f>COUNTIF(年計!$D$3:$I$47,AN5)</f>
        <v>4</v>
      </c>
      <c r="D6" s="21">
        <f>COUNTIF(年計!$D$3:$I$47,AO5)</f>
        <v>3</v>
      </c>
      <c r="E6" s="21">
        <f>COUNTIF(年計!$D$3:$I$47,AP5)</f>
        <v>4</v>
      </c>
      <c r="F6" s="24">
        <f>COUNTIF(年計!$D$3:$I$47,AQ5)</f>
        <v>4</v>
      </c>
      <c r="G6" s="23">
        <f>COUNTIF(年計!$J$3:$O$47,AR5)</f>
        <v>4</v>
      </c>
      <c r="H6" s="21">
        <f>COUNTIF(年計!$J$3:$O$47,AS5)</f>
        <v>4</v>
      </c>
      <c r="I6" s="21">
        <f>COUNTIF(年計!$J$3:$O$47,AT5)</f>
        <v>3</v>
      </c>
      <c r="J6" s="21">
        <f>COUNTIF(年計!$J$3:$O$47,AU5)</f>
        <v>4</v>
      </c>
      <c r="K6" s="22">
        <f>COUNTIF(年計!$J$3:$O$47,AV5)</f>
        <v>4</v>
      </c>
      <c r="L6" s="23">
        <f>COUNTIF(年計!$P$3:$U$47,AW5)</f>
        <v>4</v>
      </c>
      <c r="M6" s="21">
        <f>COUNTIF(年計!$P$3:$U$47,AX5)</f>
        <v>4</v>
      </c>
      <c r="N6" s="21">
        <f>COUNTIF(年計!$P$3:$U$47,AY5)</f>
        <v>3</v>
      </c>
      <c r="O6" s="21">
        <f>COUNTIF(年計!$P$3:$U$47,AZ5)</f>
        <v>3</v>
      </c>
      <c r="P6" s="24">
        <f>COUNTIF(年計!$P$3:$U$47,BA5)</f>
        <v>4</v>
      </c>
      <c r="T6" t="s">
        <v>75</v>
      </c>
      <c r="U6" t="s">
        <v>142</v>
      </c>
      <c r="AI6" t="s">
        <v>63</v>
      </c>
      <c r="AJ6" t="e">
        <f>MATCH(AI6,年計!$C$2:$C$367,0)</f>
        <v>#N/A</v>
      </c>
      <c r="AM6" s="72" t="s">
        <v>1</v>
      </c>
      <c r="AN6" t="s">
        <v>7</v>
      </c>
      <c r="AO6" t="s">
        <v>13</v>
      </c>
      <c r="AP6" t="s">
        <v>19</v>
      </c>
      <c r="AQ6" t="s">
        <v>25</v>
      </c>
      <c r="AR6" s="72" t="s">
        <v>1</v>
      </c>
      <c r="AS6" t="s">
        <v>37</v>
      </c>
      <c r="AT6" t="s">
        <v>43</v>
      </c>
      <c r="AU6" t="s">
        <v>49</v>
      </c>
      <c r="AV6" s="73" t="s">
        <v>55</v>
      </c>
      <c r="AW6" t="s">
        <v>1</v>
      </c>
      <c r="AX6" t="s">
        <v>37</v>
      </c>
      <c r="AY6" t="s">
        <v>43</v>
      </c>
      <c r="AZ6" t="s">
        <v>49</v>
      </c>
      <c r="BA6" s="73" t="s">
        <v>55</v>
      </c>
    </row>
    <row r="7" spans="1:68">
      <c r="A7" s="12">
        <v>2</v>
      </c>
      <c r="B7" s="19">
        <f>COUNTIF(年計!$D$3:$I$47,AM6)</f>
        <v>4</v>
      </c>
      <c r="C7" s="16">
        <f>COUNTIF(年計!$D$3:$I$47,AN6)</f>
        <v>4</v>
      </c>
      <c r="D7" s="27">
        <f>COUNTIF(年計!$D$3:$I$47,AO6)</f>
        <v>3</v>
      </c>
      <c r="E7" s="27">
        <f>COUNTIF(年計!$D$3:$I$47,AP6)</f>
        <v>4</v>
      </c>
      <c r="F7" s="40">
        <f>COUNTIF(年計!$D$3:$I$47,AQ6)</f>
        <v>4</v>
      </c>
      <c r="G7" s="29">
        <f>COUNTIF(年計!$J$3:$O$47,AR6)</f>
        <v>4</v>
      </c>
      <c r="H7" s="27">
        <f>COUNTIF(年計!$J$3:$O$47,AS6)</f>
        <v>4</v>
      </c>
      <c r="I7" s="27">
        <f>COUNTIF(年計!$J$3:$O$47,AT6)</f>
        <v>3</v>
      </c>
      <c r="J7" s="27">
        <f>COUNTIF(年計!$J$3:$O$47,AU6)</f>
        <v>4</v>
      </c>
      <c r="K7" s="28">
        <f>COUNTIF(年計!$J$3:$O$47,AV6)</f>
        <v>4</v>
      </c>
      <c r="L7" s="29">
        <f>COUNTIF(年計!$P$3:$U$47,AW6)</f>
        <v>4</v>
      </c>
      <c r="M7" s="27">
        <f>COUNTIF(年計!$P$3:$U$47,AX6)</f>
        <v>4</v>
      </c>
      <c r="N7" s="27">
        <f>COUNTIF(年計!$P$3:$U$47,AY6)</f>
        <v>3</v>
      </c>
      <c r="O7" s="27">
        <f>COUNTIF(年計!$P$3:$U$47,AZ6)</f>
        <v>3</v>
      </c>
      <c r="P7" s="40">
        <f>COUNTIF(年計!$P$3:$U$47,BA6)</f>
        <v>4</v>
      </c>
      <c r="T7" t="s">
        <v>97</v>
      </c>
      <c r="U7" t="s">
        <v>143</v>
      </c>
      <c r="AM7" s="72" t="s">
        <v>2</v>
      </c>
      <c r="AN7" t="s">
        <v>8</v>
      </c>
      <c r="AO7" t="s">
        <v>14</v>
      </c>
      <c r="AP7" t="s">
        <v>20</v>
      </c>
      <c r="AQ7" t="s">
        <v>26</v>
      </c>
      <c r="AR7" s="72" t="s">
        <v>2</v>
      </c>
      <c r="AS7" t="s">
        <v>38</v>
      </c>
      <c r="AT7" t="s">
        <v>44</v>
      </c>
      <c r="AU7" t="s">
        <v>50</v>
      </c>
      <c r="AV7" s="73" t="s">
        <v>56</v>
      </c>
      <c r="AW7" t="s">
        <v>2</v>
      </c>
      <c r="AX7" t="s">
        <v>38</v>
      </c>
      <c r="AY7" t="s">
        <v>44</v>
      </c>
      <c r="AZ7" t="s">
        <v>50</v>
      </c>
      <c r="BA7" s="73" t="s">
        <v>56</v>
      </c>
    </row>
    <row r="8" spans="1:68">
      <c r="A8" s="12">
        <v>3</v>
      </c>
      <c r="B8" s="19">
        <f>COUNTIF(年計!$D$3:$I$47,AM7)</f>
        <v>4</v>
      </c>
      <c r="C8" s="16">
        <f>COUNTIF(年計!$D$3:$I$47,AN7)</f>
        <v>4</v>
      </c>
      <c r="D8" s="27">
        <f>COUNTIF(年計!$D$3:$I$47,AO7)</f>
        <v>3</v>
      </c>
      <c r="E8" s="27">
        <f>COUNTIF(年計!$D$3:$I$47,AP7)</f>
        <v>4</v>
      </c>
      <c r="F8" s="40">
        <f>COUNTIF(年計!$D$3:$I$47,AQ7)</f>
        <v>4</v>
      </c>
      <c r="G8" s="29">
        <f>COUNTIF(年計!$J$3:$O$47,AR7)</f>
        <v>4</v>
      </c>
      <c r="H8" s="27">
        <f>COUNTIF(年計!$J$3:$O$47,AS7)</f>
        <v>4</v>
      </c>
      <c r="I8" s="27">
        <f>COUNTIF(年計!$J$3:$O$47,AT7)</f>
        <v>3</v>
      </c>
      <c r="J8" s="27">
        <f>COUNTIF(年計!$J$3:$O$47,AU7)</f>
        <v>4</v>
      </c>
      <c r="K8" s="28">
        <f>COUNTIF(年計!$J$3:$O$47,AV7)</f>
        <v>4</v>
      </c>
      <c r="L8" s="29">
        <f>COUNTIF(年計!$P$3:$U$47,AW7)</f>
        <v>4</v>
      </c>
      <c r="M8" s="27">
        <f>COUNTIF(年計!$P$3:$U$47,AX7)</f>
        <v>4</v>
      </c>
      <c r="N8" s="27">
        <f>COUNTIF(年計!$P$3:$U$47,AY7)</f>
        <v>3</v>
      </c>
      <c r="O8" s="27">
        <f>COUNTIF(年計!$P$3:$U$47,AZ7)</f>
        <v>3</v>
      </c>
      <c r="P8" s="40">
        <f>COUNTIF(年計!$P$3:$U$47,BA7)</f>
        <v>4</v>
      </c>
      <c r="AM8" s="72" t="s">
        <v>3</v>
      </c>
      <c r="AN8" t="s">
        <v>9</v>
      </c>
      <c r="AO8" t="s">
        <v>15</v>
      </c>
      <c r="AP8" t="s">
        <v>21</v>
      </c>
      <c r="AQ8" t="s">
        <v>27</v>
      </c>
      <c r="AR8" s="72" t="s">
        <v>3</v>
      </c>
      <c r="AS8" t="s">
        <v>39</v>
      </c>
      <c r="AT8" t="s">
        <v>45</v>
      </c>
      <c r="AU8" t="s">
        <v>51</v>
      </c>
      <c r="AV8" s="73" t="s">
        <v>57</v>
      </c>
      <c r="AW8" t="s">
        <v>3</v>
      </c>
      <c r="AX8" t="s">
        <v>39</v>
      </c>
      <c r="AY8" t="s">
        <v>45</v>
      </c>
      <c r="AZ8" t="s">
        <v>51</v>
      </c>
      <c r="BA8" s="73" t="s">
        <v>57</v>
      </c>
    </row>
    <row r="9" spans="1:68">
      <c r="A9" s="12">
        <v>4</v>
      </c>
      <c r="B9" s="19">
        <f>COUNTIF(年計!$D$3:$I$47,AM8)</f>
        <v>4</v>
      </c>
      <c r="C9" s="16">
        <f>COUNTIF(年計!$D$3:$I$47,AN8)</f>
        <v>4</v>
      </c>
      <c r="D9" s="27">
        <f>COUNTIF(年計!$D$3:$I$47,AO8)</f>
        <v>3</v>
      </c>
      <c r="E9" s="27">
        <f>COUNTIF(年計!$D$3:$I$47,AP8)</f>
        <v>4</v>
      </c>
      <c r="F9" s="40">
        <f>COUNTIF(年計!$D$3:$I$47,AQ8)</f>
        <v>4</v>
      </c>
      <c r="G9" s="29">
        <f>COUNTIF(年計!$J$3:$O$47,AR8)</f>
        <v>4</v>
      </c>
      <c r="H9" s="27">
        <f>COUNTIF(年計!$J$3:$O$47,AS8)</f>
        <v>4</v>
      </c>
      <c r="I9" s="27">
        <f>COUNTIF(年計!$J$3:$O$47,AT8)</f>
        <v>3</v>
      </c>
      <c r="J9" s="27">
        <f>COUNTIF(年計!$J$3:$O$47,AU8)</f>
        <v>4</v>
      </c>
      <c r="K9" s="28">
        <f>COUNTIF(年計!$J$3:$O$47,AV8)</f>
        <v>4</v>
      </c>
      <c r="L9" s="29">
        <f>COUNTIF(年計!$P$3:$U$47,AW8)</f>
        <v>4</v>
      </c>
      <c r="M9" s="27">
        <f>COUNTIF(年計!$P$3:$U$47,AX8)</f>
        <v>4</v>
      </c>
      <c r="N9" s="27">
        <f>COUNTIF(年計!$P$3:$U$47,AY8)</f>
        <v>3</v>
      </c>
      <c r="O9" s="27">
        <f>COUNTIF(年計!$P$3:$U$47,AZ8)</f>
        <v>3</v>
      </c>
      <c r="P9" s="40">
        <f>COUNTIF(年計!$P$3:$U$47,BA8)</f>
        <v>4</v>
      </c>
      <c r="AM9" s="72" t="s">
        <v>4</v>
      </c>
      <c r="AN9" t="s">
        <v>10</v>
      </c>
      <c r="AO9" t="s">
        <v>16</v>
      </c>
      <c r="AP9" t="s">
        <v>22</v>
      </c>
      <c r="AQ9" t="s">
        <v>28</v>
      </c>
      <c r="AR9" s="72" t="s">
        <v>4</v>
      </c>
      <c r="AS9" t="s">
        <v>40</v>
      </c>
      <c r="AT9" t="s">
        <v>46</v>
      </c>
      <c r="AU9" t="s">
        <v>52</v>
      </c>
      <c r="AV9" s="73" t="s">
        <v>58</v>
      </c>
      <c r="AW9" t="s">
        <v>4</v>
      </c>
      <c r="AX9" t="s">
        <v>40</v>
      </c>
      <c r="AY9" t="s">
        <v>46</v>
      </c>
      <c r="AZ9" t="s">
        <v>52</v>
      </c>
      <c r="BA9" s="73" t="s">
        <v>58</v>
      </c>
    </row>
    <row r="10" spans="1:68">
      <c r="A10" s="12">
        <v>5</v>
      </c>
      <c r="B10" s="19">
        <f>COUNTIF(年計!$D$3:$I$47,AM9)</f>
        <v>3</v>
      </c>
      <c r="C10" s="16">
        <f>COUNTIF(年計!$D$3:$I$47,AN9)</f>
        <v>4</v>
      </c>
      <c r="D10" s="27">
        <f>COUNTIF(年計!$D$3:$I$47,AO9)</f>
        <v>3</v>
      </c>
      <c r="E10" s="27">
        <f>COUNTIF(年計!$D$3:$I$47,AP9)</f>
        <v>4</v>
      </c>
      <c r="F10" s="40">
        <f>COUNTIF(年計!$D$3:$I$47,AQ9)</f>
        <v>4</v>
      </c>
      <c r="G10" s="29">
        <f>COUNTIF(年計!$J$3:$O$47,AR9)</f>
        <v>3</v>
      </c>
      <c r="H10" s="27">
        <f>COUNTIF(年計!$J$3:$O$47,AS9)</f>
        <v>4</v>
      </c>
      <c r="I10" s="27">
        <f>COUNTIF(年計!$J$3:$O$47,AT9)</f>
        <v>3</v>
      </c>
      <c r="J10" s="27">
        <f>COUNTIF(年計!$J$3:$O$47,AU9)</f>
        <v>4</v>
      </c>
      <c r="K10" s="28">
        <f>COUNTIF(年計!$J$3:$O$47,AV9)</f>
        <v>4</v>
      </c>
      <c r="L10" s="29">
        <f>COUNTIF(年計!$P$3:$U$47,AW9)</f>
        <v>3</v>
      </c>
      <c r="M10" s="27">
        <f>COUNTIF(年計!$P$3:$U$47,AX9)</f>
        <v>4</v>
      </c>
      <c r="N10" s="27">
        <f>COUNTIF(年計!$P$3:$U$47,AY9)</f>
        <v>3</v>
      </c>
      <c r="O10" s="27">
        <f>COUNTIF(年計!$P$3:$U$47,AZ9)</f>
        <v>3</v>
      </c>
      <c r="P10" s="40">
        <f>COUNTIF(年計!$P$3:$U$47,BA9)</f>
        <v>4</v>
      </c>
      <c r="AM10" s="74" t="s">
        <v>5</v>
      </c>
      <c r="AN10" s="75" t="s">
        <v>11</v>
      </c>
      <c r="AO10" s="75" t="s">
        <v>17</v>
      </c>
      <c r="AP10" s="75" t="s">
        <v>23</v>
      </c>
      <c r="AQ10" s="75" t="s">
        <v>29</v>
      </c>
      <c r="AR10" s="74" t="s">
        <v>5</v>
      </c>
      <c r="AS10" s="75" t="s">
        <v>41</v>
      </c>
      <c r="AT10" s="75" t="s">
        <v>47</v>
      </c>
      <c r="AU10" s="75" t="s">
        <v>53</v>
      </c>
      <c r="AV10" s="76" t="s">
        <v>59</v>
      </c>
      <c r="AW10" s="75" t="s">
        <v>5</v>
      </c>
      <c r="AX10" s="75" t="s">
        <v>41</v>
      </c>
      <c r="AY10" s="75" t="s">
        <v>47</v>
      </c>
      <c r="AZ10" s="75" t="s">
        <v>53</v>
      </c>
      <c r="BA10" s="76" t="s">
        <v>59</v>
      </c>
    </row>
    <row r="11" spans="1:68" ht="22.5" thickBot="1">
      <c r="A11" s="13">
        <v>6</v>
      </c>
      <c r="B11" s="63">
        <f>COUNTIF(年計!$D$3:$I$47,AM10)</f>
        <v>2</v>
      </c>
      <c r="C11" s="60">
        <f>COUNTIF(年計!$D$3:$I$47,AN10)</f>
        <v>2</v>
      </c>
      <c r="D11" s="26">
        <f>COUNTIF(年計!$D$3:$I$47,AO10)</f>
        <v>12</v>
      </c>
      <c r="E11" s="25"/>
      <c r="F11" s="15">
        <f>COUNTIF(年計!$D$3:$I$47,AQ10)</f>
        <v>2</v>
      </c>
      <c r="G11" s="18">
        <f>COUNTIF(年計!$J$3:$O$47,AR10)</f>
        <v>2</v>
      </c>
      <c r="H11" s="26">
        <f>COUNTIF(年計!$J$3:$O$47,AS10)</f>
        <v>2</v>
      </c>
      <c r="I11" s="26">
        <f>COUNTIF(年計!$J$3:$O$47,AT10)</f>
        <v>11</v>
      </c>
      <c r="J11" s="25">
        <f>COUNTIF(年計!$J$3:$O$47,AU10)</f>
        <v>0</v>
      </c>
      <c r="K11" s="15">
        <f>COUNTIF(年計!$J$3:$O$47,AV10)</f>
        <v>2</v>
      </c>
      <c r="L11" s="18">
        <f>COUNTIF(年計!$P$3:$U$47,AW10)</f>
        <v>2</v>
      </c>
      <c r="M11" s="26">
        <f>COUNTIF(年計!$P$3:$U$47,AX10)</f>
        <v>2</v>
      </c>
      <c r="N11" s="26">
        <f>COUNTIF(年計!$P$3:$U$47,AY10)</f>
        <v>11</v>
      </c>
      <c r="O11" s="25">
        <f>COUNTIF(年計!$P$3:$U$47,AZ10)</f>
        <v>0</v>
      </c>
      <c r="P11" s="15">
        <f>COUNTIF(年計!$P$3:$U$47,BA10)</f>
        <v>1</v>
      </c>
      <c r="S11" s="311" t="s">
        <v>70</v>
      </c>
      <c r="T11" s="311"/>
      <c r="U11" s="311"/>
      <c r="V11" s="311"/>
      <c r="W11" s="311"/>
      <c r="X11" s="311" t="s">
        <v>71</v>
      </c>
      <c r="Y11" s="311"/>
      <c r="Z11" s="311"/>
      <c r="AA11" s="311"/>
      <c r="AB11" s="311"/>
      <c r="AC11" s="311" t="s">
        <v>72</v>
      </c>
      <c r="AD11" s="311"/>
      <c r="AE11" s="311"/>
      <c r="AF11" s="311"/>
      <c r="AG11" s="311"/>
    </row>
    <row r="12" spans="1:68" ht="18" thickBot="1">
      <c r="A12" s="315" t="s">
        <v>185</v>
      </c>
      <c r="B12" s="315"/>
      <c r="C12" s="315"/>
      <c r="D12" s="315"/>
      <c r="E12" s="315"/>
      <c r="F12" s="315"/>
      <c r="G12" s="315"/>
      <c r="H12" s="315"/>
      <c r="S12" s="314" t="s">
        <v>183</v>
      </c>
      <c r="T12" s="314"/>
      <c r="U12" s="314"/>
      <c r="V12" s="314"/>
      <c r="W12" s="314"/>
      <c r="X12" s="314"/>
      <c r="Y12" s="314"/>
      <c r="Z12" s="314"/>
    </row>
    <row r="13" spans="1:68" ht="18" thickBot="1">
      <c r="A13" s="2"/>
      <c r="B13" s="61" t="s">
        <v>30</v>
      </c>
      <c r="C13" s="61" t="s">
        <v>31</v>
      </c>
      <c r="D13" s="61" t="s">
        <v>33</v>
      </c>
      <c r="E13" s="61" t="s">
        <v>34</v>
      </c>
      <c r="F13" s="62" t="s">
        <v>35</v>
      </c>
      <c r="G13" s="65" t="s">
        <v>30</v>
      </c>
      <c r="H13" s="61" t="s">
        <v>31</v>
      </c>
      <c r="I13" s="61" t="s">
        <v>33</v>
      </c>
      <c r="J13" s="61" t="s">
        <v>34</v>
      </c>
      <c r="K13" s="66" t="s">
        <v>35</v>
      </c>
      <c r="L13" s="67" t="s">
        <v>30</v>
      </c>
      <c r="M13" s="61" t="s">
        <v>31</v>
      </c>
      <c r="N13" s="61" t="s">
        <v>33</v>
      </c>
      <c r="O13" s="61" t="s">
        <v>34</v>
      </c>
      <c r="P13" s="66" t="s">
        <v>35</v>
      </c>
      <c r="S13" s="2"/>
      <c r="T13" s="3" t="s">
        <v>30</v>
      </c>
      <c r="U13" s="3" t="s">
        <v>31</v>
      </c>
      <c r="V13" s="3" t="s">
        <v>33</v>
      </c>
      <c r="W13" s="3" t="s">
        <v>34</v>
      </c>
      <c r="X13" s="7" t="s">
        <v>35</v>
      </c>
      <c r="Y13" s="2" t="s">
        <v>30</v>
      </c>
      <c r="Z13" s="3" t="s">
        <v>31</v>
      </c>
      <c r="AA13" s="3" t="s">
        <v>33</v>
      </c>
      <c r="AB13" s="3" t="s">
        <v>34</v>
      </c>
      <c r="AC13" s="4" t="s">
        <v>35</v>
      </c>
      <c r="AD13" s="9" t="s">
        <v>30</v>
      </c>
      <c r="AE13" s="3" t="s">
        <v>31</v>
      </c>
      <c r="AF13" s="3" t="s">
        <v>33</v>
      </c>
      <c r="AG13" s="3" t="s">
        <v>34</v>
      </c>
      <c r="AH13" s="4" t="s">
        <v>35</v>
      </c>
      <c r="AM13" t="s">
        <v>0</v>
      </c>
      <c r="AN13" t="s">
        <v>36</v>
      </c>
      <c r="AO13" t="s">
        <v>42</v>
      </c>
      <c r="AP13" t="s">
        <v>48</v>
      </c>
      <c r="AQ13" t="s">
        <v>54</v>
      </c>
      <c r="AR13" t="s">
        <v>0</v>
      </c>
      <c r="AS13" t="s">
        <v>36</v>
      </c>
      <c r="AT13" t="s">
        <v>42</v>
      </c>
      <c r="AU13" t="s">
        <v>48</v>
      </c>
      <c r="AV13" t="s">
        <v>54</v>
      </c>
      <c r="AW13" t="s">
        <v>0</v>
      </c>
      <c r="AX13" t="s">
        <v>36</v>
      </c>
      <c r="AY13" t="s">
        <v>42</v>
      </c>
      <c r="AZ13" t="s">
        <v>48</v>
      </c>
      <c r="BA13" t="s">
        <v>54</v>
      </c>
      <c r="BB13" t="s">
        <v>0</v>
      </c>
      <c r="BC13" t="s">
        <v>36</v>
      </c>
      <c r="BD13" t="s">
        <v>42</v>
      </c>
      <c r="BE13" t="s">
        <v>48</v>
      </c>
      <c r="BF13" t="s">
        <v>54</v>
      </c>
      <c r="BG13" t="s">
        <v>0</v>
      </c>
      <c r="BH13" t="s">
        <v>36</v>
      </c>
      <c r="BI13" t="s">
        <v>42</v>
      </c>
      <c r="BJ13" t="s">
        <v>48</v>
      </c>
      <c r="BK13" t="s">
        <v>54</v>
      </c>
      <c r="BL13" t="s">
        <v>0</v>
      </c>
      <c r="BM13" t="s">
        <v>36</v>
      </c>
      <c r="BN13" t="s">
        <v>42</v>
      </c>
      <c r="BO13" t="s">
        <v>48</v>
      </c>
      <c r="BP13" t="s">
        <v>54</v>
      </c>
    </row>
    <row r="14" spans="1:68">
      <c r="A14" s="11">
        <v>1</v>
      </c>
      <c r="B14" s="23">
        <f>COUNTIF(年計!$D$48:$I$87,AM13)</f>
        <v>5</v>
      </c>
      <c r="C14" s="21">
        <f>COUNTIF(年計!$D$48:$I$87,AN13)</f>
        <v>5</v>
      </c>
      <c r="D14" s="21">
        <f>COUNTIF(年計!$D$48:$I$87,AO13)</f>
        <v>5</v>
      </c>
      <c r="E14" s="21">
        <f>COUNTIF(年計!$D$48:$I$87,AP13)</f>
        <v>5</v>
      </c>
      <c r="F14" s="22">
        <f>COUNTIF(年計!$D$48:$I$87,AQ13)</f>
        <v>5</v>
      </c>
      <c r="G14" s="23">
        <f>COUNTIF(年計!$J$48:$O$87,AR13)</f>
        <v>4</v>
      </c>
      <c r="H14" s="21">
        <f>COUNTIF(年計!$J$48:$O$87,AS13)</f>
        <v>5</v>
      </c>
      <c r="I14" s="21">
        <f>COUNTIF(年計!$J$48:$O$87,AT13)</f>
        <v>4</v>
      </c>
      <c r="J14" s="21">
        <f>COUNTIF(年計!$J$48:$O$87,AU13)</f>
        <v>4</v>
      </c>
      <c r="K14" s="22">
        <f>COUNTIF(年計!$J$48:$O$87,AV13)</f>
        <v>4</v>
      </c>
      <c r="L14" s="23">
        <f>COUNTIF(年計!$P$48:$U$87,AW13)</f>
        <v>4</v>
      </c>
      <c r="M14" s="21">
        <f>COUNTIF(年計!$P$48:$U$87,AX13)</f>
        <v>4</v>
      </c>
      <c r="N14" s="21">
        <f>COUNTIF(年計!$P$48:$U$87,AY13)</f>
        <v>4</v>
      </c>
      <c r="O14" s="21">
        <f>COUNTIF(年計!$P$48:$U$87,AZ13)</f>
        <v>4</v>
      </c>
      <c r="P14" s="24">
        <f>COUNTIF(年計!$P$48:$U$87,BA13)</f>
        <v>4</v>
      </c>
      <c r="S14" s="11">
        <v>1</v>
      </c>
      <c r="T14" s="19">
        <f>COUNTIF(年計!$D$2:$I$87,BB13)</f>
        <v>9</v>
      </c>
      <c r="U14" s="16">
        <f>COUNTIF(年計!$D$2:$I$87,BC13)</f>
        <v>9</v>
      </c>
      <c r="V14" s="16">
        <f>COUNTIF(年計!$D$2:$I$87,BD13)</f>
        <v>8</v>
      </c>
      <c r="W14" s="16">
        <f>COUNTIF(年計!$D$2:$I$87,BE13)</f>
        <v>9</v>
      </c>
      <c r="X14" s="20">
        <f>COUNTIF(年計!$D$2:$I$87,BF13)</f>
        <v>9</v>
      </c>
      <c r="Y14" s="19">
        <f>COUNTIF(年計!$J$2:$O$87,BG13)</f>
        <v>8</v>
      </c>
      <c r="Z14" s="21">
        <f>COUNTIF(年計!$J$2:$O$87,BH13)</f>
        <v>9</v>
      </c>
      <c r="AA14" s="21">
        <f>COUNTIF(年計!$J$2:$O$87,BI13)</f>
        <v>7</v>
      </c>
      <c r="AB14" s="21">
        <f>COUNTIF(年計!$J$2:$O$87,BJ13)</f>
        <v>8</v>
      </c>
      <c r="AC14" s="22">
        <f>COUNTIF(年計!$J$2:$O$87,BK13)</f>
        <v>8</v>
      </c>
      <c r="AD14" s="23">
        <f>COUNTIF(年計!$P$2:$U$87,BL13)</f>
        <v>8</v>
      </c>
      <c r="AE14" s="21">
        <f>COUNTIF(年計!$P$2:$U$87,BM13)</f>
        <v>8</v>
      </c>
      <c r="AF14" s="21">
        <f>COUNTIF(年計!$P$2:$U$87,BN13)</f>
        <v>7</v>
      </c>
      <c r="AG14" s="21">
        <f>COUNTIF(年計!$P$2:$U$87,BO13)</f>
        <v>7</v>
      </c>
      <c r="AH14" s="24">
        <f>COUNTIF(年計!$P$2:$U$87,BP13)</f>
        <v>8</v>
      </c>
      <c r="AI14" t="s">
        <v>64</v>
      </c>
      <c r="AJ14" t="e">
        <f>MATCH(AI14,年計!$C$2:$C$367,0)</f>
        <v>#N/A</v>
      </c>
      <c r="AM14" t="s">
        <v>1</v>
      </c>
      <c r="AN14" t="s">
        <v>37</v>
      </c>
      <c r="AO14" t="s">
        <v>43</v>
      </c>
      <c r="AP14" t="s">
        <v>49</v>
      </c>
      <c r="AQ14" t="s">
        <v>55</v>
      </c>
      <c r="AR14" t="s">
        <v>1</v>
      </c>
      <c r="AS14" t="s">
        <v>37</v>
      </c>
      <c r="AT14" t="s">
        <v>43</v>
      </c>
      <c r="AU14" t="s">
        <v>49</v>
      </c>
      <c r="AV14" t="s">
        <v>55</v>
      </c>
      <c r="AW14" t="s">
        <v>1</v>
      </c>
      <c r="AX14" t="s">
        <v>37</v>
      </c>
      <c r="AY14" t="s">
        <v>43</v>
      </c>
      <c r="AZ14" t="s">
        <v>49</v>
      </c>
      <c r="BA14" t="s">
        <v>55</v>
      </c>
      <c r="BB14" t="s">
        <v>1</v>
      </c>
      <c r="BC14" t="s">
        <v>37</v>
      </c>
      <c r="BD14" t="s">
        <v>43</v>
      </c>
      <c r="BE14" t="s">
        <v>49</v>
      </c>
      <c r="BF14" t="s">
        <v>55</v>
      </c>
      <c r="BG14" t="s">
        <v>1</v>
      </c>
      <c r="BH14" t="s">
        <v>37</v>
      </c>
      <c r="BI14" t="s">
        <v>43</v>
      </c>
      <c r="BJ14" t="s">
        <v>49</v>
      </c>
      <c r="BK14" t="s">
        <v>55</v>
      </c>
      <c r="BL14" t="s">
        <v>1</v>
      </c>
      <c r="BM14" t="s">
        <v>37</v>
      </c>
      <c r="BN14" t="s">
        <v>43</v>
      </c>
      <c r="BO14" t="s">
        <v>49</v>
      </c>
      <c r="BP14" t="s">
        <v>55</v>
      </c>
    </row>
    <row r="15" spans="1:68">
      <c r="A15" s="12">
        <v>2</v>
      </c>
      <c r="B15" s="29">
        <f>COUNTIF(年計!$D$48:$I$87,AM14)</f>
        <v>5</v>
      </c>
      <c r="C15" s="27">
        <f>COUNTIF(年計!$D$48:$I$87,AN14)</f>
        <v>5</v>
      </c>
      <c r="D15" s="27">
        <f>COUNTIF(年計!$D$48:$I$87,AO14)</f>
        <v>5</v>
      </c>
      <c r="E15" s="27">
        <f>COUNTIF(年計!$D$48:$I$87,AP14)</f>
        <v>5</v>
      </c>
      <c r="F15" s="28">
        <f>COUNTIF(年計!$D$48:$I$87,AQ14)</f>
        <v>4</v>
      </c>
      <c r="G15" s="29">
        <f>COUNTIF(年計!$J$48:$O$87,AR14)</f>
        <v>4</v>
      </c>
      <c r="H15" s="27">
        <f>COUNTIF(年計!$J$48:$O$87,AS14)</f>
        <v>5</v>
      </c>
      <c r="I15" s="27">
        <f>COUNTIF(年計!$J$48:$O$87,AT14)</f>
        <v>4</v>
      </c>
      <c r="J15" s="27">
        <f>COUNTIF(年計!$J$48:$O$87,AU14)</f>
        <v>4</v>
      </c>
      <c r="K15" s="28">
        <f>COUNTIF(年計!$J$48:$O$87,AV14)</f>
        <v>3</v>
      </c>
      <c r="L15" s="29">
        <f>COUNTIF(年計!$P$48:$U$87,AW14)</f>
        <v>4</v>
      </c>
      <c r="M15" s="27">
        <f>COUNTIF(年計!$P$48:$U$87,AX14)</f>
        <v>4</v>
      </c>
      <c r="N15" s="27">
        <f>COUNTIF(年計!$P$48:$U$87,AY14)</f>
        <v>4</v>
      </c>
      <c r="O15" s="1">
        <f>COUNTIF(年計!$P$48:$U$87,AZ14)</f>
        <v>4</v>
      </c>
      <c r="P15" s="5">
        <f>COUNTIF(年計!$P$48:$U$87,BA14)</f>
        <v>3</v>
      </c>
      <c r="S15" s="12">
        <v>2</v>
      </c>
      <c r="T15" s="10">
        <f>COUNTIF(年計!$D$2:$I$87,BB14)</f>
        <v>9</v>
      </c>
      <c r="U15" s="1">
        <f>COUNTIF(年計!$D$2:$I$87,BC14)</f>
        <v>9</v>
      </c>
      <c r="V15" s="1">
        <f>COUNTIF(年計!$D$2:$I$87,BD14)</f>
        <v>8</v>
      </c>
      <c r="W15" s="1">
        <f>COUNTIF(年計!$D$2:$I$87,BE14)</f>
        <v>9</v>
      </c>
      <c r="X15" s="8">
        <f>COUNTIF(年計!$D$2:$I$87,BF14)</f>
        <v>8</v>
      </c>
      <c r="Y15" s="10">
        <f>COUNTIF(年計!$J$2:$O$87,BG14)</f>
        <v>8</v>
      </c>
      <c r="Z15" s="1">
        <f>COUNTIF(年計!$J$2:$O$87,BH14)</f>
        <v>9</v>
      </c>
      <c r="AA15" s="1">
        <f>COUNTIF(年計!$J$2:$O$87,BI14)</f>
        <v>7</v>
      </c>
      <c r="AB15" s="1">
        <f>COUNTIF(年計!$J$2:$O$87,BJ14)</f>
        <v>8</v>
      </c>
      <c r="AC15" s="8">
        <f>COUNTIF(年計!$J$2:$O$87,BK14)</f>
        <v>7</v>
      </c>
      <c r="AD15" s="10">
        <f>COUNTIF(年計!$P$2:$U$87,BL14)</f>
        <v>8</v>
      </c>
      <c r="AE15" s="1">
        <f>COUNTIF(年計!$P$2:$U$87,BM14)</f>
        <v>8</v>
      </c>
      <c r="AF15" s="1">
        <f>COUNTIF(年計!$P$2:$U$87,BN14)</f>
        <v>7</v>
      </c>
      <c r="AG15" s="1">
        <f>COUNTIF(年計!$P$2:$U$87,BO14)</f>
        <v>7</v>
      </c>
      <c r="AH15" s="5">
        <f>COUNTIF(年計!$P$2:$U$87,BP14)</f>
        <v>7</v>
      </c>
      <c r="AM15" t="s">
        <v>2</v>
      </c>
      <c r="AN15" t="s">
        <v>38</v>
      </c>
      <c r="AO15" t="s">
        <v>44</v>
      </c>
      <c r="AP15" t="s">
        <v>50</v>
      </c>
      <c r="AQ15" t="s">
        <v>56</v>
      </c>
      <c r="AR15" t="s">
        <v>2</v>
      </c>
      <c r="AS15" t="s">
        <v>38</v>
      </c>
      <c r="AT15" t="s">
        <v>44</v>
      </c>
      <c r="AU15" t="s">
        <v>50</v>
      </c>
      <c r="AV15" t="s">
        <v>56</v>
      </c>
      <c r="AW15" t="s">
        <v>2</v>
      </c>
      <c r="AX15" t="s">
        <v>38</v>
      </c>
      <c r="AY15" t="s">
        <v>44</v>
      </c>
      <c r="AZ15" t="s">
        <v>50</v>
      </c>
      <c r="BA15" t="s">
        <v>56</v>
      </c>
      <c r="BB15" t="s">
        <v>2</v>
      </c>
      <c r="BC15" t="s">
        <v>38</v>
      </c>
      <c r="BD15" t="s">
        <v>44</v>
      </c>
      <c r="BE15" t="s">
        <v>50</v>
      </c>
      <c r="BF15" t="s">
        <v>56</v>
      </c>
      <c r="BG15" t="s">
        <v>2</v>
      </c>
      <c r="BH15" t="s">
        <v>38</v>
      </c>
      <c r="BI15" t="s">
        <v>44</v>
      </c>
      <c r="BJ15" t="s">
        <v>50</v>
      </c>
      <c r="BK15" t="s">
        <v>56</v>
      </c>
      <c r="BL15" t="s">
        <v>2</v>
      </c>
      <c r="BM15" t="s">
        <v>38</v>
      </c>
      <c r="BN15" t="s">
        <v>44</v>
      </c>
      <c r="BO15" t="s">
        <v>50</v>
      </c>
      <c r="BP15" t="s">
        <v>56</v>
      </c>
    </row>
    <row r="16" spans="1:68">
      <c r="A16" s="12">
        <v>3</v>
      </c>
      <c r="B16" s="29">
        <f>COUNTIF(年計!$D$48:$I$87,AM15)</f>
        <v>5</v>
      </c>
      <c r="C16" s="27">
        <f>COUNTIF(年計!$D$48:$I$87,AN15)</f>
        <v>5</v>
      </c>
      <c r="D16" s="27">
        <f>COUNTIF(年計!$D$48:$I$87,AO15)</f>
        <v>5</v>
      </c>
      <c r="E16" s="27">
        <f>COUNTIF(年計!$D$48:$I$87,AP15)</f>
        <v>5</v>
      </c>
      <c r="F16" s="28">
        <f>COUNTIF(年計!$D$48:$I$87,AQ15)</f>
        <v>4</v>
      </c>
      <c r="G16" s="29">
        <f>COUNTIF(年計!$J$48:$O$87,AR15)</f>
        <v>4</v>
      </c>
      <c r="H16" s="27">
        <f>COUNTIF(年計!$J$48:$O$87,AS15)</f>
        <v>5</v>
      </c>
      <c r="I16" s="27">
        <f>COUNTIF(年計!$J$48:$O$87,AT15)</f>
        <v>4</v>
      </c>
      <c r="J16" s="27">
        <f>COUNTIF(年計!$J$48:$O$87,AU15)</f>
        <v>4</v>
      </c>
      <c r="K16" s="28">
        <f>COUNTIF(年計!$J$48:$O$87,AV15)</f>
        <v>3</v>
      </c>
      <c r="L16" s="29">
        <f>COUNTIF(年計!$P$48:$U$87,AW15)</f>
        <v>4</v>
      </c>
      <c r="M16" s="27">
        <f>COUNTIF(年計!$P$48:$U$87,AX15)</f>
        <v>4</v>
      </c>
      <c r="N16" s="27">
        <f>COUNTIF(年計!$P$48:$U$87,AY15)</f>
        <v>4</v>
      </c>
      <c r="O16" s="1">
        <f>COUNTIF(年計!$P$48:$U$87,AZ15)</f>
        <v>4</v>
      </c>
      <c r="P16" s="5">
        <f>COUNTIF(年計!$P$48:$U$87,BA15)</f>
        <v>3</v>
      </c>
      <c r="S16" s="12">
        <v>3</v>
      </c>
      <c r="T16" s="10">
        <f>COUNTIF(年計!$D$2:$I$87,BB15)</f>
        <v>9</v>
      </c>
      <c r="U16" s="1">
        <f>COUNTIF(年計!$D$2:$I$87,BC15)</f>
        <v>9</v>
      </c>
      <c r="V16" s="1">
        <f>COUNTIF(年計!$D$2:$I$87,BD15)</f>
        <v>8</v>
      </c>
      <c r="W16" s="1">
        <f>COUNTIF(年計!$D$2:$I$87,BE15)</f>
        <v>9</v>
      </c>
      <c r="X16" s="8">
        <f>COUNTIF(年計!$D$2:$I$87,BF15)</f>
        <v>8</v>
      </c>
      <c r="Y16" s="10">
        <f>COUNTIF(年計!$J$2:$O$87,BG15)</f>
        <v>8</v>
      </c>
      <c r="Z16" s="1">
        <f>COUNTIF(年計!$J$2:$O$87,BH15)</f>
        <v>9</v>
      </c>
      <c r="AA16" s="1">
        <f>COUNTIF(年計!$J$2:$O$87,BI15)</f>
        <v>7</v>
      </c>
      <c r="AB16" s="1">
        <f>COUNTIF(年計!$J$2:$O$87,BJ15)</f>
        <v>8</v>
      </c>
      <c r="AC16" s="8">
        <f>COUNTIF(年計!$J$2:$O$87,BK15)</f>
        <v>7</v>
      </c>
      <c r="AD16" s="10">
        <f>COUNTIF(年計!$P$2:$U$87,BL15)</f>
        <v>8</v>
      </c>
      <c r="AE16" s="1">
        <f>COUNTIF(年計!$P$2:$U$87,BM15)</f>
        <v>8</v>
      </c>
      <c r="AF16" s="1">
        <f>COUNTIF(年計!$P$2:$U$87,BN15)</f>
        <v>7</v>
      </c>
      <c r="AG16" s="1">
        <f>COUNTIF(年計!$P$2:$U$87,BO15)</f>
        <v>7</v>
      </c>
      <c r="AH16" s="5">
        <f>COUNTIF(年計!$P$2:$U$87,BP15)</f>
        <v>7</v>
      </c>
      <c r="AM16" t="s">
        <v>3</v>
      </c>
      <c r="AN16" t="s">
        <v>39</v>
      </c>
      <c r="AO16" t="s">
        <v>45</v>
      </c>
      <c r="AP16" t="s">
        <v>51</v>
      </c>
      <c r="AQ16" t="s">
        <v>57</v>
      </c>
      <c r="AR16" t="s">
        <v>3</v>
      </c>
      <c r="AS16" t="s">
        <v>39</v>
      </c>
      <c r="AT16" t="s">
        <v>45</v>
      </c>
      <c r="AU16" t="s">
        <v>51</v>
      </c>
      <c r="AV16" t="s">
        <v>57</v>
      </c>
      <c r="AW16" t="s">
        <v>3</v>
      </c>
      <c r="AX16" t="s">
        <v>39</v>
      </c>
      <c r="AY16" t="s">
        <v>45</v>
      </c>
      <c r="AZ16" t="s">
        <v>51</v>
      </c>
      <c r="BA16" t="s">
        <v>57</v>
      </c>
      <c r="BB16" t="s">
        <v>3</v>
      </c>
      <c r="BC16" t="s">
        <v>39</v>
      </c>
      <c r="BD16" t="s">
        <v>45</v>
      </c>
      <c r="BE16" t="s">
        <v>51</v>
      </c>
      <c r="BF16" t="s">
        <v>57</v>
      </c>
      <c r="BG16" t="s">
        <v>3</v>
      </c>
      <c r="BH16" t="s">
        <v>39</v>
      </c>
      <c r="BI16" t="s">
        <v>45</v>
      </c>
      <c r="BJ16" t="s">
        <v>51</v>
      </c>
      <c r="BK16" t="s">
        <v>57</v>
      </c>
      <c r="BL16" t="s">
        <v>3</v>
      </c>
      <c r="BM16" t="s">
        <v>39</v>
      </c>
      <c r="BN16" t="s">
        <v>45</v>
      </c>
      <c r="BO16" t="s">
        <v>51</v>
      </c>
      <c r="BP16" t="s">
        <v>57</v>
      </c>
    </row>
    <row r="17" spans="1:68">
      <c r="A17" s="12">
        <v>4</v>
      </c>
      <c r="B17" s="29">
        <f>COUNTIF(年計!$D$48:$I$87,AM16)</f>
        <v>5</v>
      </c>
      <c r="C17" s="27">
        <f>COUNTIF(年計!$D$48:$I$87,AN16)</f>
        <v>5</v>
      </c>
      <c r="D17" s="27">
        <f>COUNTIF(年計!$D$48:$I$87,AO16)</f>
        <v>5</v>
      </c>
      <c r="E17" s="27">
        <f>COUNTIF(年計!$D$48:$I$87,AP16)</f>
        <v>5</v>
      </c>
      <c r="F17" s="28">
        <f>COUNTIF(年計!$D$48:$I$87,AQ16)</f>
        <v>5</v>
      </c>
      <c r="G17" s="29">
        <f>COUNTIF(年計!$J$48:$O$87,AR16)</f>
        <v>4</v>
      </c>
      <c r="H17" s="27">
        <f>COUNTIF(年計!$J$48:$O$87,AS16)</f>
        <v>5</v>
      </c>
      <c r="I17" s="27">
        <f>COUNTIF(年計!$J$48:$O$87,AT16)</f>
        <v>4</v>
      </c>
      <c r="J17" s="27">
        <f>COUNTIF(年計!$J$48:$O$87,AU16)</f>
        <v>4</v>
      </c>
      <c r="K17" s="28">
        <f>COUNTIF(年計!$J$48:$O$87,AV16)</f>
        <v>4</v>
      </c>
      <c r="L17" s="29">
        <f>COUNTIF(年計!$P$48:$U$87,AW16)</f>
        <v>4</v>
      </c>
      <c r="M17" s="27">
        <f>COUNTIF(年計!$P$48:$U$87,AX16)</f>
        <v>4</v>
      </c>
      <c r="N17" s="27">
        <f>COUNTIF(年計!$P$48:$U$87,AY16)</f>
        <v>4</v>
      </c>
      <c r="O17" s="1">
        <f>COUNTIF(年計!$P$48:$U$87,AZ16)</f>
        <v>4</v>
      </c>
      <c r="P17" s="5">
        <f>COUNTIF(年計!$P$48:$U$87,BA16)</f>
        <v>4</v>
      </c>
      <c r="S17" s="12">
        <v>4</v>
      </c>
      <c r="T17" s="10">
        <f>COUNTIF(年計!$D$2:$I$87,BB16)</f>
        <v>9</v>
      </c>
      <c r="U17" s="1">
        <f>COUNTIF(年計!$D$2:$I$87,BC16)</f>
        <v>9</v>
      </c>
      <c r="V17" s="1">
        <f>COUNTIF(年計!$D$2:$I$87,BD16)</f>
        <v>8</v>
      </c>
      <c r="W17" s="1">
        <f>COUNTIF(年計!$D$2:$I$87,BE16)</f>
        <v>9</v>
      </c>
      <c r="X17" s="8">
        <f>COUNTIF(年計!$D$2:$I$87,BF16)</f>
        <v>9</v>
      </c>
      <c r="Y17" s="10">
        <f>COUNTIF(年計!$J$2:$O$87,BG16)</f>
        <v>8</v>
      </c>
      <c r="Z17" s="1">
        <f>COUNTIF(年計!$J$2:$O$87,BH16)</f>
        <v>9</v>
      </c>
      <c r="AA17" s="1">
        <f>COUNTIF(年計!$J$2:$O$87,BI16)</f>
        <v>7</v>
      </c>
      <c r="AB17" s="1">
        <f>COUNTIF(年計!$J$2:$O$87,BJ16)</f>
        <v>8</v>
      </c>
      <c r="AC17" s="8">
        <f>COUNTIF(年計!$J$2:$O$87,BK16)</f>
        <v>8</v>
      </c>
      <c r="AD17" s="10">
        <f>COUNTIF(年計!$P$2:$U$87,BL16)</f>
        <v>8</v>
      </c>
      <c r="AE17" s="1">
        <f>COUNTIF(年計!$P$2:$U$87,BM16)</f>
        <v>8</v>
      </c>
      <c r="AF17" s="1">
        <f>COUNTIF(年計!$P$2:$U$87,BN16)</f>
        <v>7</v>
      </c>
      <c r="AG17" s="1">
        <f>COUNTIF(年計!$P$2:$U$87,BO16)</f>
        <v>7</v>
      </c>
      <c r="AH17" s="5">
        <f>COUNTIF(年計!$P$2:$U$87,BP16)</f>
        <v>8</v>
      </c>
      <c r="AM17" t="s">
        <v>4</v>
      </c>
      <c r="AN17" t="s">
        <v>40</v>
      </c>
      <c r="AO17" t="s">
        <v>46</v>
      </c>
      <c r="AP17" t="s">
        <v>52</v>
      </c>
      <c r="AQ17" t="s">
        <v>58</v>
      </c>
      <c r="AR17" t="s">
        <v>4</v>
      </c>
      <c r="AS17" t="s">
        <v>40</v>
      </c>
      <c r="AT17" t="s">
        <v>46</v>
      </c>
      <c r="AU17" t="s">
        <v>52</v>
      </c>
      <c r="AV17" t="s">
        <v>58</v>
      </c>
      <c r="AW17" t="s">
        <v>4</v>
      </c>
      <c r="AX17" t="s">
        <v>40</v>
      </c>
      <c r="AY17" t="s">
        <v>46</v>
      </c>
      <c r="AZ17" t="s">
        <v>52</v>
      </c>
      <c r="BA17" t="s">
        <v>58</v>
      </c>
      <c r="BB17" t="s">
        <v>4</v>
      </c>
      <c r="BC17" t="s">
        <v>40</v>
      </c>
      <c r="BD17" t="s">
        <v>46</v>
      </c>
      <c r="BE17" t="s">
        <v>52</v>
      </c>
      <c r="BF17" t="s">
        <v>58</v>
      </c>
      <c r="BG17" t="s">
        <v>4</v>
      </c>
      <c r="BH17" t="s">
        <v>40</v>
      </c>
      <c r="BI17" t="s">
        <v>46</v>
      </c>
      <c r="BJ17" t="s">
        <v>52</v>
      </c>
      <c r="BK17" t="s">
        <v>58</v>
      </c>
      <c r="BL17" t="s">
        <v>4</v>
      </c>
      <c r="BM17" t="s">
        <v>40</v>
      </c>
      <c r="BN17" t="s">
        <v>46</v>
      </c>
      <c r="BO17" t="s">
        <v>52</v>
      </c>
      <c r="BP17" t="s">
        <v>58</v>
      </c>
    </row>
    <row r="18" spans="1:68">
      <c r="A18" s="12">
        <v>5</v>
      </c>
      <c r="B18" s="29">
        <f>COUNTIF(年計!$D$48:$I$87,AM17)</f>
        <v>6</v>
      </c>
      <c r="C18" s="27">
        <f>COUNTIF(年計!$D$48:$I$87,AN17)</f>
        <v>5</v>
      </c>
      <c r="D18" s="27">
        <f>COUNTIF(年計!$D$48:$I$87,AO17)</f>
        <v>5</v>
      </c>
      <c r="E18" s="27">
        <f>COUNTIF(年計!$D$48:$I$87,AP17)</f>
        <v>5</v>
      </c>
      <c r="F18" s="28">
        <f>COUNTIF(年計!$D$48:$I$87,AQ17)</f>
        <v>4</v>
      </c>
      <c r="G18" s="10">
        <f>COUNTIF(年計!$J$48:$O$87,AR17)</f>
        <v>5</v>
      </c>
      <c r="H18" s="1">
        <f>COUNTIF(年計!$J$48:$O$87,AS17)</f>
        <v>5</v>
      </c>
      <c r="I18" s="1">
        <f>COUNTIF(年計!$J$48:$O$87,AT17)</f>
        <v>4</v>
      </c>
      <c r="J18" s="1">
        <f>COUNTIF(年計!$J$48:$O$87,AU17)</f>
        <v>4</v>
      </c>
      <c r="K18" s="8">
        <f>COUNTIF(年計!$J$48:$O$87,AV17)</f>
        <v>3</v>
      </c>
      <c r="L18" s="10">
        <f>COUNTIF(年計!$P$48:$U$87,AW17)</f>
        <v>5</v>
      </c>
      <c r="M18" s="1">
        <f>COUNTIF(年計!$P$48:$U$87,AX17)</f>
        <v>4</v>
      </c>
      <c r="N18" s="1">
        <f>COUNTIF(年計!$P$48:$U$87,AY17)</f>
        <v>4</v>
      </c>
      <c r="O18" s="1">
        <f>COUNTIF(年計!$P$48:$U$87,AZ17)</f>
        <v>4</v>
      </c>
      <c r="P18" s="5">
        <f>COUNTIF(年計!$P$48:$U$87,BA17)</f>
        <v>3</v>
      </c>
      <c r="S18" s="12">
        <v>5</v>
      </c>
      <c r="T18" s="10">
        <f>COUNTIF(年計!$D$2:$I$87,BB17)</f>
        <v>9</v>
      </c>
      <c r="U18" s="1">
        <f>COUNTIF(年計!$D$2:$I$87,BC17)</f>
        <v>9</v>
      </c>
      <c r="V18" s="1">
        <f>COUNTIF(年計!$D$2:$I$87,BD17)</f>
        <v>8</v>
      </c>
      <c r="W18" s="1">
        <f>COUNTIF(年計!$D$2:$I$87,BE17)</f>
        <v>9</v>
      </c>
      <c r="X18" s="8">
        <f>COUNTIF(年計!$D$2:$I$87,BF17)</f>
        <v>8</v>
      </c>
      <c r="Y18" s="10">
        <f>COUNTIF(年計!$J$2:$O$87,BG17)</f>
        <v>8</v>
      </c>
      <c r="Z18" s="1">
        <f>COUNTIF(年計!$J$2:$O$87,BH17)</f>
        <v>9</v>
      </c>
      <c r="AA18" s="1">
        <f>COUNTIF(年計!$J$2:$O$87,BI17)</f>
        <v>7</v>
      </c>
      <c r="AB18" s="1">
        <f>COUNTIF(年計!$J$2:$O$87,BJ17)</f>
        <v>8</v>
      </c>
      <c r="AC18" s="8">
        <f>COUNTIF(年計!$J$2:$O$87,BK17)</f>
        <v>7</v>
      </c>
      <c r="AD18" s="10">
        <f>COUNTIF(年計!$P$2:$U$87,BL17)</f>
        <v>8</v>
      </c>
      <c r="AE18" s="1">
        <f>COUNTIF(年計!$P$2:$U$87,BM17)</f>
        <v>8</v>
      </c>
      <c r="AF18" s="1">
        <f>COUNTIF(年計!$P$2:$U$87,BN17)</f>
        <v>7</v>
      </c>
      <c r="AG18" s="1">
        <f>COUNTIF(年計!$P$2:$U$87,BO17)</f>
        <v>7</v>
      </c>
      <c r="AH18" s="5">
        <f>COUNTIF(年計!$P$2:$U$87,BP17)</f>
        <v>7</v>
      </c>
      <c r="AM18" t="s">
        <v>5</v>
      </c>
      <c r="AN18" t="s">
        <v>41</v>
      </c>
      <c r="AO18" t="s">
        <v>47</v>
      </c>
      <c r="AP18" t="s">
        <v>53</v>
      </c>
      <c r="AQ18" t="s">
        <v>59</v>
      </c>
      <c r="AR18" t="s">
        <v>5</v>
      </c>
      <c r="AS18" t="s">
        <v>41</v>
      </c>
      <c r="AT18" t="s">
        <v>47</v>
      </c>
      <c r="AU18" t="s">
        <v>53</v>
      </c>
      <c r="AV18" t="s">
        <v>59</v>
      </c>
      <c r="AW18" t="s">
        <v>5</v>
      </c>
      <c r="AX18" t="s">
        <v>41</v>
      </c>
      <c r="AY18" t="s">
        <v>47</v>
      </c>
      <c r="AZ18" t="s">
        <v>53</v>
      </c>
      <c r="BA18" t="s">
        <v>59</v>
      </c>
      <c r="BB18" t="s">
        <v>5</v>
      </c>
      <c r="BC18" t="s">
        <v>41</v>
      </c>
      <c r="BD18" t="s">
        <v>47</v>
      </c>
      <c r="BE18" t="s">
        <v>53</v>
      </c>
      <c r="BF18" t="s">
        <v>59</v>
      </c>
      <c r="BG18" t="s">
        <v>5</v>
      </c>
      <c r="BH18" t="s">
        <v>41</v>
      </c>
      <c r="BI18" t="s">
        <v>47</v>
      </c>
      <c r="BJ18" t="s">
        <v>53</v>
      </c>
      <c r="BK18" t="s">
        <v>59</v>
      </c>
      <c r="BL18" t="s">
        <v>5</v>
      </c>
      <c r="BM18" t="s">
        <v>41</v>
      </c>
      <c r="BN18" t="s">
        <v>47</v>
      </c>
      <c r="BO18" t="s">
        <v>53</v>
      </c>
      <c r="BP18" t="s">
        <v>59</v>
      </c>
    </row>
    <row r="19" spans="1:68" ht="18" thickBot="1">
      <c r="A19" s="13">
        <v>6</v>
      </c>
      <c r="B19" s="63">
        <f>COUNTIF(年計!$D$48:$I$87,AM18)</f>
        <v>5</v>
      </c>
      <c r="C19" s="60">
        <f>COUNTIF(年計!$D$48:$I$87,AN18)</f>
        <v>6</v>
      </c>
      <c r="D19" s="26">
        <f>COUNTIF(年計!$D$48:$I$87,AO18)</f>
        <v>5</v>
      </c>
      <c r="E19" s="25"/>
      <c r="F19" s="15">
        <f>COUNTIF(年計!$D$48:$I$87,AQ18)</f>
        <v>5</v>
      </c>
      <c r="G19" s="18">
        <f>COUNTIF(年計!$J$48:$O$87,AR18)</f>
        <v>4</v>
      </c>
      <c r="H19" s="26">
        <f>COUNTIF(年計!$J$48:$O$87,AS18)</f>
        <v>6</v>
      </c>
      <c r="I19" s="26">
        <f>COUNTIF(年計!$J$48:$O$87,AT18)</f>
        <v>4</v>
      </c>
      <c r="J19" s="25">
        <f>COUNTIF(年計!$J$48:$O$87,AU18)</f>
        <v>0</v>
      </c>
      <c r="K19" s="14">
        <f>COUNTIF(年計!$J$48:$O$87,AV18)</f>
        <v>4</v>
      </c>
      <c r="L19" s="18">
        <f>COUNTIF(年計!$P$48:$U$87,AW18)</f>
        <v>4</v>
      </c>
      <c r="M19" s="26">
        <f>COUNTIF(年計!$P$48:$U$87,AX18)</f>
        <v>5</v>
      </c>
      <c r="N19" s="26">
        <f>COUNTIF(年計!$P$48:$U$87,AY18)</f>
        <v>4</v>
      </c>
      <c r="O19" s="25">
        <f>COUNTIF(年計!$P$48:$U$87,AZ18)</f>
        <v>0</v>
      </c>
      <c r="P19" s="15">
        <f>COUNTIF(年計!$P$48:$U$87,BA18)</f>
        <v>4</v>
      </c>
      <c r="S19" s="13">
        <v>6</v>
      </c>
      <c r="T19" s="18">
        <f>COUNTIF(年計!$D$2:$I$87,BB18)</f>
        <v>7</v>
      </c>
      <c r="U19" s="6">
        <f>COUNTIF(年計!$D$2:$I$87,BC18)</f>
        <v>8</v>
      </c>
      <c r="V19" s="26">
        <f>COUNTIF(年計!$D$2:$I$87,BD18)</f>
        <v>17</v>
      </c>
      <c r="W19" s="25"/>
      <c r="X19" s="14">
        <f>COUNTIF(年計!$D$2:$I$87,BF18)</f>
        <v>7</v>
      </c>
      <c r="Y19" s="18">
        <f>COUNTIF(年計!$J$2:$O$87,BG18)</f>
        <v>6</v>
      </c>
      <c r="Z19" s="26">
        <f>COUNTIF(年計!$J$2:$O$87,BH18)</f>
        <v>8</v>
      </c>
      <c r="AA19" s="26">
        <f>COUNTIF(年計!$J$2:$O$87,BI18)</f>
        <v>15</v>
      </c>
      <c r="AB19" s="25">
        <f>COUNTIF(年計!$J$2:$O$87,BJ18)</f>
        <v>0</v>
      </c>
      <c r="AC19" s="14">
        <f>COUNTIF(年計!$J$2:$O$87,BK18)</f>
        <v>6</v>
      </c>
      <c r="AD19" s="18">
        <f>COUNTIF(年計!$P$2:$U$87,BL18)</f>
        <v>6</v>
      </c>
      <c r="AE19" s="26">
        <f>COUNTIF(年計!$P$2:$U$87,BM18)</f>
        <v>7</v>
      </c>
      <c r="AF19" s="26">
        <f>COUNTIF(年計!$P$2:$U$87,BN18)</f>
        <v>15</v>
      </c>
      <c r="AG19" s="25">
        <f>COUNTIF(年計!$P$2:$U$87,BO18)</f>
        <v>0</v>
      </c>
      <c r="AH19" s="15">
        <f>COUNTIF(年計!$P$2:$U$87,BP18)</f>
        <v>5</v>
      </c>
    </row>
    <row r="20" spans="1:68" ht="18" thickBot="1">
      <c r="A20" s="314" t="s">
        <v>186</v>
      </c>
      <c r="B20" s="314"/>
      <c r="C20" s="314"/>
      <c r="D20" s="314"/>
      <c r="E20" s="314"/>
      <c r="F20" s="314"/>
      <c r="G20" s="314"/>
      <c r="H20" s="314"/>
      <c r="S20" s="314" t="s">
        <v>182</v>
      </c>
      <c r="T20" s="314"/>
      <c r="U20" s="314"/>
      <c r="V20" s="314"/>
      <c r="W20" s="314"/>
      <c r="X20" s="314"/>
      <c r="Y20" s="314"/>
      <c r="Z20" s="314"/>
    </row>
    <row r="21" spans="1:68" ht="18" thickBot="1">
      <c r="A21" s="2"/>
      <c r="B21" s="3" t="s">
        <v>30</v>
      </c>
      <c r="C21" s="3" t="s">
        <v>31</v>
      </c>
      <c r="D21" s="3" t="s">
        <v>33</v>
      </c>
      <c r="E21" s="3" t="s">
        <v>34</v>
      </c>
      <c r="F21" s="7" t="s">
        <v>35</v>
      </c>
      <c r="G21" s="2" t="s">
        <v>30</v>
      </c>
      <c r="H21" s="3" t="s">
        <v>31</v>
      </c>
      <c r="I21" s="3" t="s">
        <v>33</v>
      </c>
      <c r="J21" s="3" t="s">
        <v>34</v>
      </c>
      <c r="K21" s="4" t="s">
        <v>35</v>
      </c>
      <c r="L21" s="9" t="s">
        <v>30</v>
      </c>
      <c r="M21" s="3" t="s">
        <v>31</v>
      </c>
      <c r="N21" s="3" t="s">
        <v>33</v>
      </c>
      <c r="O21" s="3" t="s">
        <v>34</v>
      </c>
      <c r="P21" s="4" t="s">
        <v>35</v>
      </c>
      <c r="S21" s="2"/>
      <c r="T21" s="3" t="s">
        <v>30</v>
      </c>
      <c r="U21" s="3" t="s">
        <v>31</v>
      </c>
      <c r="V21" s="3" t="s">
        <v>33</v>
      </c>
      <c r="W21" s="3" t="s">
        <v>34</v>
      </c>
      <c r="X21" s="7" t="s">
        <v>35</v>
      </c>
      <c r="Y21" s="2" t="s">
        <v>30</v>
      </c>
      <c r="Z21" s="3" t="s">
        <v>31</v>
      </c>
      <c r="AA21" s="3" t="s">
        <v>33</v>
      </c>
      <c r="AB21" s="3" t="s">
        <v>34</v>
      </c>
      <c r="AC21" s="4" t="s">
        <v>35</v>
      </c>
      <c r="AD21" s="9" t="s">
        <v>30</v>
      </c>
      <c r="AE21" s="3" t="s">
        <v>31</v>
      </c>
      <c r="AF21" s="3" t="s">
        <v>33</v>
      </c>
      <c r="AG21" s="3" t="s">
        <v>34</v>
      </c>
      <c r="AH21" s="4" t="s">
        <v>35</v>
      </c>
      <c r="AM21" t="s">
        <v>0</v>
      </c>
      <c r="AN21" t="s">
        <v>36</v>
      </c>
      <c r="AO21" t="s">
        <v>42</v>
      </c>
      <c r="AP21" t="s">
        <v>48</v>
      </c>
      <c r="AQ21" t="s">
        <v>54</v>
      </c>
      <c r="AR21" t="s">
        <v>0</v>
      </c>
      <c r="AS21" t="s">
        <v>36</v>
      </c>
      <c r="AT21" t="s">
        <v>42</v>
      </c>
      <c r="AU21" t="s">
        <v>48</v>
      </c>
      <c r="AV21" t="s">
        <v>54</v>
      </c>
      <c r="AW21" t="s">
        <v>0</v>
      </c>
      <c r="AX21" t="s">
        <v>36</v>
      </c>
      <c r="AY21" t="s">
        <v>42</v>
      </c>
      <c r="AZ21" t="s">
        <v>48</v>
      </c>
      <c r="BA21" t="s">
        <v>54</v>
      </c>
      <c r="BB21" t="s">
        <v>0</v>
      </c>
      <c r="BC21" t="s">
        <v>36</v>
      </c>
      <c r="BD21" t="s">
        <v>42</v>
      </c>
      <c r="BE21" t="s">
        <v>48</v>
      </c>
      <c r="BF21" t="s">
        <v>54</v>
      </c>
      <c r="BG21" t="s">
        <v>0</v>
      </c>
      <c r="BH21" t="s">
        <v>36</v>
      </c>
      <c r="BI21" t="s">
        <v>42</v>
      </c>
      <c r="BJ21" t="s">
        <v>48</v>
      </c>
      <c r="BK21" t="s">
        <v>54</v>
      </c>
      <c r="BL21" t="s">
        <v>0</v>
      </c>
      <c r="BM21" t="s">
        <v>36</v>
      </c>
      <c r="BN21" t="s">
        <v>42</v>
      </c>
      <c r="BO21" t="s">
        <v>48</v>
      </c>
      <c r="BP21" t="s">
        <v>54</v>
      </c>
    </row>
    <row r="22" spans="1:68">
      <c r="A22" s="11">
        <v>1</v>
      </c>
      <c r="B22" s="23">
        <f>COUNTIF(年計!$D$88:$I$180,AM21)</f>
        <v>4</v>
      </c>
      <c r="C22" s="21">
        <f>COUNTIF(年計!$D$90:$I$180,AN21)</f>
        <v>4</v>
      </c>
      <c r="D22" s="21">
        <f>COUNTIF(年計!$D$90:$I$180,AO21)</f>
        <v>6</v>
      </c>
      <c r="E22" s="21">
        <f>COUNTIF(年計!$D$90:$I$180,AP21)</f>
        <v>5</v>
      </c>
      <c r="F22" s="22">
        <f>COUNTIF(年計!$D$90:$I$180,AQ21)</f>
        <v>5</v>
      </c>
      <c r="G22" s="23">
        <f>COUNTIF(年計!$J$90:$O$180,AR21)</f>
        <v>4</v>
      </c>
      <c r="H22" s="21">
        <f>COUNTIF(年計!$J$90:$O$180,AS21)</f>
        <v>4</v>
      </c>
      <c r="I22" s="21">
        <f>COUNTIF(年計!$J$90:$O$180,AT21)</f>
        <v>6</v>
      </c>
      <c r="J22" s="21">
        <f>COUNTIF(年計!$J$90:$O$180,AU21)</f>
        <v>5</v>
      </c>
      <c r="K22" s="22">
        <f>COUNTIF(年計!$J$90:$O$180,AV21)</f>
        <v>5</v>
      </c>
      <c r="L22" s="23">
        <f>COUNTIF(年計!$P$90:$U$180,AW21)</f>
        <v>4</v>
      </c>
      <c r="M22" s="21">
        <f>COUNTIF(年計!$P$90:$U$180,AX21)</f>
        <v>4</v>
      </c>
      <c r="N22" s="21">
        <f>COUNTIF(年計!$P$90:$U$180,AY21)</f>
        <v>5</v>
      </c>
      <c r="O22" s="21">
        <f>COUNTIF(年計!$P$90:$U$180,AZ21)</f>
        <v>5</v>
      </c>
      <c r="P22" s="24">
        <f>COUNTIF(年計!$P$90:$U$180,BA21)</f>
        <v>5</v>
      </c>
      <c r="S22" s="11">
        <v>1</v>
      </c>
      <c r="T22" s="19">
        <f>COUNTIF(年計!$D$2:$I$180,BB21)</f>
        <v>13</v>
      </c>
      <c r="U22" s="16">
        <f>COUNTIF(年計!$D$2:$I$180,BC21)</f>
        <v>13</v>
      </c>
      <c r="V22" s="16">
        <f>COUNTIF(年計!$D$2:$I$180,BD21)</f>
        <v>14</v>
      </c>
      <c r="W22" s="16">
        <f>COUNTIF(年計!$D$2:$I$180,BE21)</f>
        <v>14</v>
      </c>
      <c r="X22" s="20">
        <f>COUNTIF(年計!$D$2:$I$180,BF21)</f>
        <v>14</v>
      </c>
      <c r="Y22" s="19">
        <f>COUNTIF(年計!$J$2:$O$180,BG21)</f>
        <v>12</v>
      </c>
      <c r="Z22" s="21">
        <f>COUNTIF(年計!$J$2:$O$180,BH21)</f>
        <v>13</v>
      </c>
      <c r="AA22" s="21">
        <f>COUNTIF(年計!$J$2:$O$180,BI21)</f>
        <v>13</v>
      </c>
      <c r="AB22" s="21">
        <f>COUNTIF(年計!$J$2:$O$180,BJ21)</f>
        <v>13</v>
      </c>
      <c r="AC22" s="22">
        <f>COUNTIF(年計!$J$2:$O$180,BK21)</f>
        <v>13</v>
      </c>
      <c r="AD22" s="23">
        <f>COUNTIF(年計!$P$2:$U$180,BL21)</f>
        <v>12</v>
      </c>
      <c r="AE22" s="21">
        <f>COUNTIF(年計!$P$2:$U$180,BM21)</f>
        <v>12</v>
      </c>
      <c r="AF22" s="21">
        <f>COUNTIF(年計!$P$2:$U$180,BN21)</f>
        <v>12</v>
      </c>
      <c r="AG22" s="21">
        <f>COUNTIF(年計!$P$2:$U$180,BO21)</f>
        <v>12</v>
      </c>
      <c r="AH22" s="24">
        <f>COUNTIF(年計!$P$2:$U$180,BP21)</f>
        <v>13</v>
      </c>
      <c r="AI22" t="s">
        <v>67</v>
      </c>
      <c r="AJ22" t="e">
        <f>MATCH(AI22,年計!$C$2:$C$367,0)</f>
        <v>#N/A</v>
      </c>
      <c r="AM22" t="s">
        <v>1</v>
      </c>
      <c r="AN22" t="s">
        <v>37</v>
      </c>
      <c r="AO22" t="s">
        <v>43</v>
      </c>
      <c r="AP22" t="s">
        <v>49</v>
      </c>
      <c r="AQ22" t="s">
        <v>55</v>
      </c>
      <c r="AR22" t="s">
        <v>1</v>
      </c>
      <c r="AS22" t="s">
        <v>37</v>
      </c>
      <c r="AT22" t="s">
        <v>43</v>
      </c>
      <c r="AU22" t="s">
        <v>49</v>
      </c>
      <c r="AV22" t="s">
        <v>55</v>
      </c>
      <c r="AW22" t="s">
        <v>1</v>
      </c>
      <c r="AX22" t="s">
        <v>37</v>
      </c>
      <c r="AY22" t="s">
        <v>43</v>
      </c>
      <c r="AZ22" t="s">
        <v>49</v>
      </c>
      <c r="BA22" t="s">
        <v>55</v>
      </c>
      <c r="BB22" t="s">
        <v>1</v>
      </c>
      <c r="BC22" t="s">
        <v>37</v>
      </c>
      <c r="BD22" t="s">
        <v>43</v>
      </c>
      <c r="BE22" t="s">
        <v>49</v>
      </c>
      <c r="BF22" t="s">
        <v>55</v>
      </c>
      <c r="BG22" t="s">
        <v>1</v>
      </c>
      <c r="BH22" t="s">
        <v>37</v>
      </c>
      <c r="BI22" t="s">
        <v>43</v>
      </c>
      <c r="BJ22" t="s">
        <v>49</v>
      </c>
      <c r="BK22" t="s">
        <v>55</v>
      </c>
      <c r="BL22" t="s">
        <v>1</v>
      </c>
      <c r="BM22" t="s">
        <v>37</v>
      </c>
      <c r="BN22" t="s">
        <v>43</v>
      </c>
      <c r="BO22" t="s">
        <v>49</v>
      </c>
      <c r="BP22" t="s">
        <v>55</v>
      </c>
    </row>
    <row r="23" spans="1:68">
      <c r="A23" s="12">
        <v>2</v>
      </c>
      <c r="B23" s="29">
        <f>COUNTIF(年計!$D$88:$I$180,AM22)</f>
        <v>4</v>
      </c>
      <c r="C23" s="27">
        <f>COUNTIF(年計!$D$90:$I$180,AN22)</f>
        <v>4</v>
      </c>
      <c r="D23" s="27">
        <f>COUNTIF(年計!$D$90:$I$180,AO22)</f>
        <v>6</v>
      </c>
      <c r="E23" s="27">
        <f>COUNTIF(年計!$D$90:$I$180,AP22)</f>
        <v>6</v>
      </c>
      <c r="F23" s="28">
        <f>COUNTIF(年計!$D$90:$I$180,AQ22)</f>
        <v>5</v>
      </c>
      <c r="G23" s="29">
        <f>COUNTIF(年計!$J$90:$O$180,AR22)</f>
        <v>4</v>
      </c>
      <c r="H23" s="27">
        <f>COUNTIF(年計!$J$90:$O$180,AS22)</f>
        <v>4</v>
      </c>
      <c r="I23" s="27">
        <f>COUNTIF(年計!$J$90:$O$180,AT22)</f>
        <v>6</v>
      </c>
      <c r="J23" s="27">
        <f>COUNTIF(年計!$J$90:$O$180,AU22)</f>
        <v>6</v>
      </c>
      <c r="K23" s="28">
        <f>COUNTIF(年計!$J$90:$O$180,AV22)</f>
        <v>5</v>
      </c>
      <c r="L23" s="29">
        <f>COUNTIF(年計!$P$90:$U$180,AW22)</f>
        <v>4</v>
      </c>
      <c r="M23" s="27">
        <f>COUNTIF(年計!$P$90:$U$180,AX22)</f>
        <v>4</v>
      </c>
      <c r="N23" s="27">
        <f>COUNTIF(年計!$P$90:$U$180,AY22)</f>
        <v>5</v>
      </c>
      <c r="O23" s="1">
        <f>COUNTIF(年計!$P$90:$U$180,AZ22)</f>
        <v>6</v>
      </c>
      <c r="P23" s="5">
        <f>COUNTIF(年計!$P$90:$U$180,BA22)</f>
        <v>5</v>
      </c>
      <c r="S23" s="12">
        <v>2</v>
      </c>
      <c r="T23" s="10">
        <f>COUNTIF(年計!$D$2:$I$180,BB22)</f>
        <v>13</v>
      </c>
      <c r="U23" s="1">
        <f>COUNTIF(年計!$D$2:$I$180,BC22)</f>
        <v>13</v>
      </c>
      <c r="V23" s="1">
        <f>COUNTIF(年計!$D$2:$I$180,BD22)</f>
        <v>14</v>
      </c>
      <c r="W23" s="1">
        <f>COUNTIF(年計!$D$2:$I$180,BE22)</f>
        <v>15</v>
      </c>
      <c r="X23" s="8">
        <f>COUNTIF(年計!$D$2:$I$180,BF22)</f>
        <v>13</v>
      </c>
      <c r="Y23" s="10">
        <f>COUNTIF(年計!$J$2:$O$180,BG22)</f>
        <v>12</v>
      </c>
      <c r="Z23" s="1">
        <f>COUNTIF(年計!$J$2:$O$180,BH22)</f>
        <v>13</v>
      </c>
      <c r="AA23" s="1">
        <f>COUNTIF(年計!$J$2:$O$180,BI22)</f>
        <v>13</v>
      </c>
      <c r="AB23" s="1">
        <f>COUNTIF(年計!$J$2:$O$180,BJ22)</f>
        <v>14</v>
      </c>
      <c r="AC23" s="8">
        <f>COUNTIF(年計!$J$2:$O$180,BK22)</f>
        <v>12</v>
      </c>
      <c r="AD23" s="10">
        <f>COUNTIF(年計!$P$2:$U$180,BL22)</f>
        <v>12</v>
      </c>
      <c r="AE23" s="1">
        <f>COUNTIF(年計!$P$2:$U$180,BM22)</f>
        <v>12</v>
      </c>
      <c r="AF23" s="1">
        <f>COUNTIF(年計!$P$2:$U$180,BN22)</f>
        <v>12</v>
      </c>
      <c r="AG23" s="1">
        <f>COUNTIF(年計!$P$2:$U$180,BO22)</f>
        <v>13</v>
      </c>
      <c r="AH23" s="5">
        <f>COUNTIF(年計!$P$2:$U$180,BP22)</f>
        <v>12</v>
      </c>
      <c r="AM23" t="s">
        <v>2</v>
      </c>
      <c r="AN23" t="s">
        <v>38</v>
      </c>
      <c r="AO23" t="s">
        <v>44</v>
      </c>
      <c r="AP23" t="s">
        <v>50</v>
      </c>
      <c r="AQ23" t="s">
        <v>56</v>
      </c>
      <c r="AR23" t="s">
        <v>2</v>
      </c>
      <c r="AS23" t="s">
        <v>38</v>
      </c>
      <c r="AT23" t="s">
        <v>44</v>
      </c>
      <c r="AU23" t="s">
        <v>50</v>
      </c>
      <c r="AV23" t="s">
        <v>56</v>
      </c>
      <c r="AW23" t="s">
        <v>2</v>
      </c>
      <c r="AX23" t="s">
        <v>38</v>
      </c>
      <c r="AY23" t="s">
        <v>44</v>
      </c>
      <c r="AZ23" t="s">
        <v>50</v>
      </c>
      <c r="BA23" t="s">
        <v>56</v>
      </c>
      <c r="BB23" t="s">
        <v>2</v>
      </c>
      <c r="BC23" t="s">
        <v>38</v>
      </c>
      <c r="BD23" t="s">
        <v>44</v>
      </c>
      <c r="BE23" t="s">
        <v>50</v>
      </c>
      <c r="BF23" t="s">
        <v>56</v>
      </c>
      <c r="BG23" t="s">
        <v>2</v>
      </c>
      <c r="BH23" t="s">
        <v>38</v>
      </c>
      <c r="BI23" t="s">
        <v>44</v>
      </c>
      <c r="BJ23" t="s">
        <v>50</v>
      </c>
      <c r="BK23" t="s">
        <v>56</v>
      </c>
      <c r="BL23" t="s">
        <v>2</v>
      </c>
      <c r="BM23" t="s">
        <v>38</v>
      </c>
      <c r="BN23" t="s">
        <v>44</v>
      </c>
      <c r="BO23" t="s">
        <v>50</v>
      </c>
      <c r="BP23" t="s">
        <v>56</v>
      </c>
    </row>
    <row r="24" spans="1:68">
      <c r="A24" s="12">
        <v>3</v>
      </c>
      <c r="B24" s="29">
        <f>COUNTIF(年計!$D$88:$I$180,AM23)</f>
        <v>4</v>
      </c>
      <c r="C24" s="27">
        <f>COUNTIF(年計!$D$90:$I$180,AN23)</f>
        <v>4</v>
      </c>
      <c r="D24" s="27">
        <f>COUNTIF(年計!$D$90:$I$180,AO23)</f>
        <v>5</v>
      </c>
      <c r="E24" s="27">
        <f>COUNTIF(年計!$D$90:$I$180,AP23)</f>
        <v>6</v>
      </c>
      <c r="F24" s="28">
        <f>COUNTIF(年計!$D$90:$I$180,AQ23)</f>
        <v>5</v>
      </c>
      <c r="G24" s="29">
        <f>COUNTIF(年計!$J$90:$O$180,AR23)</f>
        <v>4</v>
      </c>
      <c r="H24" s="27">
        <f>COUNTIF(年計!$J$90:$O$180,AS23)</f>
        <v>4</v>
      </c>
      <c r="I24" s="27">
        <f>COUNTIF(年計!$J$90:$O$180,AT23)</f>
        <v>5</v>
      </c>
      <c r="J24" s="27">
        <f>COUNTIF(年計!$J$90:$O$180,AU23)</f>
        <v>6</v>
      </c>
      <c r="K24" s="28">
        <f>COUNTIF(年計!$J$90:$O$180,AV23)</f>
        <v>5</v>
      </c>
      <c r="L24" s="29">
        <f>COUNTIF(年計!$P$90:$U$180,AW23)</f>
        <v>4</v>
      </c>
      <c r="M24" s="27">
        <f>COUNTIF(年計!$P$90:$U$180,AX23)</f>
        <v>4</v>
      </c>
      <c r="N24" s="27">
        <f>COUNTIF(年計!$P$90:$U$180,AY23)</f>
        <v>5</v>
      </c>
      <c r="O24" s="1">
        <f>COUNTIF(年計!$P$90:$U$180,AZ23)</f>
        <v>5</v>
      </c>
      <c r="P24" s="5">
        <f>COUNTIF(年計!$P$90:$U$180,BA23)</f>
        <v>5</v>
      </c>
      <c r="S24" s="12">
        <v>3</v>
      </c>
      <c r="T24" s="10">
        <f>COUNTIF(年計!$D$2:$I$180,BB23)</f>
        <v>13</v>
      </c>
      <c r="U24" s="1">
        <f>COUNTIF(年計!$D$2:$I$180,BC23)</f>
        <v>13</v>
      </c>
      <c r="V24" s="1">
        <f>COUNTIF(年計!$D$2:$I$180,BD23)</f>
        <v>13</v>
      </c>
      <c r="W24" s="1">
        <f>COUNTIF(年計!$D$2:$I$180,BE23)</f>
        <v>15</v>
      </c>
      <c r="X24" s="8">
        <f>COUNTIF(年計!$D$2:$I$180,BF23)</f>
        <v>13</v>
      </c>
      <c r="Y24" s="10">
        <f>COUNTIF(年計!$J$2:$O$180,BG23)</f>
        <v>12</v>
      </c>
      <c r="Z24" s="1">
        <f>COUNTIF(年計!$J$2:$O$180,BH23)</f>
        <v>13</v>
      </c>
      <c r="AA24" s="1">
        <f>COUNTIF(年計!$J$2:$O$180,BI23)</f>
        <v>12</v>
      </c>
      <c r="AB24" s="1">
        <f>COUNTIF(年計!$J$2:$O$180,BJ23)</f>
        <v>14</v>
      </c>
      <c r="AC24" s="8">
        <f>COUNTIF(年計!$J$2:$O$180,BK23)</f>
        <v>12</v>
      </c>
      <c r="AD24" s="10">
        <f>COUNTIF(年計!$P$2:$U$180,BL23)</f>
        <v>12</v>
      </c>
      <c r="AE24" s="1">
        <f>COUNTIF(年計!$P$2:$U$180,BM23)</f>
        <v>12</v>
      </c>
      <c r="AF24" s="1">
        <f>COUNTIF(年計!$P$2:$U$180,BN23)</f>
        <v>12</v>
      </c>
      <c r="AG24" s="1">
        <f>COUNTIF(年計!$P$2:$U$180,BO23)</f>
        <v>12</v>
      </c>
      <c r="AH24" s="5">
        <f>COUNTIF(年計!$P$2:$U$180,BP23)</f>
        <v>12</v>
      </c>
      <c r="AM24" t="s">
        <v>3</v>
      </c>
      <c r="AN24" t="s">
        <v>39</v>
      </c>
      <c r="AO24" t="s">
        <v>45</v>
      </c>
      <c r="AP24" t="s">
        <v>51</v>
      </c>
      <c r="AQ24" t="s">
        <v>57</v>
      </c>
      <c r="AR24" t="s">
        <v>3</v>
      </c>
      <c r="AS24" t="s">
        <v>39</v>
      </c>
      <c r="AT24" t="s">
        <v>45</v>
      </c>
      <c r="AU24" t="s">
        <v>51</v>
      </c>
      <c r="AV24" t="s">
        <v>57</v>
      </c>
      <c r="AW24" t="s">
        <v>3</v>
      </c>
      <c r="AX24" t="s">
        <v>39</v>
      </c>
      <c r="AY24" t="s">
        <v>45</v>
      </c>
      <c r="AZ24" t="s">
        <v>51</v>
      </c>
      <c r="BA24" t="s">
        <v>57</v>
      </c>
      <c r="BB24" t="s">
        <v>3</v>
      </c>
      <c r="BC24" t="s">
        <v>39</v>
      </c>
      <c r="BD24" t="s">
        <v>45</v>
      </c>
      <c r="BE24" t="s">
        <v>51</v>
      </c>
      <c r="BF24" t="s">
        <v>57</v>
      </c>
      <c r="BG24" t="s">
        <v>3</v>
      </c>
      <c r="BH24" t="s">
        <v>39</v>
      </c>
      <c r="BI24" t="s">
        <v>45</v>
      </c>
      <c r="BJ24" t="s">
        <v>51</v>
      </c>
      <c r="BK24" t="s">
        <v>57</v>
      </c>
      <c r="BL24" t="s">
        <v>3</v>
      </c>
      <c r="BM24" t="s">
        <v>39</v>
      </c>
      <c r="BN24" t="s">
        <v>45</v>
      </c>
      <c r="BO24" t="s">
        <v>51</v>
      </c>
      <c r="BP24" t="s">
        <v>57</v>
      </c>
    </row>
    <row r="25" spans="1:68">
      <c r="A25" s="12">
        <v>4</v>
      </c>
      <c r="B25" s="29">
        <f>COUNTIF(年計!$D$88:$I$180,AM24)</f>
        <v>4</v>
      </c>
      <c r="C25" s="27">
        <f>COUNTIF(年計!$D$90:$I$180,AN24)</f>
        <v>4</v>
      </c>
      <c r="D25" s="27">
        <f>COUNTIF(年計!$D$90:$I$180,AO24)</f>
        <v>4</v>
      </c>
      <c r="E25" s="27">
        <f>COUNTIF(年計!$D$90:$I$180,AP24)</f>
        <v>5</v>
      </c>
      <c r="F25" s="28">
        <f>COUNTIF(年計!$D$90:$I$180,AQ24)</f>
        <v>4</v>
      </c>
      <c r="G25" s="29">
        <f>COUNTIF(年計!$J$90:$O$180,AR24)</f>
        <v>4</v>
      </c>
      <c r="H25" s="27">
        <f>COUNTIF(年計!$J$90:$O$180,AS24)</f>
        <v>4</v>
      </c>
      <c r="I25" s="27">
        <f>COUNTIF(年計!$J$90:$O$180,AT24)</f>
        <v>4</v>
      </c>
      <c r="J25" s="27">
        <f>COUNTIF(年計!$J$90:$O$180,AU24)</f>
        <v>6</v>
      </c>
      <c r="K25" s="28">
        <f>COUNTIF(年計!$J$90:$O$180,AV24)</f>
        <v>4</v>
      </c>
      <c r="L25" s="29">
        <f>COUNTIF(年計!$P$90:$U$180,AW24)</f>
        <v>4</v>
      </c>
      <c r="M25" s="27">
        <f>COUNTIF(年計!$P$90:$U$180,AX24)</f>
        <v>4</v>
      </c>
      <c r="N25" s="27">
        <f>COUNTIF(年計!$P$90:$U$180,AY24)</f>
        <v>4</v>
      </c>
      <c r="O25" s="1">
        <f>COUNTIF(年計!$P$90:$U$180,AZ24)</f>
        <v>5</v>
      </c>
      <c r="P25" s="5">
        <f>COUNTIF(年計!$P$90:$U$180,BA24)</f>
        <v>4</v>
      </c>
      <c r="S25" s="12">
        <v>4</v>
      </c>
      <c r="T25" s="10">
        <f>COUNTIF(年計!$D$2:$I$180,BB24)</f>
        <v>13</v>
      </c>
      <c r="U25" s="1">
        <f>COUNTIF(年計!$D$2:$I$180,BC24)</f>
        <v>13</v>
      </c>
      <c r="V25" s="1">
        <f>COUNTIF(年計!$D$2:$I$180,BD24)</f>
        <v>12</v>
      </c>
      <c r="W25" s="1">
        <f>COUNTIF(年計!$D$2:$I$180,BE24)</f>
        <v>14</v>
      </c>
      <c r="X25" s="8">
        <f>COUNTIF(年計!$D$2:$I$180,BF24)</f>
        <v>13</v>
      </c>
      <c r="Y25" s="10">
        <f>COUNTIF(年計!$J$2:$O$180,BG24)</f>
        <v>12</v>
      </c>
      <c r="Z25" s="1">
        <f>COUNTIF(年計!$J$2:$O$180,BH24)</f>
        <v>13</v>
      </c>
      <c r="AA25" s="1">
        <f>COUNTIF(年計!$J$2:$O$180,BI24)</f>
        <v>11</v>
      </c>
      <c r="AB25" s="1">
        <f>COUNTIF(年計!$J$2:$O$180,BJ24)</f>
        <v>14</v>
      </c>
      <c r="AC25" s="8">
        <f>COUNTIF(年計!$J$2:$O$180,BK24)</f>
        <v>12</v>
      </c>
      <c r="AD25" s="10">
        <f>COUNTIF(年計!$P$2:$U$180,BL24)</f>
        <v>12</v>
      </c>
      <c r="AE25" s="1">
        <f>COUNTIF(年計!$P$2:$U$180,BM24)</f>
        <v>12</v>
      </c>
      <c r="AF25" s="1">
        <f>COUNTIF(年計!$P$2:$U$180,BN24)</f>
        <v>11</v>
      </c>
      <c r="AG25" s="1">
        <f>COUNTIF(年計!$P$2:$U$180,BO24)</f>
        <v>12</v>
      </c>
      <c r="AH25" s="5">
        <f>COUNTIF(年計!$P$2:$U$180,BP24)</f>
        <v>12</v>
      </c>
      <c r="AM25" t="s">
        <v>4</v>
      </c>
      <c r="AN25" t="s">
        <v>40</v>
      </c>
      <c r="AO25" t="s">
        <v>46</v>
      </c>
      <c r="AP25" t="s">
        <v>52</v>
      </c>
      <c r="AQ25" t="s">
        <v>58</v>
      </c>
      <c r="AR25" t="s">
        <v>4</v>
      </c>
      <c r="AS25" t="s">
        <v>40</v>
      </c>
      <c r="AT25" t="s">
        <v>46</v>
      </c>
      <c r="AU25" t="s">
        <v>52</v>
      </c>
      <c r="AV25" t="s">
        <v>58</v>
      </c>
      <c r="AW25" t="s">
        <v>4</v>
      </c>
      <c r="AX25" t="s">
        <v>40</v>
      </c>
      <c r="AY25" t="s">
        <v>46</v>
      </c>
      <c r="AZ25" t="s">
        <v>52</v>
      </c>
      <c r="BA25" t="s">
        <v>58</v>
      </c>
      <c r="BB25" t="s">
        <v>4</v>
      </c>
      <c r="BC25" t="s">
        <v>40</v>
      </c>
      <c r="BD25" t="s">
        <v>46</v>
      </c>
      <c r="BE25" t="s">
        <v>52</v>
      </c>
      <c r="BF25" t="s">
        <v>58</v>
      </c>
      <c r="BG25" t="s">
        <v>4</v>
      </c>
      <c r="BH25" t="s">
        <v>40</v>
      </c>
      <c r="BI25" t="s">
        <v>46</v>
      </c>
      <c r="BJ25" t="s">
        <v>52</v>
      </c>
      <c r="BK25" t="s">
        <v>58</v>
      </c>
      <c r="BL25" t="s">
        <v>4</v>
      </c>
      <c r="BM25" t="s">
        <v>40</v>
      </c>
      <c r="BN25" t="s">
        <v>46</v>
      </c>
      <c r="BO25" t="s">
        <v>52</v>
      </c>
      <c r="BP25" t="s">
        <v>58</v>
      </c>
    </row>
    <row r="26" spans="1:68">
      <c r="A26" s="12">
        <v>5</v>
      </c>
      <c r="B26" s="29">
        <f>COUNTIF(年計!$D$88:$I$180,AM25)</f>
        <v>4</v>
      </c>
      <c r="C26" s="27">
        <f>COUNTIF(年計!$D$90:$I$180,AN25)</f>
        <v>5</v>
      </c>
      <c r="D26" s="27">
        <f>COUNTIF(年計!$D$90:$I$180,AO25)</f>
        <v>5</v>
      </c>
      <c r="E26" s="27">
        <f>COUNTIF(年計!$D$90:$I$180,AP25)</f>
        <v>6</v>
      </c>
      <c r="F26" s="28">
        <f>COUNTIF(年計!$D$90:$I$180,AQ25)</f>
        <v>5</v>
      </c>
      <c r="G26" s="10">
        <f>COUNTIF(年計!$J$90:$O$180,AR25)</f>
        <v>4</v>
      </c>
      <c r="H26" s="1">
        <f>COUNTIF(年計!$J$90:$O$180,AS25)</f>
        <v>4</v>
      </c>
      <c r="I26" s="27">
        <f>COUNTIF(年計!$J$90:$O$180,AT25)</f>
        <v>5</v>
      </c>
      <c r="J26" s="1">
        <f>COUNTIF(年計!$J$90:$O$180,AU25)</f>
        <v>6</v>
      </c>
      <c r="K26" s="8">
        <f>COUNTIF(年計!$J$90:$O$180,AV25)</f>
        <v>5</v>
      </c>
      <c r="L26" s="10">
        <f>COUNTIF(年計!$P$90:$U$180,AW25)</f>
        <v>4</v>
      </c>
      <c r="M26" s="1">
        <f>COUNTIF(年計!$P$90:$U$180,AX25)</f>
        <v>4</v>
      </c>
      <c r="N26" s="1">
        <f>COUNTIF(年計!$P$90:$U$180,AY25)</f>
        <v>5</v>
      </c>
      <c r="O26" s="1">
        <f>COUNTIF(年計!$P$90:$U$180,AZ25)</f>
        <v>5</v>
      </c>
      <c r="P26" s="5">
        <f>COUNTIF(年計!$P$90:$U$180,BA25)</f>
        <v>5</v>
      </c>
      <c r="S26" s="12">
        <v>5</v>
      </c>
      <c r="T26" s="10">
        <f>COUNTIF(年計!$D$2:$I$180,BB25)</f>
        <v>13</v>
      </c>
      <c r="U26" s="1">
        <f>COUNTIF(年計!$D$2:$I$180,BC25)</f>
        <v>14</v>
      </c>
      <c r="V26" s="1">
        <f>COUNTIF(年計!$D$2:$I$180,BD25)</f>
        <v>13</v>
      </c>
      <c r="W26" s="1">
        <f>COUNTIF(年計!$D$2:$I$180,BE25)</f>
        <v>15</v>
      </c>
      <c r="X26" s="8">
        <f>COUNTIF(年計!$D$2:$I$180,BF25)</f>
        <v>13</v>
      </c>
      <c r="Y26" s="10">
        <f>COUNTIF(年計!$J$2:$O$180,BG25)</f>
        <v>12</v>
      </c>
      <c r="Z26" s="1">
        <f>COUNTIF(年計!$J$2:$O$180,BH25)</f>
        <v>13</v>
      </c>
      <c r="AA26" s="1">
        <f>COUNTIF(年計!$J$2:$O$180,BI25)</f>
        <v>12</v>
      </c>
      <c r="AB26" s="1">
        <f>COUNTIF(年計!$J$2:$O$180,BJ25)</f>
        <v>14</v>
      </c>
      <c r="AC26" s="8">
        <f>COUNTIF(年計!$J$2:$O$180,BK25)</f>
        <v>12</v>
      </c>
      <c r="AD26" s="10">
        <f>COUNTIF(年計!$P$2:$U$180,BL25)</f>
        <v>12</v>
      </c>
      <c r="AE26" s="1">
        <f>COUNTIF(年計!$P$2:$U$180,BM25)</f>
        <v>12</v>
      </c>
      <c r="AF26" s="1">
        <f>COUNTIF(年計!$P$2:$U$180,BN25)</f>
        <v>12</v>
      </c>
      <c r="AG26" s="1">
        <f>COUNTIF(年計!$P$2:$U$180,BO25)</f>
        <v>12</v>
      </c>
      <c r="AH26" s="5">
        <f>COUNTIF(年計!$P$2:$U$180,BP25)</f>
        <v>12</v>
      </c>
      <c r="AM26" t="s">
        <v>5</v>
      </c>
      <c r="AN26" t="s">
        <v>41</v>
      </c>
      <c r="AO26" t="s">
        <v>47</v>
      </c>
      <c r="AP26" t="s">
        <v>53</v>
      </c>
      <c r="AQ26" t="s">
        <v>59</v>
      </c>
      <c r="AR26" t="s">
        <v>5</v>
      </c>
      <c r="AS26" t="s">
        <v>41</v>
      </c>
      <c r="AT26" t="s">
        <v>47</v>
      </c>
      <c r="AU26" t="s">
        <v>53</v>
      </c>
      <c r="AV26" t="s">
        <v>59</v>
      </c>
      <c r="AW26" t="s">
        <v>5</v>
      </c>
      <c r="AX26" t="s">
        <v>41</v>
      </c>
      <c r="AY26" t="s">
        <v>47</v>
      </c>
      <c r="AZ26" t="s">
        <v>53</v>
      </c>
      <c r="BA26" t="s">
        <v>59</v>
      </c>
      <c r="BB26" t="s">
        <v>5</v>
      </c>
      <c r="BC26" t="s">
        <v>41</v>
      </c>
      <c r="BD26" t="s">
        <v>47</v>
      </c>
      <c r="BE26" t="s">
        <v>53</v>
      </c>
      <c r="BF26" t="s">
        <v>59</v>
      </c>
      <c r="BG26" t="s">
        <v>5</v>
      </c>
      <c r="BH26" t="s">
        <v>41</v>
      </c>
      <c r="BI26" t="s">
        <v>47</v>
      </c>
      <c r="BJ26" t="s">
        <v>53</v>
      </c>
      <c r="BK26" t="s">
        <v>59</v>
      </c>
      <c r="BL26" t="s">
        <v>5</v>
      </c>
      <c r="BM26" t="s">
        <v>41</v>
      </c>
      <c r="BN26" t="s">
        <v>47</v>
      </c>
      <c r="BO26" t="s">
        <v>53</v>
      </c>
      <c r="BP26" t="s">
        <v>59</v>
      </c>
    </row>
    <row r="27" spans="1:68" ht="18" thickBot="1">
      <c r="A27" s="13">
        <v>6</v>
      </c>
      <c r="B27" s="63">
        <f>COUNTIF(年計!$D$88:$I$180,AM26)</f>
        <v>4</v>
      </c>
      <c r="C27" s="60">
        <f>COUNTIF(年計!$D$90:$I$180,AN26)</f>
        <v>6</v>
      </c>
      <c r="D27" s="26">
        <f>COUNTIF(年計!$D$90:$I$180,AO26)</f>
        <v>9</v>
      </c>
      <c r="E27" s="25">
        <f>COUNTIF(年計!$D$90:$I$180,AP26)</f>
        <v>0</v>
      </c>
      <c r="F27" s="15">
        <f>COUNTIF(年計!$D$90:$I$180,AQ26)</f>
        <v>5</v>
      </c>
      <c r="G27" s="18">
        <f>COUNTIF(年計!$J$90:$O$180,AR26)</f>
        <v>4</v>
      </c>
      <c r="H27" s="26">
        <f>COUNTIF(年計!$J$90:$O$180,AS26)</f>
        <v>6</v>
      </c>
      <c r="I27" s="26">
        <f>COUNTIF(年計!$J$90:$O$180,AT26)</f>
        <v>9</v>
      </c>
      <c r="J27" s="25">
        <f>COUNTIF(年計!$J$90:$O$180,AU26)</f>
        <v>0</v>
      </c>
      <c r="K27" s="14">
        <f>COUNTIF(年計!$J$90:$O$180,AV26)</f>
        <v>5</v>
      </c>
      <c r="L27" s="18">
        <f>COUNTIF(年計!$P$90:$U$180,AW26)</f>
        <v>4</v>
      </c>
      <c r="M27" s="26">
        <f>COUNTIF(年計!$P$90:$U$180,AX26)</f>
        <v>5</v>
      </c>
      <c r="N27" s="26">
        <f>COUNTIF(年計!$P$90:$U$180,AY26)</f>
        <v>9</v>
      </c>
      <c r="O27" s="25">
        <f>COUNTIF(年計!$P$90:$U$180,AZ26)</f>
        <v>0</v>
      </c>
      <c r="P27" s="15">
        <f>COUNTIF(年計!$P$90:$U$180,BA26)</f>
        <v>4</v>
      </c>
      <c r="S27" s="13">
        <v>6</v>
      </c>
      <c r="T27" s="18">
        <f>COUNTIF(年計!$D$2:$I$180,BB26)</f>
        <v>11</v>
      </c>
      <c r="U27" s="6">
        <f>COUNTIF(年計!$D$2:$I$180,BC26)</f>
        <v>14</v>
      </c>
      <c r="V27" s="26">
        <f>COUNTIF(年計!$D$2:$I$180,BD26)</f>
        <v>26</v>
      </c>
      <c r="W27" s="25">
        <f>COUNTIF(年計!$D$2:$I$180,BE26)</f>
        <v>0</v>
      </c>
      <c r="X27" s="14">
        <f>COUNTIF(年計!$D$2:$I$180,BF26)</f>
        <v>12</v>
      </c>
      <c r="Y27" s="18">
        <f>COUNTIF(年計!$J$2:$O$180,BG26)</f>
        <v>10</v>
      </c>
      <c r="Z27" s="26">
        <f>COUNTIF(年計!$J$2:$O$180,BH26)</f>
        <v>14</v>
      </c>
      <c r="AA27" s="26">
        <f>COUNTIF(年計!$J$2:$O$180,BI26)</f>
        <v>24</v>
      </c>
      <c r="AB27" s="25">
        <f>COUNTIF(年計!$J$2:$O$180,BJ26)</f>
        <v>0</v>
      </c>
      <c r="AC27" s="14">
        <f>COUNTIF(年計!$J$2:$O$180,BK26)</f>
        <v>11</v>
      </c>
      <c r="AD27" s="18">
        <f>COUNTIF(年計!$P$2:$U$180,BL26)</f>
        <v>10</v>
      </c>
      <c r="AE27" s="26">
        <f>COUNTIF(年計!$P$2:$U$180,BM26)</f>
        <v>12</v>
      </c>
      <c r="AF27" s="26">
        <f>COUNTIF(年計!$P$2:$U$180,BN26)</f>
        <v>24</v>
      </c>
      <c r="AG27" s="25">
        <f>COUNTIF(年計!$P$2:$U$180,BO26)</f>
        <v>0</v>
      </c>
      <c r="AH27" s="15">
        <f>COUNTIF(年計!$P$2:$U$180,BP26)</f>
        <v>9</v>
      </c>
    </row>
    <row r="28" spans="1:68" ht="18" thickBot="1">
      <c r="A28" s="314" t="s">
        <v>187</v>
      </c>
      <c r="B28" s="314"/>
      <c r="C28" s="314"/>
      <c r="D28" s="314"/>
      <c r="E28" s="314"/>
      <c r="F28" s="314"/>
      <c r="G28" s="314"/>
      <c r="H28" s="314"/>
      <c r="I28" s="32"/>
      <c r="S28" s="314" t="s">
        <v>191</v>
      </c>
      <c r="T28" s="314"/>
      <c r="U28" s="314"/>
      <c r="V28" s="314"/>
      <c r="W28" s="314"/>
      <c r="X28" s="314"/>
      <c r="Y28" s="314"/>
      <c r="Z28" s="314"/>
    </row>
    <row r="29" spans="1:68" ht="18" thickBot="1">
      <c r="A29" s="2"/>
      <c r="B29" s="3" t="s">
        <v>30</v>
      </c>
      <c r="C29" s="3" t="s">
        <v>31</v>
      </c>
      <c r="D29" s="3" t="s">
        <v>33</v>
      </c>
      <c r="E29" s="3" t="s">
        <v>34</v>
      </c>
      <c r="F29" s="7" t="s">
        <v>35</v>
      </c>
      <c r="G29" s="2" t="s">
        <v>30</v>
      </c>
      <c r="H29" s="3" t="s">
        <v>31</v>
      </c>
      <c r="I29" s="3" t="s">
        <v>33</v>
      </c>
      <c r="J29" s="3" t="s">
        <v>34</v>
      </c>
      <c r="K29" s="4" t="s">
        <v>35</v>
      </c>
      <c r="L29" s="9" t="s">
        <v>30</v>
      </c>
      <c r="M29" s="3" t="s">
        <v>31</v>
      </c>
      <c r="N29" s="3" t="s">
        <v>33</v>
      </c>
      <c r="O29" s="3" t="s">
        <v>34</v>
      </c>
      <c r="P29" s="4" t="s">
        <v>35</v>
      </c>
      <c r="S29" s="2"/>
      <c r="T29" s="3" t="s">
        <v>30</v>
      </c>
      <c r="U29" s="3" t="s">
        <v>31</v>
      </c>
      <c r="V29" s="3" t="s">
        <v>33</v>
      </c>
      <c r="W29" s="3" t="s">
        <v>34</v>
      </c>
      <c r="X29" s="7" t="s">
        <v>35</v>
      </c>
      <c r="Y29" s="2" t="s">
        <v>30</v>
      </c>
      <c r="Z29" s="3" t="s">
        <v>31</v>
      </c>
      <c r="AA29" s="3" t="s">
        <v>33</v>
      </c>
      <c r="AB29" s="3" t="s">
        <v>34</v>
      </c>
      <c r="AC29" s="4" t="s">
        <v>35</v>
      </c>
      <c r="AD29" s="9" t="s">
        <v>30</v>
      </c>
      <c r="AE29" s="3" t="s">
        <v>31</v>
      </c>
      <c r="AF29" s="3" t="s">
        <v>33</v>
      </c>
      <c r="AG29" s="3" t="s">
        <v>34</v>
      </c>
      <c r="AH29" s="4" t="s">
        <v>35</v>
      </c>
      <c r="AM29" t="s">
        <v>0</v>
      </c>
      <c r="AN29" t="s">
        <v>36</v>
      </c>
      <c r="AO29" t="s">
        <v>42</v>
      </c>
      <c r="AP29" t="s">
        <v>48</v>
      </c>
      <c r="AQ29" t="s">
        <v>54</v>
      </c>
      <c r="AR29" t="s">
        <v>0</v>
      </c>
      <c r="AS29" t="s">
        <v>36</v>
      </c>
      <c r="AT29" t="s">
        <v>42</v>
      </c>
      <c r="AU29" t="s">
        <v>48</v>
      </c>
      <c r="AV29" t="s">
        <v>54</v>
      </c>
      <c r="AW29" t="s">
        <v>0</v>
      </c>
      <c r="AX29" t="s">
        <v>36</v>
      </c>
      <c r="AY29" t="s">
        <v>42</v>
      </c>
      <c r="AZ29" t="s">
        <v>48</v>
      </c>
      <c r="BA29" t="s">
        <v>54</v>
      </c>
      <c r="BB29" t="s">
        <v>0</v>
      </c>
      <c r="BC29" t="s">
        <v>36</v>
      </c>
      <c r="BD29" t="s">
        <v>42</v>
      </c>
      <c r="BE29" t="s">
        <v>48</v>
      </c>
      <c r="BF29" t="s">
        <v>54</v>
      </c>
      <c r="BG29" t="s">
        <v>0</v>
      </c>
      <c r="BH29" t="s">
        <v>36</v>
      </c>
      <c r="BI29" t="s">
        <v>42</v>
      </c>
      <c r="BJ29" t="s">
        <v>48</v>
      </c>
      <c r="BK29" t="s">
        <v>54</v>
      </c>
      <c r="BL29" t="s">
        <v>0</v>
      </c>
      <c r="BM29" t="s">
        <v>36</v>
      </c>
      <c r="BN29" t="s">
        <v>42</v>
      </c>
      <c r="BO29" t="s">
        <v>48</v>
      </c>
      <c r="BP29" t="s">
        <v>54</v>
      </c>
    </row>
    <row r="30" spans="1:68">
      <c r="A30" s="11">
        <v>1</v>
      </c>
      <c r="B30" s="19">
        <f>COUNTIF(年計!$D$185:$I$232,AM29)</f>
        <v>6</v>
      </c>
      <c r="C30" s="16">
        <f>COUNTIF(年計!$D$185:$I$232,AN29)</f>
        <v>6</v>
      </c>
      <c r="D30" s="16">
        <f>COUNTIF(年計!$D$185:$I$232,AO29)</f>
        <v>4</v>
      </c>
      <c r="E30" s="16">
        <f>COUNTIF(年計!$D$185:$I$232,AP29)</f>
        <v>5</v>
      </c>
      <c r="F30" s="20">
        <f>COUNTIF(年計!$D$185:$I$232,AQ29)</f>
        <v>5</v>
      </c>
      <c r="G30" s="23">
        <f>COUNTIF(年計!$J$185:$O$232,AR29)</f>
        <v>6</v>
      </c>
      <c r="H30" s="21">
        <f>COUNTIF(年計!$J$185:$O$232,AS29)</f>
        <v>6</v>
      </c>
      <c r="I30" s="21">
        <f>COUNTIF(年計!$J$185:$O$232,AT29)</f>
        <v>5</v>
      </c>
      <c r="J30" s="21">
        <f>COUNTIF(年計!$J$185:$O$232,AU29)</f>
        <v>5</v>
      </c>
      <c r="K30" s="22">
        <f>COUNTIF(年計!$J$185:$O$232,AV29)</f>
        <v>5</v>
      </c>
      <c r="L30" s="23">
        <f>COUNTIF(年計!$P$185:$U$232,AW29)</f>
        <v>6</v>
      </c>
      <c r="M30" s="21">
        <f>COUNTIF(年計!$P$185:$U$232,AX29)</f>
        <v>6</v>
      </c>
      <c r="N30" s="21">
        <f>COUNTIF(年計!$P$185:$U$232,AY29)</f>
        <v>5</v>
      </c>
      <c r="O30" s="21">
        <f>COUNTIF(年計!$P$185:$U$232,AZ29)</f>
        <v>5</v>
      </c>
      <c r="P30" s="24">
        <f>COUNTIF(年計!$P$185:$U$232,BA29)</f>
        <v>4</v>
      </c>
      <c r="S30" s="11">
        <v>1</v>
      </c>
      <c r="T30" s="19">
        <f>COUNTIF(年計!$D$2:$I$232,BB29)</f>
        <v>19</v>
      </c>
      <c r="U30" s="16">
        <f>COUNTIF(年計!$D$2:$I$232,BC29)</f>
        <v>19</v>
      </c>
      <c r="V30" s="295">
        <f>COUNTIF(年計!$D$2:$I$232,BD29)</f>
        <v>18</v>
      </c>
      <c r="W30" s="295">
        <f>COUNTIF(年計!$D$2:$I$232,BE29)</f>
        <v>19</v>
      </c>
      <c r="X30" s="296">
        <f>COUNTIF(年計!$D$2:$I$232,BF29)</f>
        <v>19</v>
      </c>
      <c r="Y30" s="297">
        <f>COUNTIF(年計!$J$2:$O$232,BG29)</f>
        <v>18</v>
      </c>
      <c r="Z30" s="298">
        <f>COUNTIF(年計!$J$2:$O$232,BH29)</f>
        <v>19</v>
      </c>
      <c r="AA30" s="298">
        <f>COUNTIF(年計!$J$2:$O$232,BI29)</f>
        <v>18</v>
      </c>
      <c r="AB30" s="298">
        <f>COUNTIF(年計!$J$2:$O$232,BJ29)</f>
        <v>18</v>
      </c>
      <c r="AC30" s="299">
        <f>COUNTIF(年計!$J$2:$O$232,BK29)</f>
        <v>18</v>
      </c>
      <c r="AD30" s="300">
        <f>COUNTIF(年計!$P$2:$U$232,BL29)</f>
        <v>18</v>
      </c>
      <c r="AE30" s="298">
        <f>COUNTIF(年計!$P$2:$U$232,BM29)</f>
        <v>18</v>
      </c>
      <c r="AF30" s="298">
        <f>COUNTIF(年計!$P$2:$U$232,BN29)</f>
        <v>17</v>
      </c>
      <c r="AG30" s="21">
        <f>COUNTIF(年計!$P$2:$U$232,BO29)</f>
        <v>17</v>
      </c>
      <c r="AH30" s="24">
        <f>COUNTIF(年計!$P$2:$U$232,BP29)</f>
        <v>17</v>
      </c>
      <c r="AI30" t="s">
        <v>65</v>
      </c>
      <c r="AJ30" t="e">
        <f>MATCH(AI30,年計!$C$2:$C$367,0)</f>
        <v>#N/A</v>
      </c>
      <c r="AM30" t="s">
        <v>1</v>
      </c>
      <c r="AN30" t="s">
        <v>37</v>
      </c>
      <c r="AO30" t="s">
        <v>43</v>
      </c>
      <c r="AP30" t="s">
        <v>49</v>
      </c>
      <c r="AQ30" t="s">
        <v>55</v>
      </c>
      <c r="AR30" t="s">
        <v>1</v>
      </c>
      <c r="AS30" t="s">
        <v>37</v>
      </c>
      <c r="AT30" t="s">
        <v>43</v>
      </c>
      <c r="AU30" t="s">
        <v>49</v>
      </c>
      <c r="AV30" t="s">
        <v>55</v>
      </c>
      <c r="AW30" t="s">
        <v>1</v>
      </c>
      <c r="AX30" t="s">
        <v>37</v>
      </c>
      <c r="AY30" t="s">
        <v>43</v>
      </c>
      <c r="AZ30" t="s">
        <v>49</v>
      </c>
      <c r="BA30" t="s">
        <v>55</v>
      </c>
      <c r="BB30" t="s">
        <v>1</v>
      </c>
      <c r="BC30" t="s">
        <v>37</v>
      </c>
      <c r="BD30" t="s">
        <v>43</v>
      </c>
      <c r="BE30" t="s">
        <v>49</v>
      </c>
      <c r="BF30" t="s">
        <v>55</v>
      </c>
      <c r="BG30" t="s">
        <v>1</v>
      </c>
      <c r="BH30" t="s">
        <v>37</v>
      </c>
      <c r="BI30" t="s">
        <v>43</v>
      </c>
      <c r="BJ30" t="s">
        <v>49</v>
      </c>
      <c r="BK30" t="s">
        <v>55</v>
      </c>
      <c r="BL30" t="s">
        <v>1</v>
      </c>
      <c r="BM30" t="s">
        <v>37</v>
      </c>
      <c r="BN30" t="s">
        <v>43</v>
      </c>
      <c r="BO30" t="s">
        <v>49</v>
      </c>
      <c r="BP30" t="s">
        <v>55</v>
      </c>
    </row>
    <row r="31" spans="1:68">
      <c r="A31" s="12">
        <v>2</v>
      </c>
      <c r="B31" s="10">
        <f>COUNTIF(年計!$D$185:$I$232,AM30)</f>
        <v>6</v>
      </c>
      <c r="C31" s="1">
        <f>COUNTIF(年計!$D$185:$I$232,AN30)</f>
        <v>5</v>
      </c>
      <c r="D31" s="1">
        <f>COUNTIF(年計!$D$185:$I$232,AO30)</f>
        <v>5</v>
      </c>
      <c r="E31" s="1">
        <f>COUNTIF(年計!$D$185:$I$232,AP30)</f>
        <v>4</v>
      </c>
      <c r="F31" s="8">
        <f>COUNTIF(年計!$D$185:$I$232,AQ30)</f>
        <v>6</v>
      </c>
      <c r="G31" s="29">
        <f>COUNTIF(年計!$J$185:$O$232,AR30)</f>
        <v>6</v>
      </c>
      <c r="H31" s="27">
        <f>COUNTIF(年計!$J$185:$O$232,AS30)</f>
        <v>5</v>
      </c>
      <c r="I31" s="27">
        <f>COUNTIF(年計!$J$185:$O$232,AT30)</f>
        <v>4</v>
      </c>
      <c r="J31" s="27">
        <f>COUNTIF(年計!$J$185:$O$232,AU30)</f>
        <v>4</v>
      </c>
      <c r="K31" s="28">
        <f>COUNTIF(年計!$J$185:$O$232,AV30)</f>
        <v>6</v>
      </c>
      <c r="L31" s="29">
        <f>COUNTIF(年計!$P$185:$U$232,AW30)</f>
        <v>6</v>
      </c>
      <c r="M31" s="27">
        <f>COUNTIF(年計!$P$185:$U$232,AX30)</f>
        <v>5</v>
      </c>
      <c r="N31" s="27">
        <f>COUNTIF(年計!$P$185:$U$232,AY30)</f>
        <v>4</v>
      </c>
      <c r="O31" s="1">
        <f>COUNTIF(年計!$P$185:$U$232,AZ30)</f>
        <v>4</v>
      </c>
      <c r="P31" s="5">
        <f>COUNTIF(年計!$P$185:$U$232,BA30)</f>
        <v>5</v>
      </c>
      <c r="S31" s="12">
        <v>2</v>
      </c>
      <c r="T31" s="10">
        <f>COUNTIF(年計!$D$2:$I$232,BB30)</f>
        <v>19</v>
      </c>
      <c r="U31" s="1">
        <f>COUNTIF(年計!$D$2:$I$232,BC30)</f>
        <v>18</v>
      </c>
      <c r="V31" s="1">
        <f>COUNTIF(年計!$D$2:$I$232,BD30)</f>
        <v>19</v>
      </c>
      <c r="W31" s="1">
        <f>COUNTIF(年計!$D$2:$I$232,BE30)</f>
        <v>19</v>
      </c>
      <c r="X31" s="8">
        <f>COUNTIF(年計!$D$2:$I$232,BF30)</f>
        <v>19</v>
      </c>
      <c r="Y31" s="10">
        <f>COUNTIF(年計!$J$2:$O$232,BG30)</f>
        <v>18</v>
      </c>
      <c r="Z31" s="1">
        <f>COUNTIF(年計!$J$2:$O$232,BH30)</f>
        <v>18</v>
      </c>
      <c r="AA31" s="1">
        <f>COUNTIF(年計!$J$2:$O$232,BI30)</f>
        <v>17</v>
      </c>
      <c r="AB31" s="1">
        <f>COUNTIF(年計!$J$2:$O$232,BJ30)</f>
        <v>18</v>
      </c>
      <c r="AC31" s="8">
        <f>COUNTIF(年計!$J$2:$O$232,BK30)</f>
        <v>18</v>
      </c>
      <c r="AD31" s="10">
        <f>COUNTIF(年計!$P$2:$U$232,BL30)</f>
        <v>18</v>
      </c>
      <c r="AE31" s="1">
        <f>COUNTIF(年計!$P$2:$U$232,BM30)</f>
        <v>17</v>
      </c>
      <c r="AF31" s="1">
        <f>COUNTIF(年計!$P$2:$U$232,BN30)</f>
        <v>16</v>
      </c>
      <c r="AG31" s="1">
        <f>COUNTIF(年計!$P$2:$U$232,BO30)</f>
        <v>17</v>
      </c>
      <c r="AH31" s="5">
        <f>COUNTIF(年計!$P$2:$U$232,BP30)</f>
        <v>17</v>
      </c>
      <c r="AM31" t="s">
        <v>2</v>
      </c>
      <c r="AN31" t="s">
        <v>38</v>
      </c>
      <c r="AO31" t="s">
        <v>44</v>
      </c>
      <c r="AP31" t="s">
        <v>50</v>
      </c>
      <c r="AQ31" t="s">
        <v>56</v>
      </c>
      <c r="AR31" t="s">
        <v>2</v>
      </c>
      <c r="AS31" t="s">
        <v>38</v>
      </c>
      <c r="AT31" t="s">
        <v>44</v>
      </c>
      <c r="AU31" t="s">
        <v>50</v>
      </c>
      <c r="AV31" t="s">
        <v>56</v>
      </c>
      <c r="AW31" t="s">
        <v>2</v>
      </c>
      <c r="AX31" t="s">
        <v>38</v>
      </c>
      <c r="AY31" t="s">
        <v>44</v>
      </c>
      <c r="AZ31" t="s">
        <v>50</v>
      </c>
      <c r="BA31" t="s">
        <v>56</v>
      </c>
      <c r="BB31" t="s">
        <v>2</v>
      </c>
      <c r="BC31" t="s">
        <v>38</v>
      </c>
      <c r="BD31" t="s">
        <v>44</v>
      </c>
      <c r="BE31" t="s">
        <v>50</v>
      </c>
      <c r="BF31" t="s">
        <v>56</v>
      </c>
      <c r="BG31" t="s">
        <v>2</v>
      </c>
      <c r="BH31" t="s">
        <v>38</v>
      </c>
      <c r="BI31" t="s">
        <v>44</v>
      </c>
      <c r="BJ31" t="s">
        <v>50</v>
      </c>
      <c r="BK31" t="s">
        <v>56</v>
      </c>
      <c r="BL31" t="s">
        <v>2</v>
      </c>
      <c r="BM31" t="s">
        <v>38</v>
      </c>
      <c r="BN31" t="s">
        <v>44</v>
      </c>
      <c r="BO31" t="s">
        <v>50</v>
      </c>
      <c r="BP31" t="s">
        <v>56</v>
      </c>
    </row>
    <row r="32" spans="1:68">
      <c r="A32" s="12">
        <v>3</v>
      </c>
      <c r="B32" s="10">
        <f>COUNTIF(年計!$D$185:$I$232,AM31)</f>
        <v>5</v>
      </c>
      <c r="C32" s="1">
        <f>COUNTIF(年計!$D$185:$I$232,AN31)</f>
        <v>5</v>
      </c>
      <c r="D32" s="1">
        <f>COUNTIF(年計!$D$185:$I$232,AO31)</f>
        <v>5</v>
      </c>
      <c r="E32" s="1">
        <f>COUNTIF(年計!$D$185:$I$232,AP31)</f>
        <v>4</v>
      </c>
      <c r="F32" s="8">
        <f>COUNTIF(年計!$D$185:$I$232,AQ31)</f>
        <v>6</v>
      </c>
      <c r="G32" s="29">
        <f>COUNTIF(年計!$J$185:$O$232,AR31)</f>
        <v>5</v>
      </c>
      <c r="H32" s="27">
        <f>COUNTIF(年計!$J$185:$O$232,AS31)</f>
        <v>5</v>
      </c>
      <c r="I32" s="27">
        <f>COUNTIF(年計!$J$185:$O$232,AT31)</f>
        <v>5</v>
      </c>
      <c r="J32" s="27">
        <f>COUNTIF(年計!$J$185:$O$232,AU31)</f>
        <v>4</v>
      </c>
      <c r="K32" s="28">
        <f>COUNTIF(年計!$J$185:$O$232,AV31)</f>
        <v>6</v>
      </c>
      <c r="L32" s="29">
        <f>COUNTIF(年計!$P$185:$U$232,AW31)</f>
        <v>5</v>
      </c>
      <c r="M32" s="27">
        <f>COUNTIF(年計!$P$185:$U$232,AX31)</f>
        <v>5</v>
      </c>
      <c r="N32" s="27">
        <f>COUNTIF(年計!$P$185:$U$232,AY31)</f>
        <v>5</v>
      </c>
      <c r="O32" s="1">
        <f>COUNTIF(年計!$P$185:$U$232,AZ31)</f>
        <v>4</v>
      </c>
      <c r="P32" s="5">
        <f>COUNTIF(年計!$P$185:$U$232,BA31)</f>
        <v>5</v>
      </c>
      <c r="S32" s="12">
        <v>3</v>
      </c>
      <c r="T32" s="10">
        <f>COUNTIF(年計!$D$2:$I$232,BB31)</f>
        <v>18</v>
      </c>
      <c r="U32" s="1">
        <f>COUNTIF(年計!$D$2:$I$232,BC31)</f>
        <v>18</v>
      </c>
      <c r="V32" s="1">
        <f>COUNTIF(年計!$D$2:$I$232,BD31)</f>
        <v>18</v>
      </c>
      <c r="W32" s="1">
        <f>COUNTIF(年計!$D$2:$I$232,BE31)</f>
        <v>19</v>
      </c>
      <c r="X32" s="8">
        <f>COUNTIF(年計!$D$2:$I$232,BF31)</f>
        <v>19</v>
      </c>
      <c r="Y32" s="10">
        <f>COUNTIF(年計!$J$2:$O$232,BG31)</f>
        <v>17</v>
      </c>
      <c r="Z32" s="1">
        <f>COUNTIF(年計!$J$2:$O$232,BH31)</f>
        <v>18</v>
      </c>
      <c r="AA32" s="1">
        <f>COUNTIF(年計!$J$2:$O$232,BI31)</f>
        <v>17</v>
      </c>
      <c r="AB32" s="1">
        <f>COUNTIF(年計!$J$2:$O$232,BJ31)</f>
        <v>18</v>
      </c>
      <c r="AC32" s="8">
        <f>COUNTIF(年計!$J$2:$O$232,BK31)</f>
        <v>18</v>
      </c>
      <c r="AD32" s="10">
        <f>COUNTIF(年計!$P$2:$U$232,BL31)</f>
        <v>17</v>
      </c>
      <c r="AE32" s="1">
        <f>COUNTIF(年計!$P$2:$U$232,BM31)</f>
        <v>17</v>
      </c>
      <c r="AF32" s="1">
        <f>COUNTIF(年計!$P$2:$U$232,BN31)</f>
        <v>17</v>
      </c>
      <c r="AG32" s="1">
        <f>COUNTIF(年計!$P$2:$U$232,BO31)</f>
        <v>16</v>
      </c>
      <c r="AH32" s="5">
        <f>COUNTIF(年計!$P$2:$U$232,BP31)</f>
        <v>17</v>
      </c>
      <c r="AM32" t="s">
        <v>3</v>
      </c>
      <c r="AN32" t="s">
        <v>39</v>
      </c>
      <c r="AO32" t="s">
        <v>45</v>
      </c>
      <c r="AP32" t="s">
        <v>51</v>
      </c>
      <c r="AQ32" t="s">
        <v>57</v>
      </c>
      <c r="AR32" t="s">
        <v>3</v>
      </c>
      <c r="AS32" t="s">
        <v>39</v>
      </c>
      <c r="AT32" t="s">
        <v>45</v>
      </c>
      <c r="AU32" t="s">
        <v>51</v>
      </c>
      <c r="AV32" t="s">
        <v>57</v>
      </c>
      <c r="AW32" t="s">
        <v>3</v>
      </c>
      <c r="AX32" t="s">
        <v>39</v>
      </c>
      <c r="AY32" t="s">
        <v>45</v>
      </c>
      <c r="AZ32" t="s">
        <v>51</v>
      </c>
      <c r="BA32" t="s">
        <v>57</v>
      </c>
      <c r="BB32" t="s">
        <v>3</v>
      </c>
      <c r="BC32" t="s">
        <v>39</v>
      </c>
      <c r="BD32" t="s">
        <v>45</v>
      </c>
      <c r="BE32" t="s">
        <v>51</v>
      </c>
      <c r="BF32" t="s">
        <v>57</v>
      </c>
      <c r="BG32" t="s">
        <v>3</v>
      </c>
      <c r="BH32" t="s">
        <v>39</v>
      </c>
      <c r="BI32" t="s">
        <v>45</v>
      </c>
      <c r="BJ32" t="s">
        <v>51</v>
      </c>
      <c r="BK32" t="s">
        <v>57</v>
      </c>
      <c r="BL32" t="s">
        <v>3</v>
      </c>
      <c r="BM32" t="s">
        <v>39</v>
      </c>
      <c r="BN32" t="s">
        <v>45</v>
      </c>
      <c r="BO32" t="s">
        <v>51</v>
      </c>
      <c r="BP32" t="s">
        <v>57</v>
      </c>
    </row>
    <row r="33" spans="1:68">
      <c r="A33" s="12">
        <v>4</v>
      </c>
      <c r="B33" s="10">
        <f>COUNTIF(年計!$D$185:$I$232,AM32)</f>
        <v>5</v>
      </c>
      <c r="C33" s="1">
        <f>COUNTIF(年計!$D$185:$I$232,AN32)</f>
        <v>5</v>
      </c>
      <c r="D33" s="1">
        <f>COUNTIF(年計!$D$185:$I$232,AO32)</f>
        <v>6</v>
      </c>
      <c r="E33" s="1">
        <f>COUNTIF(年計!$D$185:$I$232,AP32)</f>
        <v>5</v>
      </c>
      <c r="F33" s="8">
        <f>COUNTIF(年計!$D$185:$I$232,AQ32)</f>
        <v>6</v>
      </c>
      <c r="G33" s="29">
        <f>COUNTIF(年計!$J$185:$O$232,AR32)</f>
        <v>5</v>
      </c>
      <c r="H33" s="27">
        <f>COUNTIF(年計!$J$185:$O$232,AS32)</f>
        <v>5</v>
      </c>
      <c r="I33" s="27">
        <f>COUNTIF(年計!$J$185:$O$232,AT32)</f>
        <v>6</v>
      </c>
      <c r="J33" s="27">
        <f>COUNTIF(年計!$J$185:$O$232,AU32)</f>
        <v>5</v>
      </c>
      <c r="K33" s="28">
        <f>COUNTIF(年計!$J$185:$O$232,AV32)</f>
        <v>6</v>
      </c>
      <c r="L33" s="29">
        <f>COUNTIF(年計!$P$185:$U$232,AW32)</f>
        <v>5</v>
      </c>
      <c r="M33" s="27">
        <f>COUNTIF(年計!$P$185:$U$232,AX32)</f>
        <v>5</v>
      </c>
      <c r="N33" s="27">
        <f>COUNTIF(年計!$P$185:$U$232,AY32)</f>
        <v>6</v>
      </c>
      <c r="O33" s="1">
        <f>COUNTIF(年計!$P$185:$U$232,AZ32)</f>
        <v>5</v>
      </c>
      <c r="P33" s="5">
        <f>COUNTIF(年計!$P$185:$U$232,BA32)</f>
        <v>5</v>
      </c>
      <c r="S33" s="12">
        <v>4</v>
      </c>
      <c r="T33" s="10">
        <f>COUNTIF(年計!$D$2:$I$232,BB32)</f>
        <v>18</v>
      </c>
      <c r="U33" s="1">
        <f>COUNTIF(年計!$D$2:$I$232,BC32)</f>
        <v>18</v>
      </c>
      <c r="V33" s="1">
        <f>COUNTIF(年計!$D$2:$I$232,BD32)</f>
        <v>18</v>
      </c>
      <c r="W33" s="1">
        <f>COUNTIF(年計!$D$2:$I$232,BE32)</f>
        <v>19</v>
      </c>
      <c r="X33" s="8">
        <f>COUNTIF(年計!$D$2:$I$232,BF32)</f>
        <v>19</v>
      </c>
      <c r="Y33" s="10">
        <f>COUNTIF(年計!$J$2:$O$232,BG32)</f>
        <v>17</v>
      </c>
      <c r="Z33" s="1">
        <f>COUNTIF(年計!$J$2:$O$232,BH32)</f>
        <v>18</v>
      </c>
      <c r="AA33" s="1">
        <f>COUNTIF(年計!$J$2:$O$232,BI32)</f>
        <v>17</v>
      </c>
      <c r="AB33" s="1">
        <f>COUNTIF(年計!$J$2:$O$232,BJ32)</f>
        <v>19</v>
      </c>
      <c r="AC33" s="8">
        <f>COUNTIF(年計!$J$2:$O$232,BK32)</f>
        <v>18</v>
      </c>
      <c r="AD33" s="10">
        <f>COUNTIF(年計!$P$2:$U$232,BL32)</f>
        <v>17</v>
      </c>
      <c r="AE33" s="1">
        <f>COUNTIF(年計!$P$2:$U$232,BM32)</f>
        <v>17</v>
      </c>
      <c r="AF33" s="1">
        <f>COUNTIF(年計!$P$2:$U$232,BN32)</f>
        <v>17</v>
      </c>
      <c r="AG33" s="1">
        <f>COUNTIF(年計!$P$2:$U$232,BO32)</f>
        <v>17</v>
      </c>
      <c r="AH33" s="5">
        <f>COUNTIF(年計!$P$2:$U$232,BP32)</f>
        <v>17</v>
      </c>
      <c r="AM33" t="s">
        <v>4</v>
      </c>
      <c r="AN33" t="s">
        <v>40</v>
      </c>
      <c r="AO33" t="s">
        <v>46</v>
      </c>
      <c r="AP33" t="s">
        <v>52</v>
      </c>
      <c r="AQ33" t="s">
        <v>58</v>
      </c>
      <c r="AR33" t="s">
        <v>4</v>
      </c>
      <c r="AS33" t="s">
        <v>40</v>
      </c>
      <c r="AT33" t="s">
        <v>46</v>
      </c>
      <c r="AU33" t="s">
        <v>52</v>
      </c>
      <c r="AV33" t="s">
        <v>58</v>
      </c>
      <c r="AW33" t="s">
        <v>4</v>
      </c>
      <c r="AX33" t="s">
        <v>40</v>
      </c>
      <c r="AY33" t="s">
        <v>46</v>
      </c>
      <c r="AZ33" t="s">
        <v>52</v>
      </c>
      <c r="BA33" t="s">
        <v>58</v>
      </c>
      <c r="BB33" t="s">
        <v>4</v>
      </c>
      <c r="BC33" t="s">
        <v>40</v>
      </c>
      <c r="BD33" t="s">
        <v>46</v>
      </c>
      <c r="BE33" t="s">
        <v>52</v>
      </c>
      <c r="BF33" t="s">
        <v>58</v>
      </c>
      <c r="BG33" t="s">
        <v>4</v>
      </c>
      <c r="BH33" t="s">
        <v>40</v>
      </c>
      <c r="BI33" t="s">
        <v>46</v>
      </c>
      <c r="BJ33" t="s">
        <v>52</v>
      </c>
      <c r="BK33" t="s">
        <v>58</v>
      </c>
      <c r="BL33" t="s">
        <v>4</v>
      </c>
      <c r="BM33" t="s">
        <v>40</v>
      </c>
      <c r="BN33" t="s">
        <v>46</v>
      </c>
      <c r="BO33" t="s">
        <v>52</v>
      </c>
      <c r="BP33" t="s">
        <v>58</v>
      </c>
    </row>
    <row r="34" spans="1:68">
      <c r="A34" s="12">
        <v>5</v>
      </c>
      <c r="B34" s="10">
        <f>COUNTIF(年計!$D$185:$I$232,AM33)</f>
        <v>5</v>
      </c>
      <c r="C34" s="1">
        <f>COUNTIF(年計!$D$185:$I$232,AN33)</f>
        <v>5</v>
      </c>
      <c r="D34" s="1">
        <f>COUNTIF(年計!$D$185:$I$232,AO33)</f>
        <v>5</v>
      </c>
      <c r="E34" s="1">
        <f>COUNTIF(年計!$D$185:$I$232,AP33)</f>
        <v>4</v>
      </c>
      <c r="F34" s="8">
        <f>COUNTIF(年計!$D$185:$I$232,AQ33)</f>
        <v>5</v>
      </c>
      <c r="G34" s="10">
        <f>COUNTIF(年計!$J$185:$O$232,AR33)</f>
        <v>5</v>
      </c>
      <c r="H34" s="1">
        <f>COUNTIF(年計!$J$185:$O$232,AS33)</f>
        <v>5</v>
      </c>
      <c r="I34" s="27">
        <f>COUNTIF(年計!$J$185:$O$232,AT33)</f>
        <v>5</v>
      </c>
      <c r="J34" s="1">
        <f>COUNTIF(年計!$J$185:$O$232,AU33)</f>
        <v>4</v>
      </c>
      <c r="K34" s="8">
        <f>COUNTIF(年計!$J$185:$O$232,AV33)</f>
        <v>5</v>
      </c>
      <c r="L34" s="10">
        <f>COUNTIF(年計!$P$185:$U$232,AW33)</f>
        <v>4</v>
      </c>
      <c r="M34" s="1">
        <f>COUNTIF(年計!$P$185:$U$232,AX33)</f>
        <v>5</v>
      </c>
      <c r="N34" s="1">
        <f>COUNTIF(年計!$P$185:$U$232,AY33)</f>
        <v>5</v>
      </c>
      <c r="O34" s="1">
        <f>COUNTIF(年計!$P$185:$U$232,AZ33)</f>
        <v>4</v>
      </c>
      <c r="P34" s="5">
        <f>COUNTIF(年計!$P$185:$U$232,BA33)</f>
        <v>5</v>
      </c>
      <c r="S34" s="12">
        <v>5</v>
      </c>
      <c r="T34" s="10">
        <f>COUNTIF(年計!$D$2:$I$232,BB33)</f>
        <v>18</v>
      </c>
      <c r="U34" s="1">
        <f>COUNTIF(年計!$D$2:$I$232,BC33)</f>
        <v>19</v>
      </c>
      <c r="V34" s="1">
        <f>COUNTIF(年計!$D$2:$I$232,BD33)</f>
        <v>18</v>
      </c>
      <c r="W34" s="1">
        <f>COUNTIF(年計!$D$2:$I$232,BE33)</f>
        <v>19</v>
      </c>
      <c r="X34" s="8">
        <f>COUNTIF(年計!$D$2:$I$232,BF33)</f>
        <v>18</v>
      </c>
      <c r="Y34" s="10">
        <f>COUNTIF(年計!$J$2:$O$232,BG33)</f>
        <v>17</v>
      </c>
      <c r="Z34" s="1">
        <f>COUNTIF(年計!$J$2:$O$232,BH33)</f>
        <v>18</v>
      </c>
      <c r="AA34" s="1">
        <f>COUNTIF(年計!$J$2:$O$232,BI33)</f>
        <v>17</v>
      </c>
      <c r="AB34" s="1">
        <f>COUNTIF(年計!$J$2:$O$232,BJ33)</f>
        <v>18</v>
      </c>
      <c r="AC34" s="8">
        <f>COUNTIF(年計!$J$2:$O$232,BK33)</f>
        <v>17</v>
      </c>
      <c r="AD34" s="10">
        <f>COUNTIF(年計!$P$2:$U$232,BL33)</f>
        <v>16</v>
      </c>
      <c r="AE34" s="1">
        <f>COUNTIF(年計!$P$2:$U$232,BM33)</f>
        <v>17</v>
      </c>
      <c r="AF34" s="1">
        <f>COUNTIF(年計!$P$2:$U$232,BN33)</f>
        <v>17</v>
      </c>
      <c r="AG34" s="1">
        <f>COUNTIF(年計!$P$2:$U$232,BO33)</f>
        <v>16</v>
      </c>
      <c r="AH34" s="5">
        <f>COUNTIF(年計!$P$2:$U$232,BP33)</f>
        <v>17</v>
      </c>
      <c r="AM34" t="s">
        <v>5</v>
      </c>
      <c r="AN34" t="s">
        <v>41</v>
      </c>
      <c r="AO34" t="s">
        <v>47</v>
      </c>
      <c r="AP34" t="s">
        <v>53</v>
      </c>
      <c r="AQ34" t="s">
        <v>59</v>
      </c>
      <c r="AR34" t="s">
        <v>5</v>
      </c>
      <c r="AS34" t="s">
        <v>41</v>
      </c>
      <c r="AT34" t="s">
        <v>47</v>
      </c>
      <c r="AU34" t="s">
        <v>53</v>
      </c>
      <c r="AV34" t="s">
        <v>59</v>
      </c>
      <c r="AW34" t="s">
        <v>5</v>
      </c>
      <c r="AX34" t="s">
        <v>41</v>
      </c>
      <c r="AY34" t="s">
        <v>47</v>
      </c>
      <c r="AZ34" t="s">
        <v>53</v>
      </c>
      <c r="BA34" t="s">
        <v>59</v>
      </c>
      <c r="BB34" t="s">
        <v>5</v>
      </c>
      <c r="BC34" t="s">
        <v>41</v>
      </c>
      <c r="BD34" t="s">
        <v>47</v>
      </c>
      <c r="BE34" t="s">
        <v>53</v>
      </c>
      <c r="BF34" t="s">
        <v>59</v>
      </c>
      <c r="BG34" t="s">
        <v>5</v>
      </c>
      <c r="BH34" t="s">
        <v>41</v>
      </c>
      <c r="BI34" t="s">
        <v>47</v>
      </c>
      <c r="BJ34" t="s">
        <v>53</v>
      </c>
      <c r="BK34" t="s">
        <v>59</v>
      </c>
      <c r="BL34" t="s">
        <v>5</v>
      </c>
      <c r="BM34" t="s">
        <v>41</v>
      </c>
      <c r="BN34" t="s">
        <v>47</v>
      </c>
      <c r="BO34" t="s">
        <v>53</v>
      </c>
      <c r="BP34" t="s">
        <v>59</v>
      </c>
    </row>
    <row r="35" spans="1:68" ht="18" thickBot="1">
      <c r="A35" s="13">
        <v>6</v>
      </c>
      <c r="B35" s="18">
        <f>COUNTIF(年計!$D$185:$I$232,AM34)</f>
        <v>2</v>
      </c>
      <c r="C35" s="6">
        <f>COUNTIF(年計!$D$185:$I$232,AN34)</f>
        <v>4</v>
      </c>
      <c r="D35" s="26">
        <f>COUNTIF(年計!$D$185:$I$232,AO34)</f>
        <v>3</v>
      </c>
      <c r="E35" s="25">
        <f>COUNTIF(年計!$D$185:$I$232,AP34)</f>
        <v>0</v>
      </c>
      <c r="F35" s="14">
        <f>COUNTIF(年計!$D$185:$I$232,AQ34)</f>
        <v>3</v>
      </c>
      <c r="G35" s="18">
        <f>COUNTIF(年計!$J$185:$O$232,AR34)</f>
        <v>3</v>
      </c>
      <c r="H35" s="26">
        <f>COUNTIF(年計!$J$185:$O$232,AS34)</f>
        <v>4</v>
      </c>
      <c r="I35" s="26">
        <f>COUNTIF(年計!$J$185:$O$232,AT34)</f>
        <v>3</v>
      </c>
      <c r="J35" s="25">
        <f>COUNTIF(年計!$J$185:$O$232,AU34)</f>
        <v>0</v>
      </c>
      <c r="K35" s="14">
        <f>COUNTIF(年計!$J$185:$O$232,AV34)</f>
        <v>3</v>
      </c>
      <c r="L35" s="18">
        <f>COUNTIF(年計!$P$185:$U$232,AW34)</f>
        <v>3</v>
      </c>
      <c r="M35" s="26">
        <f>COUNTIF(年計!$P$185:$U$232,AX34)</f>
        <v>2</v>
      </c>
      <c r="N35" s="26">
        <f>COUNTIF(年計!$P$185:$U$232,AY34)</f>
        <v>3</v>
      </c>
      <c r="O35" s="25">
        <f>COUNTIF(年計!$P$185:$U$232,AZ34)</f>
        <v>0</v>
      </c>
      <c r="P35" s="15">
        <f>COUNTIF(年計!$P$185:$U$232,BA34)</f>
        <v>2</v>
      </c>
      <c r="S35" s="13">
        <v>6</v>
      </c>
      <c r="T35" s="18">
        <f>COUNTIF(年計!$D$2:$I$232,BB34)</f>
        <v>13</v>
      </c>
      <c r="U35" s="6">
        <f>COUNTIF(年計!$D$2:$I$232,BC34)</f>
        <v>18</v>
      </c>
      <c r="V35" s="26">
        <f>COUNTIF(年計!$D$2:$I$232,BD34)</f>
        <v>29</v>
      </c>
      <c r="W35" s="25">
        <f>COUNTIF(年計!$D$2:$I$232,BE34)</f>
        <v>0</v>
      </c>
      <c r="X35" s="14">
        <f>COUNTIF(年計!$D$2:$I$232,BF34)</f>
        <v>15</v>
      </c>
      <c r="Y35" s="18">
        <f>COUNTIF(年計!$J$2:$O$232,BG34)</f>
        <v>13</v>
      </c>
      <c r="Z35" s="26">
        <f>COUNTIF(年計!$J$2:$O$232,BH34)</f>
        <v>18</v>
      </c>
      <c r="AA35" s="26">
        <f>COUNTIF(年計!$J$2:$O$232,BI34)</f>
        <v>27</v>
      </c>
      <c r="AB35" s="25">
        <f>COUNTIF(年計!$J$2:$O$232,BJ34)</f>
        <v>0</v>
      </c>
      <c r="AC35" s="14">
        <f>COUNTIF(年計!$J$2:$O$232,BK34)</f>
        <v>14</v>
      </c>
      <c r="AD35" s="18">
        <f>COUNTIF(年計!$P$2:$U$232,BL34)</f>
        <v>13</v>
      </c>
      <c r="AE35" s="26">
        <f>COUNTIF(年計!$P$2:$U$232,BM34)</f>
        <v>14</v>
      </c>
      <c r="AF35" s="26">
        <f>COUNTIF(年計!$P$2:$U$232,BN34)</f>
        <v>27</v>
      </c>
      <c r="AG35" s="25">
        <f>COUNTIF(年計!$P$2:$U$232,BO34)</f>
        <v>0</v>
      </c>
      <c r="AH35" s="15">
        <f>COUNTIF(年計!$P$2:$U$232,BP34)</f>
        <v>11</v>
      </c>
    </row>
    <row r="36" spans="1:68" ht="18" thickBot="1">
      <c r="A36" s="314" t="s">
        <v>188</v>
      </c>
      <c r="B36" s="314"/>
      <c r="C36" s="314"/>
      <c r="D36" s="314"/>
      <c r="E36" s="314"/>
      <c r="F36" s="314"/>
      <c r="G36" s="314"/>
      <c r="H36" s="314"/>
      <c r="S36" s="314" t="s">
        <v>73</v>
      </c>
      <c r="T36" s="314"/>
      <c r="U36" s="314"/>
      <c r="V36" s="314"/>
      <c r="W36" s="314"/>
      <c r="X36" s="314"/>
      <c r="Y36" s="314"/>
      <c r="Z36" s="314"/>
    </row>
    <row r="37" spans="1:68" ht="18" thickBot="1">
      <c r="A37" s="2"/>
      <c r="B37" s="3" t="s">
        <v>30</v>
      </c>
      <c r="C37" s="3" t="s">
        <v>31</v>
      </c>
      <c r="D37" s="3" t="s">
        <v>33</v>
      </c>
      <c r="E37" s="3" t="s">
        <v>34</v>
      </c>
      <c r="F37" s="7" t="s">
        <v>35</v>
      </c>
      <c r="G37" s="2" t="s">
        <v>30</v>
      </c>
      <c r="H37" s="3" t="s">
        <v>31</v>
      </c>
      <c r="I37" s="3" t="s">
        <v>33</v>
      </c>
      <c r="J37" s="3" t="s">
        <v>34</v>
      </c>
      <c r="K37" s="4" t="s">
        <v>35</v>
      </c>
      <c r="L37" s="9" t="s">
        <v>30</v>
      </c>
      <c r="M37" s="3" t="s">
        <v>31</v>
      </c>
      <c r="N37" s="3" t="s">
        <v>33</v>
      </c>
      <c r="O37" s="3" t="s">
        <v>34</v>
      </c>
      <c r="P37" s="4" t="s">
        <v>35</v>
      </c>
      <c r="S37" s="2"/>
      <c r="T37" s="3" t="s">
        <v>30</v>
      </c>
      <c r="U37" s="3" t="s">
        <v>31</v>
      </c>
      <c r="V37" s="3" t="s">
        <v>33</v>
      </c>
      <c r="W37" s="3" t="s">
        <v>34</v>
      </c>
      <c r="X37" s="7" t="s">
        <v>35</v>
      </c>
      <c r="Y37" s="2" t="s">
        <v>30</v>
      </c>
      <c r="Z37" s="3" t="s">
        <v>31</v>
      </c>
      <c r="AA37" s="3" t="s">
        <v>33</v>
      </c>
      <c r="AB37" s="3" t="s">
        <v>34</v>
      </c>
      <c r="AC37" s="4" t="s">
        <v>35</v>
      </c>
      <c r="AD37" s="9" t="s">
        <v>30</v>
      </c>
      <c r="AE37" s="3" t="s">
        <v>31</v>
      </c>
      <c r="AF37" s="3" t="s">
        <v>33</v>
      </c>
      <c r="AG37" s="3" t="s">
        <v>34</v>
      </c>
      <c r="AH37" s="4" t="s">
        <v>35</v>
      </c>
      <c r="AM37" t="s">
        <v>0</v>
      </c>
      <c r="AN37" t="s">
        <v>36</v>
      </c>
      <c r="AO37" t="s">
        <v>42</v>
      </c>
      <c r="AP37" t="s">
        <v>48</v>
      </c>
      <c r="AQ37" t="s">
        <v>54</v>
      </c>
      <c r="AR37" t="s">
        <v>0</v>
      </c>
      <c r="AS37" t="s">
        <v>36</v>
      </c>
      <c r="AT37" t="s">
        <v>42</v>
      </c>
      <c r="AU37" t="s">
        <v>48</v>
      </c>
      <c r="AV37" t="s">
        <v>54</v>
      </c>
      <c r="AW37" t="s">
        <v>0</v>
      </c>
      <c r="AX37" t="s">
        <v>36</v>
      </c>
      <c r="AY37" t="s">
        <v>42</v>
      </c>
      <c r="AZ37" t="s">
        <v>48</v>
      </c>
      <c r="BA37" t="s">
        <v>54</v>
      </c>
      <c r="BB37" t="s">
        <v>0</v>
      </c>
      <c r="BC37" t="s">
        <v>36</v>
      </c>
      <c r="BD37" t="s">
        <v>42</v>
      </c>
      <c r="BE37" t="s">
        <v>48</v>
      </c>
      <c r="BF37" t="s">
        <v>54</v>
      </c>
      <c r="BG37" t="s">
        <v>0</v>
      </c>
      <c r="BH37" t="s">
        <v>36</v>
      </c>
      <c r="BI37" t="s">
        <v>42</v>
      </c>
      <c r="BJ37" t="s">
        <v>48</v>
      </c>
      <c r="BK37" t="s">
        <v>54</v>
      </c>
      <c r="BL37" t="s">
        <v>0</v>
      </c>
      <c r="BM37" t="s">
        <v>36</v>
      </c>
      <c r="BN37" t="s">
        <v>42</v>
      </c>
      <c r="BO37" t="s">
        <v>48</v>
      </c>
      <c r="BP37" t="s">
        <v>54</v>
      </c>
    </row>
    <row r="38" spans="1:68">
      <c r="A38" s="11">
        <v>1</v>
      </c>
      <c r="B38" s="19">
        <f>COUNTIF(年計!$D$235:$I$267,AM37)</f>
        <v>4</v>
      </c>
      <c r="C38" s="16">
        <f>COUNTIF(年計!$D$235:$I$267,AN37)</f>
        <v>3</v>
      </c>
      <c r="D38" s="16">
        <f>COUNTIF(年計!$D$235:$I$267,AO37)</f>
        <v>3</v>
      </c>
      <c r="E38" s="16">
        <f>COUNTIF(年計!$D$235:$I$267,AP37)</f>
        <v>4</v>
      </c>
      <c r="F38" s="20">
        <f>COUNTIF(年計!$D$235:$I$267,AQ37)</f>
        <v>4</v>
      </c>
      <c r="G38" s="23">
        <f>COUNTIF(年計!$J$235:$O$267,AR37)</f>
        <v>4</v>
      </c>
      <c r="H38" s="21">
        <f>COUNTIF(年計!$J$235:$O$267,AS37)</f>
        <v>3</v>
      </c>
      <c r="I38" s="21">
        <f>COUNTIF(年計!$J$235:$O$267,AT37)</f>
        <v>3</v>
      </c>
      <c r="J38" s="21">
        <f>COUNTIF(年計!$J$235:$O$267,AU37)</f>
        <v>4</v>
      </c>
      <c r="K38" s="22">
        <f>COUNTIF(年計!$J$235:$O$267,AV37)</f>
        <v>4</v>
      </c>
      <c r="L38" s="23">
        <f>COUNTIF(年計!$P$235:$U$267,AW37)</f>
        <v>4</v>
      </c>
      <c r="M38" s="21">
        <f>COUNTIF(年計!$P$235:$U$267,AX37)</f>
        <v>3</v>
      </c>
      <c r="N38" s="21">
        <f>COUNTIF(年計!$P$235:$U$267,AY37)</f>
        <v>3</v>
      </c>
      <c r="O38" s="21">
        <f>COUNTIF(年計!$P$235:$U$267,AZ37)</f>
        <v>4</v>
      </c>
      <c r="P38" s="24">
        <f>COUNTIF(年計!$P$235:$U$267,BA37)</f>
        <v>3</v>
      </c>
      <c r="S38" s="11">
        <v>1</v>
      </c>
      <c r="T38" s="19">
        <f>COUNTIF(年計!$D$2:$I$267,BB37)</f>
        <v>23</v>
      </c>
      <c r="U38" s="16">
        <f>COUNTIF(年計!$D$2:$I$267,BC37)</f>
        <v>22</v>
      </c>
      <c r="V38" s="16">
        <f>COUNTIF(年計!$D$2:$I$267,BD37)</f>
        <v>21</v>
      </c>
      <c r="W38" s="16">
        <f>COUNTIF(年計!$D$2:$I$267,BE37)</f>
        <v>23</v>
      </c>
      <c r="X38" s="20">
        <f>COUNTIF(年計!$D$2:$I$267,BF37)</f>
        <v>23</v>
      </c>
      <c r="Y38" s="19">
        <f>COUNTIF(年計!$J$2:$O$267,BG37)</f>
        <v>22</v>
      </c>
      <c r="Z38" s="21">
        <f>COUNTIF(年計!$J$2:$O$267,BH37)</f>
        <v>22</v>
      </c>
      <c r="AA38" s="21">
        <f>COUNTIF(年計!$J$2:$O$267,BI37)</f>
        <v>21</v>
      </c>
      <c r="AB38" s="21">
        <f>COUNTIF(年計!$J$2:$O$267,BJ37)</f>
        <v>22</v>
      </c>
      <c r="AC38" s="22">
        <f>COUNTIF(年計!$J$2:$O$267,BK37)</f>
        <v>22</v>
      </c>
      <c r="AD38" s="23">
        <f>COUNTIF(年計!$P$2:$U$267,BL37)</f>
        <v>22</v>
      </c>
      <c r="AE38" s="21">
        <f>COUNTIF(年計!$P$2:$U$267,BM37)</f>
        <v>21</v>
      </c>
      <c r="AF38" s="21">
        <f>COUNTIF(年計!$P$2:$U$267,BN37)</f>
        <v>20</v>
      </c>
      <c r="AG38" s="21">
        <f>COUNTIF(年計!$P$2:$U$267,BO37)</f>
        <v>21</v>
      </c>
      <c r="AH38" s="24">
        <f>COUNTIF(年計!$P$2:$U$267,BP37)</f>
        <v>20</v>
      </c>
      <c r="AI38" t="s">
        <v>78</v>
      </c>
      <c r="AJ38" t="e">
        <f>MATCH(AI38,年計!$C$2:$C$367,0)</f>
        <v>#N/A</v>
      </c>
      <c r="AM38" t="s">
        <v>1</v>
      </c>
      <c r="AN38" t="s">
        <v>37</v>
      </c>
      <c r="AO38" t="s">
        <v>43</v>
      </c>
      <c r="AP38" t="s">
        <v>49</v>
      </c>
      <c r="AQ38" t="s">
        <v>55</v>
      </c>
      <c r="AR38" t="s">
        <v>1</v>
      </c>
      <c r="AS38" t="s">
        <v>37</v>
      </c>
      <c r="AT38" t="s">
        <v>43</v>
      </c>
      <c r="AU38" t="s">
        <v>49</v>
      </c>
      <c r="AV38" t="s">
        <v>55</v>
      </c>
      <c r="AW38" t="s">
        <v>1</v>
      </c>
      <c r="AX38" t="s">
        <v>37</v>
      </c>
      <c r="AY38" t="s">
        <v>43</v>
      </c>
      <c r="AZ38" t="s">
        <v>49</v>
      </c>
      <c r="BA38" t="s">
        <v>55</v>
      </c>
      <c r="BB38" t="s">
        <v>1</v>
      </c>
      <c r="BC38" t="s">
        <v>37</v>
      </c>
      <c r="BD38" t="s">
        <v>43</v>
      </c>
      <c r="BE38" t="s">
        <v>49</v>
      </c>
      <c r="BF38" t="s">
        <v>55</v>
      </c>
      <c r="BG38" t="s">
        <v>1</v>
      </c>
      <c r="BH38" t="s">
        <v>37</v>
      </c>
      <c r="BI38" t="s">
        <v>43</v>
      </c>
      <c r="BJ38" t="s">
        <v>49</v>
      </c>
      <c r="BK38" t="s">
        <v>55</v>
      </c>
      <c r="BL38" t="s">
        <v>1</v>
      </c>
      <c r="BM38" t="s">
        <v>37</v>
      </c>
      <c r="BN38" t="s">
        <v>43</v>
      </c>
      <c r="BO38" t="s">
        <v>49</v>
      </c>
      <c r="BP38" t="s">
        <v>55</v>
      </c>
    </row>
    <row r="39" spans="1:68">
      <c r="A39" s="12">
        <v>2</v>
      </c>
      <c r="B39" s="10">
        <f>COUNTIF(年計!$D$235:$I$267,AM38)</f>
        <v>3</v>
      </c>
      <c r="C39" s="1">
        <f>COUNTIF(年計!$D$235:$I$267,AN38)</f>
        <v>4</v>
      </c>
      <c r="D39" s="1">
        <f>COUNTIF(年計!$D$235:$I$267,AO38)</f>
        <v>3</v>
      </c>
      <c r="E39" s="1">
        <f>COUNTIF(年計!$D$235:$I$267,AP38)</f>
        <v>4</v>
      </c>
      <c r="F39" s="8">
        <f>COUNTIF(年計!$D$235:$I$267,AQ38)</f>
        <v>4</v>
      </c>
      <c r="G39" s="29">
        <f>COUNTIF(年計!$J$235:$O$267,AR38)</f>
        <v>3</v>
      </c>
      <c r="H39" s="27">
        <f>COUNTIF(年計!$J$235:$O$267,AS38)</f>
        <v>4</v>
      </c>
      <c r="I39" s="27">
        <f>COUNTIF(年計!$J$235:$O$267,AT38)</f>
        <v>3</v>
      </c>
      <c r="J39" s="27">
        <f>COUNTIF(年計!$J$235:$O$267,AU38)</f>
        <v>4</v>
      </c>
      <c r="K39" s="28">
        <f>COUNTIF(年計!$J$235:$O$267,AV38)</f>
        <v>4</v>
      </c>
      <c r="L39" s="29">
        <f>COUNTIF(年計!$P$235:$U$267,AW38)</f>
        <v>3</v>
      </c>
      <c r="M39" s="27">
        <f>COUNTIF(年計!$P$235:$U$267,AX38)</f>
        <v>4</v>
      </c>
      <c r="N39" s="27">
        <f>COUNTIF(年計!$P$235:$U$267,AY38)</f>
        <v>3</v>
      </c>
      <c r="O39" s="1">
        <f>COUNTIF(年計!$P$235:$U$267,AZ38)</f>
        <v>4</v>
      </c>
      <c r="P39" s="5">
        <f>COUNTIF(年計!$P$235:$U$267,BA38)</f>
        <v>4</v>
      </c>
      <c r="S39" s="12">
        <v>2</v>
      </c>
      <c r="T39" s="10">
        <f>COUNTIF(年計!$D$2:$I$267,BB38)</f>
        <v>22</v>
      </c>
      <c r="U39" s="1">
        <f>COUNTIF(年計!$D$2:$I$267,BC38)</f>
        <v>22</v>
      </c>
      <c r="V39" s="1">
        <f>COUNTIF(年計!$D$2:$I$267,BD38)</f>
        <v>22</v>
      </c>
      <c r="W39" s="1">
        <f>COUNTIF(年計!$D$2:$I$267,BE38)</f>
        <v>23</v>
      </c>
      <c r="X39" s="8">
        <f>COUNTIF(年計!$D$2:$I$267,BF38)</f>
        <v>23</v>
      </c>
      <c r="Y39" s="10">
        <f>COUNTIF(年計!$J$2:$O$267,BG38)</f>
        <v>21</v>
      </c>
      <c r="Z39" s="1">
        <f>COUNTIF(年計!$J$2:$O$267,BH38)</f>
        <v>22</v>
      </c>
      <c r="AA39" s="1">
        <f>COUNTIF(年計!$J$2:$O$267,BI38)</f>
        <v>20</v>
      </c>
      <c r="AB39" s="1">
        <f>COUNTIF(年計!$J$2:$O$267,BJ38)</f>
        <v>22</v>
      </c>
      <c r="AC39" s="8">
        <f>COUNTIF(年計!$J$2:$O$267,BK38)</f>
        <v>22</v>
      </c>
      <c r="AD39" s="10">
        <f>COUNTIF(年計!$P$2:$U$267,BL38)</f>
        <v>21</v>
      </c>
      <c r="AE39" s="1">
        <f>COUNTIF(年計!$P$2:$U$267,BM38)</f>
        <v>21</v>
      </c>
      <c r="AF39" s="1">
        <f>COUNTIF(年計!$P$2:$U$267,BN38)</f>
        <v>19</v>
      </c>
      <c r="AG39" s="1">
        <f>COUNTIF(年計!$P$2:$U$267,BO38)</f>
        <v>21</v>
      </c>
      <c r="AH39" s="5">
        <f>COUNTIF(年計!$P$2:$U$267,BP38)</f>
        <v>21</v>
      </c>
      <c r="AM39" t="s">
        <v>2</v>
      </c>
      <c r="AN39" t="s">
        <v>38</v>
      </c>
      <c r="AO39" t="s">
        <v>44</v>
      </c>
      <c r="AP39" t="s">
        <v>50</v>
      </c>
      <c r="AQ39" t="s">
        <v>56</v>
      </c>
      <c r="AR39" t="s">
        <v>2</v>
      </c>
      <c r="AS39" t="s">
        <v>38</v>
      </c>
      <c r="AT39" t="s">
        <v>44</v>
      </c>
      <c r="AU39" t="s">
        <v>50</v>
      </c>
      <c r="AV39" t="s">
        <v>56</v>
      </c>
      <c r="AW39" t="s">
        <v>2</v>
      </c>
      <c r="AX39" t="s">
        <v>38</v>
      </c>
      <c r="AY39" t="s">
        <v>44</v>
      </c>
      <c r="AZ39" t="s">
        <v>50</v>
      </c>
      <c r="BA39" t="s">
        <v>56</v>
      </c>
      <c r="BB39" t="s">
        <v>2</v>
      </c>
      <c r="BC39" t="s">
        <v>38</v>
      </c>
      <c r="BD39" t="s">
        <v>44</v>
      </c>
      <c r="BE39" t="s">
        <v>50</v>
      </c>
      <c r="BF39" t="s">
        <v>56</v>
      </c>
      <c r="BG39" t="s">
        <v>2</v>
      </c>
      <c r="BH39" t="s">
        <v>38</v>
      </c>
      <c r="BI39" t="s">
        <v>44</v>
      </c>
      <c r="BJ39" t="s">
        <v>50</v>
      </c>
      <c r="BK39" t="s">
        <v>56</v>
      </c>
      <c r="BL39" t="s">
        <v>2</v>
      </c>
      <c r="BM39" t="s">
        <v>38</v>
      </c>
      <c r="BN39" t="s">
        <v>44</v>
      </c>
      <c r="BO39" t="s">
        <v>50</v>
      </c>
      <c r="BP39" t="s">
        <v>56</v>
      </c>
    </row>
    <row r="40" spans="1:68">
      <c r="A40" s="12">
        <v>3</v>
      </c>
      <c r="B40" s="10">
        <f>COUNTIF(年計!$D$235:$I$267,AM39)</f>
        <v>4</v>
      </c>
      <c r="C40" s="1">
        <f>COUNTIF(年計!$D$235:$I$267,AN39)</f>
        <v>4</v>
      </c>
      <c r="D40" s="1">
        <f>COUNTIF(年計!$D$235:$I$267,AO39)</f>
        <v>4</v>
      </c>
      <c r="E40" s="1">
        <f>COUNTIF(年計!$D$235:$I$267,AP39)</f>
        <v>4</v>
      </c>
      <c r="F40" s="8">
        <f>COUNTIF(年計!$D$235:$I$267,AQ39)</f>
        <v>4</v>
      </c>
      <c r="G40" s="29">
        <f>COUNTIF(年計!$J$235:$O$267,AR39)</f>
        <v>4</v>
      </c>
      <c r="H40" s="27">
        <f>COUNTIF(年計!$J$235:$O$267,AS39)</f>
        <v>4</v>
      </c>
      <c r="I40" s="27">
        <f>COUNTIF(年計!$J$235:$O$267,AT39)</f>
        <v>4</v>
      </c>
      <c r="J40" s="27">
        <f>COUNTIF(年計!$J$235:$O$267,AU39)</f>
        <v>4</v>
      </c>
      <c r="K40" s="28">
        <f>COUNTIF(年計!$J$235:$O$267,AV39)</f>
        <v>4</v>
      </c>
      <c r="L40" s="29">
        <f>COUNTIF(年計!$P$235:$U$267,AW39)</f>
        <v>4</v>
      </c>
      <c r="M40" s="27">
        <f>COUNTIF(年計!$P$235:$U$267,AX39)</f>
        <v>4</v>
      </c>
      <c r="N40" s="27">
        <f>COUNTIF(年計!$P$235:$U$267,AY39)</f>
        <v>4</v>
      </c>
      <c r="O40" s="1">
        <f>COUNTIF(年計!$P$235:$U$267,AZ39)</f>
        <v>4</v>
      </c>
      <c r="P40" s="5">
        <f>COUNTIF(年計!$P$235:$U$267,BA39)</f>
        <v>3</v>
      </c>
      <c r="S40" s="12">
        <v>3</v>
      </c>
      <c r="T40" s="10">
        <f>COUNTIF(年計!$D$2:$I$267,BB39)</f>
        <v>22</v>
      </c>
      <c r="U40" s="1">
        <f>COUNTIF(年計!$D$2:$I$267,BC39)</f>
        <v>22</v>
      </c>
      <c r="V40" s="1">
        <f>COUNTIF(年計!$D$2:$I$267,BD39)</f>
        <v>22</v>
      </c>
      <c r="W40" s="1">
        <f>COUNTIF(年計!$D$2:$I$267,BE39)</f>
        <v>23</v>
      </c>
      <c r="X40" s="8">
        <f>COUNTIF(年計!$D$2:$I$267,BF39)</f>
        <v>23</v>
      </c>
      <c r="Y40" s="10">
        <f>COUNTIF(年計!$J$2:$O$267,BG39)</f>
        <v>21</v>
      </c>
      <c r="Z40" s="1">
        <f>COUNTIF(年計!$J$2:$O$267,BH39)</f>
        <v>22</v>
      </c>
      <c r="AA40" s="1">
        <f>COUNTIF(年計!$J$2:$O$267,BI39)</f>
        <v>21</v>
      </c>
      <c r="AB40" s="1">
        <f>COUNTIF(年計!$J$2:$O$267,BJ39)</f>
        <v>22</v>
      </c>
      <c r="AC40" s="8">
        <f>COUNTIF(年計!$J$2:$O$267,BK39)</f>
        <v>22</v>
      </c>
      <c r="AD40" s="10">
        <f>COUNTIF(年計!$P$2:$U$267,BL39)</f>
        <v>21</v>
      </c>
      <c r="AE40" s="1">
        <f>COUNTIF(年計!$P$2:$U$267,BM39)</f>
        <v>21</v>
      </c>
      <c r="AF40" s="1">
        <f>COUNTIF(年計!$P$2:$U$267,BN39)</f>
        <v>21</v>
      </c>
      <c r="AG40" s="1">
        <f>COUNTIF(年計!$P$2:$U$267,BO39)</f>
        <v>20</v>
      </c>
      <c r="AH40" s="5">
        <f>COUNTIF(年計!$P$2:$U$267,BP39)</f>
        <v>20</v>
      </c>
      <c r="AM40" t="s">
        <v>3</v>
      </c>
      <c r="AN40" t="s">
        <v>39</v>
      </c>
      <c r="AO40" t="s">
        <v>45</v>
      </c>
      <c r="AP40" t="s">
        <v>51</v>
      </c>
      <c r="AQ40" t="s">
        <v>57</v>
      </c>
      <c r="AR40" t="s">
        <v>3</v>
      </c>
      <c r="AS40" t="s">
        <v>39</v>
      </c>
      <c r="AT40" t="s">
        <v>45</v>
      </c>
      <c r="AU40" t="s">
        <v>51</v>
      </c>
      <c r="AV40" t="s">
        <v>57</v>
      </c>
      <c r="AW40" t="s">
        <v>3</v>
      </c>
      <c r="AX40" t="s">
        <v>39</v>
      </c>
      <c r="AY40" t="s">
        <v>45</v>
      </c>
      <c r="AZ40" t="s">
        <v>51</v>
      </c>
      <c r="BA40" t="s">
        <v>57</v>
      </c>
      <c r="BB40" t="s">
        <v>3</v>
      </c>
      <c r="BC40" t="s">
        <v>39</v>
      </c>
      <c r="BD40" t="s">
        <v>45</v>
      </c>
      <c r="BE40" t="s">
        <v>51</v>
      </c>
      <c r="BF40" t="s">
        <v>57</v>
      </c>
      <c r="BG40" t="s">
        <v>3</v>
      </c>
      <c r="BH40" t="s">
        <v>39</v>
      </c>
      <c r="BI40" t="s">
        <v>45</v>
      </c>
      <c r="BJ40" t="s">
        <v>51</v>
      </c>
      <c r="BK40" t="s">
        <v>57</v>
      </c>
      <c r="BL40" t="s">
        <v>3</v>
      </c>
      <c r="BM40" t="s">
        <v>39</v>
      </c>
      <c r="BN40" t="s">
        <v>45</v>
      </c>
      <c r="BO40" t="s">
        <v>51</v>
      </c>
      <c r="BP40" t="s">
        <v>57</v>
      </c>
    </row>
    <row r="41" spans="1:68">
      <c r="A41" s="12">
        <v>4</v>
      </c>
      <c r="B41" s="10">
        <f>COUNTIF(年計!$D$235:$I$267,AM40)</f>
        <v>4</v>
      </c>
      <c r="C41" s="1">
        <f>COUNTIF(年計!$D$235:$I$267,AN40)</f>
        <v>4</v>
      </c>
      <c r="D41" s="1">
        <f>COUNTIF(年計!$D$235:$I$267,AO40)</f>
        <v>4</v>
      </c>
      <c r="E41" s="1">
        <f>COUNTIF(年計!$D$235:$I$267,AP40)</f>
        <v>3</v>
      </c>
      <c r="F41" s="8">
        <f>COUNTIF(年計!$D$235:$I$267,AQ40)</f>
        <v>4</v>
      </c>
      <c r="G41" s="29">
        <f>COUNTIF(年計!$J$235:$O$267,AR40)</f>
        <v>4</v>
      </c>
      <c r="H41" s="27">
        <f>COUNTIF(年計!$J$235:$O$267,AS40)</f>
        <v>4</v>
      </c>
      <c r="I41" s="27">
        <f>COUNTIF(年計!$J$235:$O$267,AT40)</f>
        <v>4</v>
      </c>
      <c r="J41" s="27">
        <f>COUNTIF(年計!$J$235:$O$267,AU40)</f>
        <v>3</v>
      </c>
      <c r="K41" s="28">
        <f>COUNTIF(年計!$J$235:$O$267,AV40)</f>
        <v>4</v>
      </c>
      <c r="L41" s="29">
        <f>COUNTIF(年計!$P$235:$U$267,AW40)</f>
        <v>4</v>
      </c>
      <c r="M41" s="27">
        <f>COUNTIF(年計!$P$235:$U$267,AX40)</f>
        <v>4</v>
      </c>
      <c r="N41" s="27">
        <f>COUNTIF(年計!$P$235:$U$267,AY40)</f>
        <v>4</v>
      </c>
      <c r="O41" s="1">
        <f>COUNTIF(年計!$P$235:$U$267,AZ40)</f>
        <v>3</v>
      </c>
      <c r="P41" s="5">
        <f>COUNTIF(年計!$P$235:$U$267,BA40)</f>
        <v>3</v>
      </c>
      <c r="S41" s="12">
        <v>4</v>
      </c>
      <c r="T41" s="10">
        <f>COUNTIF(年計!$D$2:$I$267,BB40)</f>
        <v>22</v>
      </c>
      <c r="U41" s="1">
        <f>COUNTIF(年計!$D$2:$I$267,BC40)</f>
        <v>22</v>
      </c>
      <c r="V41" s="1">
        <f>COUNTIF(年計!$D$2:$I$267,BD40)</f>
        <v>22</v>
      </c>
      <c r="W41" s="1">
        <f>COUNTIF(年計!$D$2:$I$267,BE40)</f>
        <v>22</v>
      </c>
      <c r="X41" s="8">
        <f>COUNTIF(年計!$D$2:$I$267,BF40)</f>
        <v>23</v>
      </c>
      <c r="Y41" s="10">
        <f>COUNTIF(年計!$J$2:$O$267,BG40)</f>
        <v>21</v>
      </c>
      <c r="Z41" s="1">
        <f>COUNTIF(年計!$J$2:$O$267,BH40)</f>
        <v>22</v>
      </c>
      <c r="AA41" s="1">
        <f>COUNTIF(年計!$J$2:$O$267,BI40)</f>
        <v>21</v>
      </c>
      <c r="AB41" s="1">
        <f>COUNTIF(年計!$J$2:$O$267,BJ40)</f>
        <v>22</v>
      </c>
      <c r="AC41" s="8">
        <f>COUNTIF(年計!$J$2:$O$267,BK40)</f>
        <v>22</v>
      </c>
      <c r="AD41" s="10">
        <f>COUNTIF(年計!$P$2:$U$267,BL40)</f>
        <v>21</v>
      </c>
      <c r="AE41" s="1">
        <f>COUNTIF(年計!$P$2:$U$267,BM40)</f>
        <v>21</v>
      </c>
      <c r="AF41" s="1">
        <f>COUNTIF(年計!$P$2:$U$267,BN40)</f>
        <v>21</v>
      </c>
      <c r="AG41" s="1">
        <f>COUNTIF(年計!$P$2:$U$267,BO40)</f>
        <v>20</v>
      </c>
      <c r="AH41" s="5">
        <f>COUNTIF(年計!$P$2:$U$267,BP40)</f>
        <v>20</v>
      </c>
      <c r="AM41" t="s">
        <v>4</v>
      </c>
      <c r="AN41" t="s">
        <v>40</v>
      </c>
      <c r="AO41" t="s">
        <v>46</v>
      </c>
      <c r="AP41" t="s">
        <v>52</v>
      </c>
      <c r="AQ41" t="s">
        <v>58</v>
      </c>
      <c r="AR41" t="s">
        <v>4</v>
      </c>
      <c r="AS41" t="s">
        <v>40</v>
      </c>
      <c r="AT41" t="s">
        <v>46</v>
      </c>
      <c r="AU41" t="s">
        <v>52</v>
      </c>
      <c r="AV41" t="s">
        <v>58</v>
      </c>
      <c r="AW41" t="s">
        <v>4</v>
      </c>
      <c r="AX41" t="s">
        <v>40</v>
      </c>
      <c r="AY41" t="s">
        <v>46</v>
      </c>
      <c r="AZ41" t="s">
        <v>52</v>
      </c>
      <c r="BA41" t="s">
        <v>58</v>
      </c>
      <c r="BB41" t="s">
        <v>4</v>
      </c>
      <c r="BC41" t="s">
        <v>40</v>
      </c>
      <c r="BD41" t="s">
        <v>46</v>
      </c>
      <c r="BE41" t="s">
        <v>52</v>
      </c>
      <c r="BF41" t="s">
        <v>58</v>
      </c>
      <c r="BG41" t="s">
        <v>4</v>
      </c>
      <c r="BH41" t="s">
        <v>40</v>
      </c>
      <c r="BI41" t="s">
        <v>46</v>
      </c>
      <c r="BJ41" t="s">
        <v>52</v>
      </c>
      <c r="BK41" t="s">
        <v>58</v>
      </c>
      <c r="BL41" t="s">
        <v>4</v>
      </c>
      <c r="BM41" t="s">
        <v>40</v>
      </c>
      <c r="BN41" t="s">
        <v>46</v>
      </c>
      <c r="BO41" t="s">
        <v>52</v>
      </c>
      <c r="BP41" t="s">
        <v>58</v>
      </c>
    </row>
    <row r="42" spans="1:68">
      <c r="A42" s="12">
        <v>5</v>
      </c>
      <c r="B42" s="10">
        <f>COUNTIF(年計!$D$235:$I$267,AM41)</f>
        <v>4</v>
      </c>
      <c r="C42" s="1">
        <f>COUNTIF(年計!$D$235:$I$267,AN41)</f>
        <v>3</v>
      </c>
      <c r="D42" s="1">
        <f>COUNTIF(年計!$D$235:$I$267,AO41)</f>
        <v>3</v>
      </c>
      <c r="E42" s="1">
        <f>COUNTIF(年計!$D$235:$I$267,AP41)</f>
        <v>4</v>
      </c>
      <c r="F42" s="8">
        <f>COUNTIF(年計!$D$235:$I$267,AQ41)</f>
        <v>4</v>
      </c>
      <c r="G42" s="10">
        <f>COUNTIF(年計!$J$235:$O$267,AR41)</f>
        <v>4</v>
      </c>
      <c r="H42" s="1">
        <f>COUNTIF(年計!$J$235:$O$267,AS41)</f>
        <v>3</v>
      </c>
      <c r="I42" s="27">
        <f>COUNTIF(年計!$J$235:$O$267,AT41)</f>
        <v>4</v>
      </c>
      <c r="J42" s="1">
        <f>COUNTIF(年計!$J$235:$O$267,AU41)</f>
        <v>4</v>
      </c>
      <c r="K42" s="8">
        <f>COUNTIF(年計!$J$235:$O$267,AV41)</f>
        <v>4</v>
      </c>
      <c r="L42" s="10">
        <f>COUNTIF(年計!$P$235:$U$267,AW41)</f>
        <v>4</v>
      </c>
      <c r="M42" s="1">
        <f>COUNTIF(年計!$P$235:$U$267,AX41)</f>
        <v>3</v>
      </c>
      <c r="N42" s="1">
        <f>COUNTIF(年計!$P$235:$U$267,AY41)</f>
        <v>4</v>
      </c>
      <c r="O42" s="1">
        <f>COUNTIF(年計!$P$235:$U$267,AZ41)</f>
        <v>4</v>
      </c>
      <c r="P42" s="5">
        <f>COUNTIF(年計!$P$235:$U$267,BA41)</f>
        <v>3</v>
      </c>
      <c r="S42" s="12">
        <v>5</v>
      </c>
      <c r="T42" s="10">
        <f>COUNTIF(年計!$D$2:$I$267,BB41)</f>
        <v>22</v>
      </c>
      <c r="U42" s="1">
        <f>COUNTIF(年計!$D$2:$I$267,BC41)</f>
        <v>22</v>
      </c>
      <c r="V42" s="1">
        <f>COUNTIF(年計!$D$2:$I$267,BD41)</f>
        <v>21</v>
      </c>
      <c r="W42" s="1">
        <f>COUNTIF(年計!$D$2:$I$267,BE41)</f>
        <v>23</v>
      </c>
      <c r="X42" s="8">
        <f>COUNTIF(年計!$D$2:$I$267,BF41)</f>
        <v>22</v>
      </c>
      <c r="Y42" s="10">
        <f>COUNTIF(年計!$J$2:$O$267,BG41)</f>
        <v>21</v>
      </c>
      <c r="Z42" s="1">
        <f>COUNTIF(年計!$J$2:$O$267,BH41)</f>
        <v>21</v>
      </c>
      <c r="AA42" s="1">
        <f>COUNTIF(年計!$J$2:$O$267,BI41)</f>
        <v>21</v>
      </c>
      <c r="AB42" s="1">
        <f>COUNTIF(年計!$J$2:$O$267,BJ41)</f>
        <v>22</v>
      </c>
      <c r="AC42" s="8">
        <f>COUNTIF(年計!$J$2:$O$267,BK41)</f>
        <v>21</v>
      </c>
      <c r="AD42" s="10">
        <f>COUNTIF(年計!$P$2:$U$267,BL41)</f>
        <v>20</v>
      </c>
      <c r="AE42" s="1">
        <f>COUNTIF(年計!$P$2:$U$267,BM41)</f>
        <v>20</v>
      </c>
      <c r="AF42" s="1">
        <f>COUNTIF(年計!$P$2:$U$267,BN41)</f>
        <v>21</v>
      </c>
      <c r="AG42" s="1">
        <f>COUNTIF(年計!$P$2:$U$267,BO41)</f>
        <v>20</v>
      </c>
      <c r="AH42" s="5">
        <f>COUNTIF(年計!$P$2:$U$267,BP41)</f>
        <v>20</v>
      </c>
      <c r="AM42" t="s">
        <v>5</v>
      </c>
      <c r="AN42" t="s">
        <v>41</v>
      </c>
      <c r="AO42" t="s">
        <v>47</v>
      </c>
      <c r="AP42" t="s">
        <v>53</v>
      </c>
      <c r="AQ42" t="s">
        <v>59</v>
      </c>
      <c r="AR42" t="s">
        <v>5</v>
      </c>
      <c r="AS42" t="s">
        <v>41</v>
      </c>
      <c r="AT42" t="s">
        <v>47</v>
      </c>
      <c r="AU42" t="s">
        <v>53</v>
      </c>
      <c r="AV42" t="s">
        <v>59</v>
      </c>
      <c r="AW42" t="s">
        <v>5</v>
      </c>
      <c r="AX42" t="s">
        <v>41</v>
      </c>
      <c r="AY42" t="s">
        <v>47</v>
      </c>
      <c r="AZ42" t="s">
        <v>53</v>
      </c>
      <c r="BA42" t="s">
        <v>59</v>
      </c>
      <c r="BB42" t="s">
        <v>5</v>
      </c>
      <c r="BC42" t="s">
        <v>41</v>
      </c>
      <c r="BD42" t="s">
        <v>47</v>
      </c>
      <c r="BE42" t="s">
        <v>53</v>
      </c>
      <c r="BF42" t="s">
        <v>59</v>
      </c>
      <c r="BG42" t="s">
        <v>5</v>
      </c>
      <c r="BH42" t="s">
        <v>41</v>
      </c>
      <c r="BI42" t="s">
        <v>47</v>
      </c>
      <c r="BJ42" t="s">
        <v>53</v>
      </c>
      <c r="BK42" t="s">
        <v>59</v>
      </c>
      <c r="BL42" t="s">
        <v>5</v>
      </c>
      <c r="BM42" t="s">
        <v>41</v>
      </c>
      <c r="BN42" t="s">
        <v>47</v>
      </c>
      <c r="BO42" t="s">
        <v>53</v>
      </c>
      <c r="BP42" t="s">
        <v>59</v>
      </c>
    </row>
    <row r="43" spans="1:68" ht="18" thickBot="1">
      <c r="A43" s="13">
        <v>6</v>
      </c>
      <c r="B43" s="18">
        <f>COUNTIF(年計!$D$235:$I$267,AM42)</f>
        <v>4</v>
      </c>
      <c r="C43" s="6">
        <f>COUNTIF(年計!$D$235:$I$267,AN42)</f>
        <v>4</v>
      </c>
      <c r="D43" s="26">
        <f>COUNTIF(年計!$D$235:$I$267,AO42)</f>
        <v>2</v>
      </c>
      <c r="E43" s="25">
        <f>COUNTIF(年計!$D$235:$I$267,AP42)</f>
        <v>0</v>
      </c>
      <c r="F43" s="14">
        <f>COUNTIF(年計!$D$235:$I$267,AQ42)</f>
        <v>2</v>
      </c>
      <c r="G43" s="18">
        <f>COUNTIF(年計!$J$235:$O$267,AR42)</f>
        <v>6</v>
      </c>
      <c r="H43" s="26">
        <f>COUNTIF(年計!$J$235:$O$267,AS42)</f>
        <v>4</v>
      </c>
      <c r="I43" s="26">
        <f>COUNTIF(年計!$J$235:$O$267,AT42)</f>
        <v>2</v>
      </c>
      <c r="J43" s="25">
        <f>COUNTIF(年計!$J$235:$O$267,AU42)</f>
        <v>0</v>
      </c>
      <c r="K43" s="14">
        <f>COUNTIF(年計!$J$235:$O$267,AV42)</f>
        <v>3</v>
      </c>
      <c r="L43" s="18">
        <f>COUNTIF(年計!$P$235:$U$267,AW42)</f>
        <v>5</v>
      </c>
      <c r="M43" s="26">
        <f>COUNTIF(年計!$P$235:$U$267,AX42)</f>
        <v>4</v>
      </c>
      <c r="N43" s="26">
        <f>COUNTIF(年計!$P$235:$U$267,AY42)</f>
        <v>2</v>
      </c>
      <c r="O43" s="25">
        <f>COUNTIF(年計!$P$235:$U$267,AZ42)</f>
        <v>0</v>
      </c>
      <c r="P43" s="15">
        <f>COUNTIF(年計!$P$235:$U$267,BA42)</f>
        <v>3</v>
      </c>
      <c r="S43" s="13">
        <v>6</v>
      </c>
      <c r="T43" s="18">
        <f>COUNTIF(年計!$D$2:$I$267,BB42)</f>
        <v>17</v>
      </c>
      <c r="U43" s="6">
        <f>COUNTIF(年計!$D$2:$I$267,BC42)</f>
        <v>22</v>
      </c>
      <c r="V43" s="26">
        <f>COUNTIF(年計!$D$2:$I$267,BD42)</f>
        <v>31</v>
      </c>
      <c r="W43" s="25">
        <f>COUNTIF(年計!$D$2:$I$267,BE42)</f>
        <v>0</v>
      </c>
      <c r="X43" s="14">
        <f>COUNTIF(年計!$D$2:$I$267,BF42)</f>
        <v>17</v>
      </c>
      <c r="Y43" s="18">
        <f>COUNTIF(年計!$J$2:$O$267,BG42)</f>
        <v>19</v>
      </c>
      <c r="Z43" s="26">
        <f>COUNTIF(年計!$J$2:$O$267,BH42)</f>
        <v>22</v>
      </c>
      <c r="AA43" s="26">
        <f>COUNTIF(年計!$J$2:$O$267,BI42)</f>
        <v>29</v>
      </c>
      <c r="AB43" s="25">
        <f>COUNTIF(年計!$J$2:$O$267,BJ42)</f>
        <v>0</v>
      </c>
      <c r="AC43" s="14">
        <f>COUNTIF(年計!$J$2:$O$267,BK42)</f>
        <v>17</v>
      </c>
      <c r="AD43" s="18">
        <f>COUNTIF(年計!$P$2:$U$267,BL42)</f>
        <v>18</v>
      </c>
      <c r="AE43" s="26">
        <f>COUNTIF(年計!$P$2:$U$267,BM42)</f>
        <v>18</v>
      </c>
      <c r="AF43" s="26">
        <f>COUNTIF(年計!$P$2:$U$267,BN42)</f>
        <v>29</v>
      </c>
      <c r="AG43" s="25">
        <f>COUNTIF(年計!$P$2:$U$267,BO42)</f>
        <v>0</v>
      </c>
      <c r="AH43" s="15">
        <f>COUNTIF(年計!$P$2:$U$267,BP42)</f>
        <v>14</v>
      </c>
    </row>
    <row r="44" spans="1:68" ht="18" thickBot="1">
      <c r="A44" s="314" t="s">
        <v>190</v>
      </c>
      <c r="B44" s="314"/>
      <c r="C44" s="314"/>
      <c r="D44" s="314"/>
      <c r="E44" s="314"/>
      <c r="F44" s="314"/>
      <c r="G44" s="314"/>
      <c r="H44" s="314"/>
      <c r="S44" s="314" t="s">
        <v>192</v>
      </c>
      <c r="T44" s="314"/>
      <c r="U44" s="314"/>
      <c r="V44" s="314"/>
      <c r="W44" s="314"/>
      <c r="X44" s="314"/>
      <c r="Y44" s="314"/>
      <c r="Z44" s="314"/>
    </row>
    <row r="45" spans="1:68" ht="18" thickBot="1">
      <c r="A45" s="2"/>
      <c r="B45" s="3" t="s">
        <v>30</v>
      </c>
      <c r="C45" s="3" t="s">
        <v>31</v>
      </c>
      <c r="D45" s="3" t="s">
        <v>33</v>
      </c>
      <c r="E45" s="3" t="s">
        <v>34</v>
      </c>
      <c r="F45" s="7" t="s">
        <v>35</v>
      </c>
      <c r="G45" s="2" t="s">
        <v>30</v>
      </c>
      <c r="H45" s="3" t="s">
        <v>31</v>
      </c>
      <c r="I45" s="3" t="s">
        <v>33</v>
      </c>
      <c r="J45" s="3" t="s">
        <v>34</v>
      </c>
      <c r="K45" s="4" t="s">
        <v>35</v>
      </c>
      <c r="L45" s="9" t="s">
        <v>30</v>
      </c>
      <c r="M45" s="3" t="s">
        <v>31</v>
      </c>
      <c r="N45" s="3" t="s">
        <v>33</v>
      </c>
      <c r="O45" s="3" t="s">
        <v>34</v>
      </c>
      <c r="P45" s="4" t="s">
        <v>35</v>
      </c>
      <c r="S45" s="2"/>
      <c r="T45" s="3" t="s">
        <v>30</v>
      </c>
      <c r="U45" s="3" t="s">
        <v>31</v>
      </c>
      <c r="V45" s="3" t="s">
        <v>33</v>
      </c>
      <c r="W45" s="3" t="s">
        <v>34</v>
      </c>
      <c r="X45" s="7" t="s">
        <v>35</v>
      </c>
      <c r="Y45" s="2" t="s">
        <v>30</v>
      </c>
      <c r="Z45" s="3" t="s">
        <v>31</v>
      </c>
      <c r="AA45" s="3" t="s">
        <v>33</v>
      </c>
      <c r="AB45" s="3" t="s">
        <v>34</v>
      </c>
      <c r="AC45" s="4" t="s">
        <v>35</v>
      </c>
      <c r="AD45" s="9" t="s">
        <v>30</v>
      </c>
      <c r="AE45" s="3" t="s">
        <v>31</v>
      </c>
      <c r="AF45" s="3" t="s">
        <v>33</v>
      </c>
      <c r="AG45" s="3" t="s">
        <v>34</v>
      </c>
      <c r="AH45" s="4" t="s">
        <v>35</v>
      </c>
      <c r="AI45" s="17" t="s">
        <v>66</v>
      </c>
      <c r="AJ45" t="e">
        <f>MATCH(AI45,年計!$C$2:$C$367,0)</f>
        <v>#N/A</v>
      </c>
      <c r="AM45" t="s">
        <v>0</v>
      </c>
      <c r="AN45" t="s">
        <v>36</v>
      </c>
      <c r="AO45" t="s">
        <v>42</v>
      </c>
      <c r="AP45" t="s">
        <v>48</v>
      </c>
      <c r="AQ45" t="s">
        <v>54</v>
      </c>
      <c r="AR45" t="s">
        <v>0</v>
      </c>
      <c r="AS45" t="s">
        <v>36</v>
      </c>
      <c r="AT45" t="s">
        <v>42</v>
      </c>
      <c r="AU45" t="s">
        <v>48</v>
      </c>
      <c r="AV45" t="s">
        <v>54</v>
      </c>
      <c r="AW45" t="s">
        <v>0</v>
      </c>
      <c r="AX45" t="s">
        <v>36</v>
      </c>
      <c r="AY45" t="s">
        <v>42</v>
      </c>
      <c r="AZ45" t="s">
        <v>48</v>
      </c>
      <c r="BA45" t="s">
        <v>54</v>
      </c>
      <c r="BB45" t="s">
        <v>0</v>
      </c>
      <c r="BC45" t="s">
        <v>36</v>
      </c>
      <c r="BD45" t="s">
        <v>42</v>
      </c>
      <c r="BE45" t="s">
        <v>48</v>
      </c>
      <c r="BF45" t="s">
        <v>54</v>
      </c>
      <c r="BG45" t="s">
        <v>0</v>
      </c>
      <c r="BH45" t="s">
        <v>36</v>
      </c>
      <c r="BI45" t="s">
        <v>42</v>
      </c>
      <c r="BJ45" t="s">
        <v>48</v>
      </c>
      <c r="BK45" t="s">
        <v>54</v>
      </c>
      <c r="BL45" t="s">
        <v>0</v>
      </c>
      <c r="BM45" t="s">
        <v>36</v>
      </c>
      <c r="BN45" t="s">
        <v>42</v>
      </c>
      <c r="BO45" t="s">
        <v>48</v>
      </c>
      <c r="BP45" t="s">
        <v>54</v>
      </c>
    </row>
    <row r="46" spans="1:68">
      <c r="A46" s="11">
        <v>1</v>
      </c>
      <c r="B46" s="19">
        <f>COUNTIF(年計!$D$282:$I$324,AM45)</f>
        <v>4</v>
      </c>
      <c r="C46" s="16">
        <f>COUNTIF(年計!$D$282:$I$324,AN45)</f>
        <v>5</v>
      </c>
      <c r="D46" s="16">
        <f>COUNTIF(年計!$D$282:$I$324,AO45)</f>
        <v>6</v>
      </c>
      <c r="E46" s="16">
        <f>COUNTIF(年計!$D$282:$I$324,AP45)</f>
        <v>5</v>
      </c>
      <c r="F46" s="20">
        <f>COUNTIF(年計!$D$282:$I$324,AQ45)</f>
        <v>5</v>
      </c>
      <c r="G46" s="23">
        <f>COUNTIF(年計!$J$282:$O$324,AR45)</f>
        <v>4</v>
      </c>
      <c r="H46" s="21">
        <f>COUNTIF(年計!$J$282:$O$324,AS45)</f>
        <v>5</v>
      </c>
      <c r="I46" s="21">
        <f>COUNTIF(年計!$J$282:$O$324,AT45)</f>
        <v>5</v>
      </c>
      <c r="J46" s="21">
        <f>COUNTIF(年計!$J$282:$O$324,AU45)</f>
        <v>4</v>
      </c>
      <c r="K46" s="22">
        <f>COUNTIF(年計!$J$282:$O$324,AV45)</f>
        <v>5</v>
      </c>
      <c r="L46" s="23">
        <f>COUNTIF(年計!$P$282:$U$324,AW45)</f>
        <v>3</v>
      </c>
      <c r="M46" s="21">
        <f>COUNTIF(年計!$P$282:$U$324,AX45)</f>
        <v>5</v>
      </c>
      <c r="N46" s="21">
        <f>COUNTIF(年計!$P$282:$U$324,AY45)</f>
        <v>6</v>
      </c>
      <c r="O46" s="21">
        <f>COUNTIF(年計!$P$282:$U$324,AZ45)</f>
        <v>5</v>
      </c>
      <c r="P46" s="24">
        <f>COUNTIF(年計!$P$282:$U$324,BA45)</f>
        <v>5</v>
      </c>
      <c r="S46" s="11">
        <v>1</v>
      </c>
      <c r="T46" s="19">
        <f>COUNTIF(年計!$D$3:$I$324,BB45)</f>
        <v>27</v>
      </c>
      <c r="U46" s="16">
        <f>COUNTIF(年計!$D$3:$I$324,BC45)</f>
        <v>27</v>
      </c>
      <c r="V46" s="16">
        <f>COUNTIF(年計!$D$3:$I$324,BD45)</f>
        <v>27</v>
      </c>
      <c r="W46" s="16">
        <f>COUNTIF(年計!$D$3:$I$324,BE45)</f>
        <v>28</v>
      </c>
      <c r="X46" s="20">
        <f>COUNTIF(年計!$D$3:$I$324,BF45)</f>
        <v>28</v>
      </c>
      <c r="Y46" s="19">
        <f>COUNTIF(年計!$J$3:$O$324,BG45)</f>
        <v>26</v>
      </c>
      <c r="Z46" s="21">
        <f>COUNTIF(年計!$J$3:$O$324,BH45)</f>
        <v>27</v>
      </c>
      <c r="AA46" s="21">
        <f>COUNTIF(年計!$J$3:$O$324,BI45)</f>
        <v>26</v>
      </c>
      <c r="AB46" s="21">
        <f>COUNTIF(年計!$J$3:$O$324,BJ45)</f>
        <v>26</v>
      </c>
      <c r="AC46" s="22">
        <f>COUNTIF(年計!$J$3:$O$324,BK45)</f>
        <v>27</v>
      </c>
      <c r="AD46" s="23">
        <f>COUNTIF(年計!$P$3:$U$324,BL45)</f>
        <v>25</v>
      </c>
      <c r="AE46" s="21">
        <f>COUNTIF(年計!$P$3:$U$324,BM45)</f>
        <v>26</v>
      </c>
      <c r="AF46" s="21">
        <f>COUNTIF(年計!$P$3:$U$324,BN45)</f>
        <v>26</v>
      </c>
      <c r="AG46" s="21">
        <f>COUNTIF(年計!$P$3:$U$324,BO45)</f>
        <v>26</v>
      </c>
      <c r="AH46" s="24">
        <f>COUNTIF(年計!$P$3:$U$324,BP45)</f>
        <v>25</v>
      </c>
      <c r="AM46" t="s">
        <v>1</v>
      </c>
      <c r="AN46" t="s">
        <v>37</v>
      </c>
      <c r="AO46" t="s">
        <v>43</v>
      </c>
      <c r="AP46" t="s">
        <v>49</v>
      </c>
      <c r="AQ46" t="s">
        <v>55</v>
      </c>
      <c r="AR46" t="s">
        <v>1</v>
      </c>
      <c r="AS46" t="s">
        <v>37</v>
      </c>
      <c r="AT46" t="s">
        <v>43</v>
      </c>
      <c r="AU46" t="s">
        <v>49</v>
      </c>
      <c r="AV46" t="s">
        <v>55</v>
      </c>
      <c r="AW46" t="s">
        <v>1</v>
      </c>
      <c r="AX46" t="s">
        <v>37</v>
      </c>
      <c r="AY46" t="s">
        <v>43</v>
      </c>
      <c r="AZ46" t="s">
        <v>49</v>
      </c>
      <c r="BA46" t="s">
        <v>55</v>
      </c>
      <c r="BB46" t="s">
        <v>1</v>
      </c>
      <c r="BC46" t="s">
        <v>37</v>
      </c>
      <c r="BD46" t="s">
        <v>43</v>
      </c>
      <c r="BE46" t="s">
        <v>49</v>
      </c>
      <c r="BF46" t="s">
        <v>55</v>
      </c>
      <c r="BG46" t="s">
        <v>1</v>
      </c>
      <c r="BH46" t="s">
        <v>37</v>
      </c>
      <c r="BI46" t="s">
        <v>43</v>
      </c>
      <c r="BJ46" t="s">
        <v>49</v>
      </c>
      <c r="BK46" t="s">
        <v>55</v>
      </c>
      <c r="BL46" t="s">
        <v>1</v>
      </c>
      <c r="BM46" t="s">
        <v>37</v>
      </c>
      <c r="BN46" t="s">
        <v>43</v>
      </c>
      <c r="BO46" t="s">
        <v>49</v>
      </c>
      <c r="BP46" t="s">
        <v>55</v>
      </c>
    </row>
    <row r="47" spans="1:68">
      <c r="A47" s="12">
        <v>2</v>
      </c>
      <c r="B47" s="10">
        <f>COUNTIF(年計!$D$282:$I$324,AM46)</f>
        <v>5</v>
      </c>
      <c r="C47" s="1">
        <f>COUNTIF(年計!$D$282:$I$324,AN46)</f>
        <v>5</v>
      </c>
      <c r="D47" s="1">
        <f>COUNTIF(年計!$D$282:$I$324,AO46)</f>
        <v>6</v>
      </c>
      <c r="E47" s="1">
        <f>COUNTIF(年計!$D$282:$I$324,AP46)</f>
        <v>5</v>
      </c>
      <c r="F47" s="8">
        <f>COUNTIF(年計!$D$282:$I$324,AQ46)</f>
        <v>5</v>
      </c>
      <c r="G47" s="29">
        <f>COUNTIF(年計!$J$282:$O$324,AR46)</f>
        <v>5</v>
      </c>
      <c r="H47" s="27">
        <f>COUNTIF(年計!$J$282:$O$324,AS46)</f>
        <v>5</v>
      </c>
      <c r="I47" s="27">
        <f>COUNTIF(年計!$J$282:$O$324,AT46)</f>
        <v>5</v>
      </c>
      <c r="J47" s="27">
        <f>COUNTIF(年計!$J$282:$O$324,AU46)</f>
        <v>4</v>
      </c>
      <c r="K47" s="28">
        <f>COUNTIF(年計!$J$282:$O$324,AV46)</f>
        <v>5</v>
      </c>
      <c r="L47" s="29">
        <f>COUNTIF(年計!$P$282:$U$324,AW46)</f>
        <v>4</v>
      </c>
      <c r="M47" s="27">
        <f>COUNTIF(年計!$P$282:$U$324,AX46)</f>
        <v>5</v>
      </c>
      <c r="N47" s="27">
        <f>COUNTIF(年計!$P$282:$U$324,AY46)</f>
        <v>6</v>
      </c>
      <c r="O47" s="1">
        <f>COUNTIF(年計!$P$282:$U$324,AZ46)</f>
        <v>4</v>
      </c>
      <c r="P47" s="5">
        <f>COUNTIF(年計!$P$282:$U$324,BA46)</f>
        <v>4</v>
      </c>
      <c r="S47" s="12">
        <v>2</v>
      </c>
      <c r="T47" s="10">
        <f>COUNTIF(年計!$D$3:$I$324,BB46)</f>
        <v>27</v>
      </c>
      <c r="U47" s="1">
        <f>COUNTIF(年計!$D$3:$I$324,BC46)</f>
        <v>27</v>
      </c>
      <c r="V47" s="1">
        <f>COUNTIF(年計!$D$3:$I$324,BD46)</f>
        <v>28</v>
      </c>
      <c r="W47" s="1">
        <f>COUNTIF(年計!$D$3:$I$324,BE46)</f>
        <v>28</v>
      </c>
      <c r="X47" s="8">
        <f>COUNTIF(年計!$D$3:$I$324,BF46)</f>
        <v>28</v>
      </c>
      <c r="Y47" s="10">
        <f>COUNTIF(年計!$J$3:$O$324,BG46)</f>
        <v>26</v>
      </c>
      <c r="Z47" s="1">
        <f>COUNTIF(年計!$J$3:$O$324,BH46)</f>
        <v>27</v>
      </c>
      <c r="AA47" s="1">
        <f>COUNTIF(年計!$J$3:$O$324,BI46)</f>
        <v>25</v>
      </c>
      <c r="AB47" s="1">
        <f>COUNTIF(年計!$J$3:$O$324,BJ46)</f>
        <v>26</v>
      </c>
      <c r="AC47" s="8">
        <f>COUNTIF(年計!$J$3:$O$324,BK46)</f>
        <v>27</v>
      </c>
      <c r="AD47" s="10">
        <f>COUNTIF(年計!$P$3:$U$324,BL46)</f>
        <v>25</v>
      </c>
      <c r="AE47" s="1">
        <f>COUNTIF(年計!$P$3:$U$324,BM46)</f>
        <v>26</v>
      </c>
      <c r="AF47" s="1">
        <f>COUNTIF(年計!$P$3:$U$324,BN46)</f>
        <v>25</v>
      </c>
      <c r="AG47" s="1">
        <f>COUNTIF(年計!$P$3:$U$324,BO46)</f>
        <v>25</v>
      </c>
      <c r="AH47" s="5">
        <f>COUNTIF(年計!$P$3:$U$324,BP46)</f>
        <v>25</v>
      </c>
      <c r="AM47" t="s">
        <v>2</v>
      </c>
      <c r="AN47" t="s">
        <v>38</v>
      </c>
      <c r="AO47" t="s">
        <v>44</v>
      </c>
      <c r="AP47" t="s">
        <v>50</v>
      </c>
      <c r="AQ47" t="s">
        <v>56</v>
      </c>
      <c r="AR47" t="s">
        <v>2</v>
      </c>
      <c r="AS47" t="s">
        <v>38</v>
      </c>
      <c r="AT47" t="s">
        <v>44</v>
      </c>
      <c r="AU47" t="s">
        <v>50</v>
      </c>
      <c r="AV47" t="s">
        <v>56</v>
      </c>
      <c r="AW47" t="s">
        <v>2</v>
      </c>
      <c r="AX47" t="s">
        <v>38</v>
      </c>
      <c r="AY47" t="s">
        <v>44</v>
      </c>
      <c r="AZ47" t="s">
        <v>50</v>
      </c>
      <c r="BA47" t="s">
        <v>56</v>
      </c>
      <c r="BB47" t="s">
        <v>2</v>
      </c>
      <c r="BC47" t="s">
        <v>38</v>
      </c>
      <c r="BD47" t="s">
        <v>44</v>
      </c>
      <c r="BE47" t="s">
        <v>50</v>
      </c>
      <c r="BF47" t="s">
        <v>56</v>
      </c>
      <c r="BG47" t="s">
        <v>2</v>
      </c>
      <c r="BH47" t="s">
        <v>38</v>
      </c>
      <c r="BI47" t="s">
        <v>44</v>
      </c>
      <c r="BJ47" t="s">
        <v>50</v>
      </c>
      <c r="BK47" t="s">
        <v>56</v>
      </c>
      <c r="BL47" t="s">
        <v>2</v>
      </c>
      <c r="BM47" t="s">
        <v>38</v>
      </c>
      <c r="BN47" t="s">
        <v>44</v>
      </c>
      <c r="BO47" t="s">
        <v>50</v>
      </c>
      <c r="BP47" t="s">
        <v>56</v>
      </c>
    </row>
    <row r="48" spans="1:68">
      <c r="A48" s="12">
        <v>3</v>
      </c>
      <c r="B48" s="10">
        <f>COUNTIF(年計!$D$282:$I$324,AM47)</f>
        <v>5</v>
      </c>
      <c r="C48" s="1">
        <f>COUNTIF(年計!$D$282:$I$324,AN47)</f>
        <v>5</v>
      </c>
      <c r="D48" s="1">
        <f>COUNTIF(年計!$D$282:$I$324,AO47)</f>
        <v>5</v>
      </c>
      <c r="E48" s="1">
        <f>COUNTIF(年計!$D$282:$I$324,AP47)</f>
        <v>5</v>
      </c>
      <c r="F48" s="8">
        <f>COUNTIF(年計!$D$282:$I$324,AQ47)</f>
        <v>5</v>
      </c>
      <c r="G48" s="29">
        <f>COUNTIF(年計!$J$282:$O$324,AR47)</f>
        <v>5</v>
      </c>
      <c r="H48" s="27">
        <f>COUNTIF(年計!$J$282:$O$324,AS47)</f>
        <v>5</v>
      </c>
      <c r="I48" s="27">
        <f>COUNTIF(年計!$J$282:$O$324,AT47)</f>
        <v>4</v>
      </c>
      <c r="J48" s="27">
        <f>COUNTIF(年計!$J$282:$O$324,AU47)</f>
        <v>4</v>
      </c>
      <c r="K48" s="28">
        <f>COUNTIF(年計!$J$282:$O$324,AV47)</f>
        <v>5</v>
      </c>
      <c r="L48" s="29">
        <f>COUNTIF(年計!$P$282:$U$324,AW47)</f>
        <v>4</v>
      </c>
      <c r="M48" s="27">
        <f>COUNTIF(年計!$P$282:$U$324,AX47)</f>
        <v>5</v>
      </c>
      <c r="N48" s="27">
        <f>COUNTIF(年計!$P$282:$U$324,AY47)</f>
        <v>4</v>
      </c>
      <c r="O48" s="1">
        <f>COUNTIF(年計!$P$282:$U$324,AZ47)</f>
        <v>4</v>
      </c>
      <c r="P48" s="5">
        <f>COUNTIF(年計!$P$282:$U$324,BA47)</f>
        <v>4</v>
      </c>
      <c r="S48" s="12">
        <v>3</v>
      </c>
      <c r="T48" s="10">
        <f>COUNTIF(年計!$D$3:$I$324,BB47)</f>
        <v>27</v>
      </c>
      <c r="U48" s="1">
        <f>COUNTIF(年計!$D$3:$I$324,BC47)</f>
        <v>27</v>
      </c>
      <c r="V48" s="1">
        <f>COUNTIF(年計!$D$3:$I$324,BD47)</f>
        <v>27</v>
      </c>
      <c r="W48" s="1">
        <f>COUNTIF(年計!$D$3:$I$324,BE47)</f>
        <v>28</v>
      </c>
      <c r="X48" s="8">
        <f>COUNTIF(年計!$D$3:$I$324,BF47)</f>
        <v>28</v>
      </c>
      <c r="Y48" s="10">
        <f>COUNTIF(年計!$J$3:$O$324,BG47)</f>
        <v>26</v>
      </c>
      <c r="Z48" s="1">
        <f>COUNTIF(年計!$J$3:$O$324,BH47)</f>
        <v>27</v>
      </c>
      <c r="AA48" s="1">
        <f>COUNTIF(年計!$J$3:$O$324,BI47)</f>
        <v>25</v>
      </c>
      <c r="AB48" s="1">
        <f>COUNTIF(年計!$J$3:$O$324,BJ47)</f>
        <v>26</v>
      </c>
      <c r="AC48" s="8">
        <f>COUNTIF(年計!$J$3:$O$324,BK47)</f>
        <v>27</v>
      </c>
      <c r="AD48" s="10">
        <f>COUNTIF(年計!$P$3:$U$324,BL47)</f>
        <v>25</v>
      </c>
      <c r="AE48" s="1">
        <f>COUNTIF(年計!$P$3:$U$324,BM47)</f>
        <v>26</v>
      </c>
      <c r="AF48" s="1">
        <f>COUNTIF(年計!$P$3:$U$324,BN47)</f>
        <v>25</v>
      </c>
      <c r="AG48" s="1">
        <f>COUNTIF(年計!$P$3:$U$324,BO47)</f>
        <v>24</v>
      </c>
      <c r="AH48" s="5">
        <f>COUNTIF(年計!$P$3:$U$324,BP47)</f>
        <v>24</v>
      </c>
      <c r="AM48" t="s">
        <v>3</v>
      </c>
      <c r="AN48" t="s">
        <v>39</v>
      </c>
      <c r="AO48" t="s">
        <v>45</v>
      </c>
      <c r="AP48" t="s">
        <v>51</v>
      </c>
      <c r="AQ48" t="s">
        <v>57</v>
      </c>
      <c r="AR48" t="s">
        <v>3</v>
      </c>
      <c r="AS48" t="s">
        <v>39</v>
      </c>
      <c r="AT48" t="s">
        <v>45</v>
      </c>
      <c r="AU48" t="s">
        <v>51</v>
      </c>
      <c r="AV48" t="s">
        <v>57</v>
      </c>
      <c r="AW48" t="s">
        <v>3</v>
      </c>
      <c r="AX48" t="s">
        <v>39</v>
      </c>
      <c r="AY48" t="s">
        <v>45</v>
      </c>
      <c r="AZ48" t="s">
        <v>51</v>
      </c>
      <c r="BA48" t="s">
        <v>57</v>
      </c>
      <c r="BB48" t="s">
        <v>3</v>
      </c>
      <c r="BC48" t="s">
        <v>39</v>
      </c>
      <c r="BD48" t="s">
        <v>45</v>
      </c>
      <c r="BE48" t="s">
        <v>51</v>
      </c>
      <c r="BF48" t="s">
        <v>57</v>
      </c>
      <c r="BG48" t="s">
        <v>3</v>
      </c>
      <c r="BH48" t="s">
        <v>39</v>
      </c>
      <c r="BI48" t="s">
        <v>45</v>
      </c>
      <c r="BJ48" t="s">
        <v>51</v>
      </c>
      <c r="BK48" t="s">
        <v>57</v>
      </c>
      <c r="BL48" t="s">
        <v>3</v>
      </c>
      <c r="BM48" t="s">
        <v>39</v>
      </c>
      <c r="BN48" t="s">
        <v>45</v>
      </c>
      <c r="BO48" t="s">
        <v>51</v>
      </c>
      <c r="BP48" t="s">
        <v>57</v>
      </c>
    </row>
    <row r="49" spans="1:68">
      <c r="A49" s="12">
        <v>4</v>
      </c>
      <c r="B49" s="10">
        <f>COUNTIF(年計!$D$282:$I$324,AM48)</f>
        <v>5</v>
      </c>
      <c r="C49" s="1">
        <f>COUNTIF(年計!$D$282:$I$324,AN48)</f>
        <v>4</v>
      </c>
      <c r="D49" s="1">
        <f>COUNTIF(年計!$D$282:$I$324,AO48)</f>
        <v>5</v>
      </c>
      <c r="E49" s="1">
        <f>COUNTIF(年計!$D$282:$I$324,AP48)</f>
        <v>5</v>
      </c>
      <c r="F49" s="8">
        <f>COUNTIF(年計!$D$282:$I$324,AQ48)</f>
        <v>5</v>
      </c>
      <c r="G49" s="29">
        <f>COUNTIF(年計!$J$282:$O$324,AR48)</f>
        <v>5</v>
      </c>
      <c r="H49" s="27">
        <f>COUNTIF(年計!$J$282:$O$324,AS48)</f>
        <v>4</v>
      </c>
      <c r="I49" s="27">
        <f>COUNTIF(年計!$J$282:$O$324,AT48)</f>
        <v>4</v>
      </c>
      <c r="J49" s="27">
        <f>COUNTIF(年計!$J$282:$O$324,AU48)</f>
        <v>4</v>
      </c>
      <c r="K49" s="28">
        <f>COUNTIF(年計!$J$282:$O$324,AV48)</f>
        <v>5</v>
      </c>
      <c r="L49" s="29">
        <f>COUNTIF(年計!$P$282:$U$324,AW48)</f>
        <v>4</v>
      </c>
      <c r="M49" s="27">
        <f>COUNTIF(年計!$P$282:$U$324,AX48)</f>
        <v>4</v>
      </c>
      <c r="N49" s="27">
        <f>COUNTIF(年計!$P$282:$U$324,AY48)</f>
        <v>4</v>
      </c>
      <c r="O49" s="1">
        <f>COUNTIF(年計!$P$282:$U$324,AZ48)</f>
        <v>4</v>
      </c>
      <c r="P49" s="5">
        <f>COUNTIF(年計!$P$282:$U$324,BA48)</f>
        <v>4</v>
      </c>
      <c r="S49" s="12">
        <v>4</v>
      </c>
      <c r="T49" s="10">
        <f>COUNTIF(年計!$D$3:$I$324,BB48)</f>
        <v>27</v>
      </c>
      <c r="U49" s="1">
        <f>COUNTIF(年計!$D$3:$I$324,BC48)</f>
        <v>27</v>
      </c>
      <c r="V49" s="1">
        <f>COUNTIF(年計!$D$3:$I$324,BD48)</f>
        <v>27</v>
      </c>
      <c r="W49" s="1">
        <f>COUNTIF(年計!$D$3:$I$324,BE48)</f>
        <v>27</v>
      </c>
      <c r="X49" s="8">
        <f>COUNTIF(年計!$D$3:$I$324,BF48)</f>
        <v>28</v>
      </c>
      <c r="Y49" s="10">
        <f>COUNTIF(年計!$J$3:$O$324,BG48)</f>
        <v>26</v>
      </c>
      <c r="Z49" s="1">
        <f>COUNTIF(年計!$J$3:$O$324,BH48)</f>
        <v>27</v>
      </c>
      <c r="AA49" s="1">
        <f>COUNTIF(年計!$J$3:$O$324,BI48)</f>
        <v>25</v>
      </c>
      <c r="AB49" s="1">
        <f>COUNTIF(年計!$J$3:$O$324,BJ48)</f>
        <v>26</v>
      </c>
      <c r="AC49" s="8">
        <f>COUNTIF(年計!$J$3:$O$324,BK48)</f>
        <v>27</v>
      </c>
      <c r="AD49" s="10">
        <f>COUNTIF(年計!$P$3:$U$324,BL48)</f>
        <v>25</v>
      </c>
      <c r="AE49" s="1">
        <f>COUNTIF(年計!$P$3:$U$324,BM48)</f>
        <v>26</v>
      </c>
      <c r="AF49" s="1">
        <f>COUNTIF(年計!$P$3:$U$324,BN48)</f>
        <v>25</v>
      </c>
      <c r="AG49" s="1">
        <f>COUNTIF(年計!$P$3:$U$324,BO48)</f>
        <v>24</v>
      </c>
      <c r="AH49" s="5">
        <f>COUNTIF(年計!$P$3:$U$324,BP48)</f>
        <v>24</v>
      </c>
      <c r="AM49" t="s">
        <v>4</v>
      </c>
      <c r="AN49" t="s">
        <v>40</v>
      </c>
      <c r="AO49" t="s">
        <v>46</v>
      </c>
      <c r="AP49" t="s">
        <v>52</v>
      </c>
      <c r="AQ49" t="s">
        <v>58</v>
      </c>
      <c r="AR49" t="s">
        <v>4</v>
      </c>
      <c r="AS49" t="s">
        <v>40</v>
      </c>
      <c r="AT49" t="s">
        <v>46</v>
      </c>
      <c r="AU49" t="s">
        <v>52</v>
      </c>
      <c r="AV49" t="s">
        <v>58</v>
      </c>
      <c r="AW49" t="s">
        <v>4</v>
      </c>
      <c r="AX49" t="s">
        <v>40</v>
      </c>
      <c r="AY49" t="s">
        <v>46</v>
      </c>
      <c r="AZ49" t="s">
        <v>52</v>
      </c>
      <c r="BA49" t="s">
        <v>58</v>
      </c>
      <c r="BB49" t="s">
        <v>4</v>
      </c>
      <c r="BC49" t="s">
        <v>40</v>
      </c>
      <c r="BD49" t="s">
        <v>46</v>
      </c>
      <c r="BE49" t="s">
        <v>52</v>
      </c>
      <c r="BF49" t="s">
        <v>58</v>
      </c>
      <c r="BG49" t="s">
        <v>4</v>
      </c>
      <c r="BH49" t="s">
        <v>40</v>
      </c>
      <c r="BI49" t="s">
        <v>46</v>
      </c>
      <c r="BJ49" t="s">
        <v>52</v>
      </c>
      <c r="BK49" t="s">
        <v>58</v>
      </c>
      <c r="BL49" t="s">
        <v>4</v>
      </c>
      <c r="BM49" t="s">
        <v>40</v>
      </c>
      <c r="BN49" t="s">
        <v>46</v>
      </c>
      <c r="BO49" t="s">
        <v>52</v>
      </c>
      <c r="BP49" t="s">
        <v>58</v>
      </c>
    </row>
    <row r="50" spans="1:68">
      <c r="A50" s="12">
        <v>5</v>
      </c>
      <c r="B50" s="10">
        <f>COUNTIF(年計!$D$282:$I$324,AM49)</f>
        <v>5</v>
      </c>
      <c r="C50" s="1">
        <f>COUNTIF(年計!$D$282:$I$324,AN49)</f>
        <v>5</v>
      </c>
      <c r="D50" s="1">
        <f>COUNTIF(年計!$D$282:$I$324,AO49)</f>
        <v>6</v>
      </c>
      <c r="E50" s="1">
        <f>COUNTIF(年計!$D$282:$I$324,AP49)</f>
        <v>5</v>
      </c>
      <c r="F50" s="8">
        <f>COUNTIF(年計!$D$282:$I$324,AQ49)</f>
        <v>5</v>
      </c>
      <c r="G50" s="10">
        <f>COUNTIF(年計!$J$282:$O$324,AR49)</f>
        <v>5</v>
      </c>
      <c r="H50" s="1">
        <f>COUNTIF(年計!$J$282:$O$324,AS49)</f>
        <v>5</v>
      </c>
      <c r="I50" s="27">
        <f>COUNTIF(年計!$J$282:$O$324,AT49)</f>
        <v>5</v>
      </c>
      <c r="J50" s="1">
        <f>COUNTIF(年計!$J$282:$O$324,AU49)</f>
        <v>4</v>
      </c>
      <c r="K50" s="8">
        <f>COUNTIF(年計!$J$282:$O$324,AV49)</f>
        <v>5</v>
      </c>
      <c r="L50" s="10">
        <f>COUNTIF(年計!$P$282:$U$324,AW49)</f>
        <v>4</v>
      </c>
      <c r="M50" s="1">
        <f>COUNTIF(年計!$P$282:$U$324,AX49)</f>
        <v>4</v>
      </c>
      <c r="N50" s="1">
        <f>COUNTIF(年計!$P$282:$U$324,AY49)</f>
        <v>5</v>
      </c>
      <c r="O50" s="1">
        <f>COUNTIF(年計!$P$282:$U$324,AZ49)</f>
        <v>5</v>
      </c>
      <c r="P50" s="5">
        <f>COUNTIF(年計!$P$282:$U$324,BA49)</f>
        <v>5</v>
      </c>
      <c r="S50" s="12">
        <v>5</v>
      </c>
      <c r="T50" s="10">
        <f>COUNTIF(年計!$D$3:$I$324,BB49)</f>
        <v>27</v>
      </c>
      <c r="U50" s="1">
        <f>COUNTIF(年計!$D$3:$I$324,BC49)</f>
        <v>28</v>
      </c>
      <c r="V50" s="1">
        <f>COUNTIF(年計!$D$3:$I$324,BD49)</f>
        <v>27</v>
      </c>
      <c r="W50" s="1">
        <f>COUNTIF(年計!$D$3:$I$324,BE49)</f>
        <v>28</v>
      </c>
      <c r="X50" s="8">
        <f>COUNTIF(年計!$D$3:$I$324,BF49)</f>
        <v>27</v>
      </c>
      <c r="Y50" s="10">
        <f>COUNTIF(年計!$J$3:$O$324,BG49)</f>
        <v>26</v>
      </c>
      <c r="Z50" s="1">
        <f>COUNTIF(年計!$J$3:$O$324,BH49)</f>
        <v>27</v>
      </c>
      <c r="AA50" s="1">
        <f>COUNTIF(年計!$J$3:$O$324,BI49)</f>
        <v>26</v>
      </c>
      <c r="AB50" s="1">
        <f>COUNTIF(年計!$J$3:$O$324,BJ49)</f>
        <v>26</v>
      </c>
      <c r="AC50" s="8">
        <f>COUNTIF(年計!$J$3:$O$324,BK49)</f>
        <v>26</v>
      </c>
      <c r="AD50" s="10">
        <f>COUNTIF(年計!$P$3:$U$324,BL49)</f>
        <v>24</v>
      </c>
      <c r="AE50" s="1">
        <f>COUNTIF(年計!$P$3:$U$324,BM49)</f>
        <v>25</v>
      </c>
      <c r="AF50" s="1">
        <f>COUNTIF(年計!$P$3:$U$324,BN49)</f>
        <v>26</v>
      </c>
      <c r="AG50" s="1">
        <f>COUNTIF(年計!$P$3:$U$324,BO49)</f>
        <v>25</v>
      </c>
      <c r="AH50" s="5">
        <f>COUNTIF(年計!$P$3:$U$324,BP49)</f>
        <v>25</v>
      </c>
      <c r="AM50" t="s">
        <v>5</v>
      </c>
      <c r="AN50" t="s">
        <v>41</v>
      </c>
      <c r="AO50" t="s">
        <v>47</v>
      </c>
      <c r="AP50" t="s">
        <v>53</v>
      </c>
      <c r="AQ50" t="s">
        <v>59</v>
      </c>
      <c r="AR50" t="s">
        <v>5</v>
      </c>
      <c r="AS50" t="s">
        <v>41</v>
      </c>
      <c r="AT50" t="s">
        <v>47</v>
      </c>
      <c r="AU50" t="s">
        <v>53</v>
      </c>
      <c r="AV50" t="s">
        <v>59</v>
      </c>
      <c r="AW50" t="s">
        <v>5</v>
      </c>
      <c r="AX50" t="s">
        <v>41</v>
      </c>
      <c r="AY50" t="s">
        <v>47</v>
      </c>
      <c r="AZ50" t="s">
        <v>53</v>
      </c>
      <c r="BA50" t="s">
        <v>59</v>
      </c>
      <c r="BB50" t="s">
        <v>5</v>
      </c>
      <c r="BC50" t="s">
        <v>41</v>
      </c>
      <c r="BD50" t="s">
        <v>47</v>
      </c>
      <c r="BE50" t="s">
        <v>53</v>
      </c>
      <c r="BF50" t="s">
        <v>59</v>
      </c>
      <c r="BG50" t="s">
        <v>5</v>
      </c>
      <c r="BH50" t="s">
        <v>41</v>
      </c>
      <c r="BI50" t="s">
        <v>47</v>
      </c>
      <c r="BJ50" t="s">
        <v>53</v>
      </c>
      <c r="BK50" t="s">
        <v>59</v>
      </c>
      <c r="BL50" t="s">
        <v>5</v>
      </c>
      <c r="BM50" t="s">
        <v>41</v>
      </c>
      <c r="BN50" t="s">
        <v>47</v>
      </c>
      <c r="BO50" t="s">
        <v>53</v>
      </c>
      <c r="BP50" t="s">
        <v>59</v>
      </c>
    </row>
    <row r="51" spans="1:68" ht="18" thickBot="1">
      <c r="A51" s="13">
        <v>6</v>
      </c>
      <c r="B51" s="18">
        <f>COUNTIF(年計!$D$282:$I$324,AM50)</f>
        <v>3</v>
      </c>
      <c r="C51" s="6">
        <f>COUNTIF(年計!$D$282:$I$324,AN50)</f>
        <v>6</v>
      </c>
      <c r="D51" s="26">
        <f>COUNTIF(年計!$D$282:$I$324,AO50)</f>
        <v>6</v>
      </c>
      <c r="E51" s="25">
        <f>COUNTIF(年計!$D$282:$I$324,AP50)</f>
        <v>0</v>
      </c>
      <c r="F51" s="14">
        <f>COUNTIF(年計!$D$282:$I$324,AQ50)</f>
        <v>5</v>
      </c>
      <c r="G51" s="18">
        <f>COUNTIF(年計!$J$282:$O$324,AR50)</f>
        <v>3</v>
      </c>
      <c r="H51" s="26">
        <f>COUNTIF(年計!$J$282:$O$324,AS50)</f>
        <v>6</v>
      </c>
      <c r="I51" s="26">
        <f>COUNTIF(年計!$J$282:$O$324,AT50)</f>
        <v>5</v>
      </c>
      <c r="J51" s="25">
        <f>COUNTIF(年計!$J$282:$O$324,AU50)</f>
        <v>0</v>
      </c>
      <c r="K51" s="14">
        <f>COUNTIF(年計!$J$282:$O$324,AV50)</f>
        <v>5</v>
      </c>
      <c r="L51" s="18">
        <f>COUNTIF(年計!$P$282:$U$324,AW50)</f>
        <v>3</v>
      </c>
      <c r="M51" s="26">
        <f>COUNTIF(年計!$P$282:$U$324,AX50)</f>
        <v>5</v>
      </c>
      <c r="N51" s="26">
        <f>COUNTIF(年計!$P$282:$U$324,AY50)</f>
        <v>4</v>
      </c>
      <c r="O51" s="25">
        <f>COUNTIF(年計!$P$282:$U$324,AZ50)</f>
        <v>0</v>
      </c>
      <c r="P51" s="15">
        <f>COUNTIF(年計!$P$282:$U$324,BA50)</f>
        <v>3</v>
      </c>
      <c r="S51" s="13">
        <v>6</v>
      </c>
      <c r="T51" s="18">
        <f>COUNTIF(年計!$D$3:$I$324,BB50)</f>
        <v>20</v>
      </c>
      <c r="U51" s="6">
        <f>COUNTIF(年計!$D$3:$I$324,BC50)</f>
        <v>28</v>
      </c>
      <c r="V51" s="26">
        <f>COUNTIF(年計!$D$3:$I$324,BD50)</f>
        <v>39</v>
      </c>
      <c r="W51" s="25">
        <f>COUNTIF(年計!$D$3:$I$324,BE50)</f>
        <v>0</v>
      </c>
      <c r="X51" s="14">
        <f>COUNTIF(年計!$D$3:$I$324,BF50)</f>
        <v>22</v>
      </c>
      <c r="Y51" s="18">
        <f>COUNTIF(年計!$J$3:$O$324,BG50)</f>
        <v>22</v>
      </c>
      <c r="Z51" s="26">
        <f>COUNTIF(年計!$J$3:$O$324,BH50)</f>
        <v>28</v>
      </c>
      <c r="AA51" s="26">
        <f>COUNTIF(年計!$J$3:$O$324,BI50)</f>
        <v>36</v>
      </c>
      <c r="AB51" s="25">
        <f>COUNTIF(年計!$J$3:$O$324,BJ50)</f>
        <v>0</v>
      </c>
      <c r="AC51" s="14">
        <f>COUNTIF(年計!$J$3:$O$324,BK50)</f>
        <v>22</v>
      </c>
      <c r="AD51" s="18">
        <f>COUNTIF(年計!$P$3:$U$324,BL50)</f>
        <v>21</v>
      </c>
      <c r="AE51" s="26">
        <f>COUNTIF(年計!$P$3:$U$324,BM50)</f>
        <v>23</v>
      </c>
      <c r="AF51" s="26">
        <f>COUNTIF(年計!$P$3:$U$324,BN50)</f>
        <v>35</v>
      </c>
      <c r="AG51" s="25">
        <f>COUNTIF(年計!$P$3:$U$324,BO50)</f>
        <v>0</v>
      </c>
      <c r="AH51" s="15">
        <f>COUNTIF(年計!$P$3:$U$324,BP50)</f>
        <v>17</v>
      </c>
    </row>
    <row r="52" spans="1:68" ht="18" thickBot="1">
      <c r="A52" s="313" t="s">
        <v>189</v>
      </c>
      <c r="B52" s="313"/>
      <c r="C52" s="313"/>
      <c r="D52" s="313"/>
      <c r="E52" s="313"/>
      <c r="F52" s="313"/>
      <c r="G52" s="313"/>
      <c r="H52" s="313"/>
      <c r="I52" s="33"/>
      <c r="J52" s="33"/>
      <c r="K52" s="33"/>
      <c r="L52" s="33"/>
      <c r="M52" s="33"/>
      <c r="N52" s="33"/>
      <c r="O52" s="33"/>
      <c r="P52" s="33"/>
      <c r="S52" s="314" t="s">
        <v>60</v>
      </c>
      <c r="T52" s="314"/>
      <c r="U52" s="314"/>
      <c r="V52" s="314"/>
      <c r="W52" s="314"/>
      <c r="X52" s="314"/>
      <c r="Y52" s="314"/>
      <c r="Z52" s="314"/>
    </row>
    <row r="53" spans="1:68" ht="18" thickBot="1">
      <c r="A53" s="31"/>
      <c r="B53" s="34" t="s">
        <v>30</v>
      </c>
      <c r="C53" s="34" t="s">
        <v>31</v>
      </c>
      <c r="D53" s="34" t="s">
        <v>33</v>
      </c>
      <c r="E53" s="34" t="s">
        <v>34</v>
      </c>
      <c r="F53" s="35" t="s">
        <v>35</v>
      </c>
      <c r="G53" s="31" t="s">
        <v>30</v>
      </c>
      <c r="H53" s="34" t="s">
        <v>31</v>
      </c>
      <c r="I53" s="34" t="s">
        <v>33</v>
      </c>
      <c r="J53" s="34" t="s">
        <v>34</v>
      </c>
      <c r="K53" s="36" t="s">
        <v>35</v>
      </c>
      <c r="L53" s="37" t="s">
        <v>30</v>
      </c>
      <c r="M53" s="34" t="s">
        <v>31</v>
      </c>
      <c r="N53" s="34" t="s">
        <v>33</v>
      </c>
      <c r="O53" s="34" t="s">
        <v>34</v>
      </c>
      <c r="P53" s="36" t="s">
        <v>35</v>
      </c>
      <c r="S53" s="2"/>
      <c r="T53" s="3" t="s">
        <v>30</v>
      </c>
      <c r="U53" s="3" t="s">
        <v>31</v>
      </c>
      <c r="V53" s="3" t="s">
        <v>33</v>
      </c>
      <c r="W53" s="3" t="s">
        <v>34</v>
      </c>
      <c r="X53" s="7" t="s">
        <v>35</v>
      </c>
      <c r="Y53" s="2" t="s">
        <v>30</v>
      </c>
      <c r="Z53" s="3" t="s">
        <v>31</v>
      </c>
      <c r="AA53" s="3" t="s">
        <v>33</v>
      </c>
      <c r="AB53" s="3" t="s">
        <v>34</v>
      </c>
      <c r="AC53" s="4" t="s">
        <v>35</v>
      </c>
      <c r="AD53" s="9" t="s">
        <v>30</v>
      </c>
      <c r="AE53" s="3" t="s">
        <v>31</v>
      </c>
      <c r="AF53" s="3" t="s">
        <v>33</v>
      </c>
      <c r="AG53" s="3" t="s">
        <v>34</v>
      </c>
      <c r="AH53" s="4" t="s">
        <v>35</v>
      </c>
      <c r="AM53" t="s">
        <v>0</v>
      </c>
      <c r="AN53" t="s">
        <v>36</v>
      </c>
      <c r="AO53" t="s">
        <v>42</v>
      </c>
      <c r="AP53" t="s">
        <v>48</v>
      </c>
      <c r="AQ53" t="s">
        <v>54</v>
      </c>
      <c r="AR53" t="s">
        <v>0</v>
      </c>
      <c r="AS53" t="s">
        <v>36</v>
      </c>
      <c r="AT53" t="s">
        <v>42</v>
      </c>
      <c r="AU53" t="s">
        <v>48</v>
      </c>
      <c r="AV53" t="s">
        <v>54</v>
      </c>
      <c r="AW53" t="s">
        <v>0</v>
      </c>
      <c r="AX53" t="s">
        <v>36</v>
      </c>
      <c r="AY53" t="s">
        <v>42</v>
      </c>
      <c r="AZ53" t="s">
        <v>48</v>
      </c>
      <c r="BA53" t="s">
        <v>54</v>
      </c>
      <c r="BB53" t="s">
        <v>0</v>
      </c>
      <c r="BC53" t="s">
        <v>36</v>
      </c>
      <c r="BD53" t="s">
        <v>42</v>
      </c>
      <c r="BE53" t="s">
        <v>48</v>
      </c>
      <c r="BF53" t="s">
        <v>54</v>
      </c>
      <c r="BG53" t="s">
        <v>0</v>
      </c>
      <c r="BH53" t="s">
        <v>36</v>
      </c>
      <c r="BI53" t="s">
        <v>42</v>
      </c>
      <c r="BJ53" t="s">
        <v>48</v>
      </c>
      <c r="BK53" t="s">
        <v>54</v>
      </c>
      <c r="BL53" t="s">
        <v>0</v>
      </c>
      <c r="BM53" t="s">
        <v>36</v>
      </c>
      <c r="BN53" t="s">
        <v>42</v>
      </c>
      <c r="BO53" t="s">
        <v>48</v>
      </c>
      <c r="BP53" t="s">
        <v>54</v>
      </c>
    </row>
    <row r="54" spans="1:68">
      <c r="A54" s="38">
        <v>1</v>
      </c>
      <c r="B54" s="19">
        <f>COUNTIF(年計!$D$331:$I$360,AM53)</f>
        <v>3</v>
      </c>
      <c r="C54" s="16">
        <f>COUNTIF(年計!$D$331:$I$360,AN53)</f>
        <v>3</v>
      </c>
      <c r="D54" s="16">
        <f>COUNTIF(年計!$D$331:$I$360,AO53)</f>
        <v>4</v>
      </c>
      <c r="E54" s="16">
        <f>COUNTIF(年計!$D$331:$I$360,AP53)</f>
        <v>4</v>
      </c>
      <c r="F54" s="20">
        <f>COUNTIF(年計!$D$331:$I$360,AQ53)</f>
        <v>3</v>
      </c>
      <c r="G54" s="23">
        <f>COUNTIF(年計!$J$331:$O$360,AR53)</f>
        <v>3</v>
      </c>
      <c r="H54" s="21">
        <f>COUNTIF(年計!$J$331:$O$360,AS53)</f>
        <v>3</v>
      </c>
      <c r="I54" s="21">
        <f>COUNTIF(年計!$J$331:$O$360,AT53)</f>
        <v>4</v>
      </c>
      <c r="J54" s="21">
        <f>COUNTIF(年計!$J$331:$O$360,AU53)</f>
        <v>4</v>
      </c>
      <c r="K54" s="22">
        <f>COUNTIF(年計!$J$331:$O$360,AV53)</f>
        <v>3</v>
      </c>
      <c r="L54" s="23">
        <f>COUNTIF(年計!$P$331:$U$360,AW53)</f>
        <v>1</v>
      </c>
      <c r="M54" s="21">
        <f>COUNTIF(年計!$P$331:$U$360,AX53)</f>
        <v>1</v>
      </c>
      <c r="N54" s="21">
        <f>COUNTIF(年計!$P$331:$U$360,AY53)</f>
        <v>1</v>
      </c>
      <c r="O54" s="21">
        <f>COUNTIF(年計!$P$331:$U$360,AZ53)</f>
        <v>1</v>
      </c>
      <c r="P54" s="24">
        <f>COUNTIF(年計!$P$331:$U$360,BA53)</f>
        <v>1</v>
      </c>
      <c r="S54" s="11">
        <v>1</v>
      </c>
      <c r="T54" s="19">
        <f>COUNTIF(年計!$D$3:$I$359,BB53)</f>
        <v>31</v>
      </c>
      <c r="U54" s="16">
        <f>COUNTIF(年計!$D$3:$I$359,BC53)</f>
        <v>30</v>
      </c>
      <c r="V54" s="16">
        <f>COUNTIF(年計!$D$3:$I$359,BD53)</f>
        <v>31</v>
      </c>
      <c r="W54" s="16">
        <f>COUNTIF(年計!$D$3:$I$359,BE53)</f>
        <v>32</v>
      </c>
      <c r="X54" s="20">
        <f>COUNTIF(年計!$D$3:$I$359,BF53)</f>
        <v>31</v>
      </c>
      <c r="Y54" s="19">
        <f>COUNTIF(年計!$J$3:$O$359,BG53)</f>
        <v>30</v>
      </c>
      <c r="Z54" s="21">
        <f>COUNTIF(年計!$J$3:$O$359,BH53)</f>
        <v>30</v>
      </c>
      <c r="AA54" s="21">
        <f>COUNTIF(年計!$J$3:$O$359,BI53)</f>
        <v>30</v>
      </c>
      <c r="AB54" s="21">
        <f>COUNTIF(年計!$J$3:$O$359,BJ53)</f>
        <v>30</v>
      </c>
      <c r="AC54" s="22">
        <f>COUNTIF(年計!$J$3:$O$359,BK53)</f>
        <v>30</v>
      </c>
      <c r="AD54" s="23">
        <f>COUNTIF(年計!$P$3:$U$359,BL53)</f>
        <v>27</v>
      </c>
      <c r="AE54" s="21">
        <f>COUNTIF(年計!$P$3:$U$359,BM53)</f>
        <v>27</v>
      </c>
      <c r="AF54" s="21">
        <f>COUNTIF(年計!$P$3:$U$359,BN53)</f>
        <v>27</v>
      </c>
      <c r="AG54" s="21">
        <f>COUNTIF(年計!$P$3:$U$359,BO53)</f>
        <v>27</v>
      </c>
      <c r="AH54" s="24">
        <f>COUNTIF(年計!$P$3:$U$359,BP53)</f>
        <v>26</v>
      </c>
      <c r="AI54" t="s">
        <v>62</v>
      </c>
      <c r="AJ54" t="e">
        <f>MATCH(AI54,年計!$C$2:$C$367,0)</f>
        <v>#N/A</v>
      </c>
      <c r="AM54" t="s">
        <v>1</v>
      </c>
      <c r="AN54" t="s">
        <v>37</v>
      </c>
      <c r="AO54" t="s">
        <v>43</v>
      </c>
      <c r="AP54" t="s">
        <v>49</v>
      </c>
      <c r="AQ54" t="s">
        <v>55</v>
      </c>
      <c r="AR54" t="s">
        <v>1</v>
      </c>
      <c r="AS54" t="s">
        <v>37</v>
      </c>
      <c r="AT54" t="s">
        <v>43</v>
      </c>
      <c r="AU54" t="s">
        <v>49</v>
      </c>
      <c r="AV54" t="s">
        <v>55</v>
      </c>
      <c r="AW54" t="s">
        <v>1</v>
      </c>
      <c r="AX54" t="s">
        <v>37</v>
      </c>
      <c r="AY54" t="s">
        <v>43</v>
      </c>
      <c r="AZ54" t="s">
        <v>49</v>
      </c>
      <c r="BA54" t="s">
        <v>55</v>
      </c>
      <c r="BB54" t="s">
        <v>1</v>
      </c>
      <c r="BC54" t="s">
        <v>37</v>
      </c>
      <c r="BD54" t="s">
        <v>43</v>
      </c>
      <c r="BE54" t="s">
        <v>49</v>
      </c>
      <c r="BF54" t="s">
        <v>55</v>
      </c>
      <c r="BG54" t="s">
        <v>1</v>
      </c>
      <c r="BH54" t="s">
        <v>37</v>
      </c>
      <c r="BI54" t="s">
        <v>43</v>
      </c>
      <c r="BJ54" t="s">
        <v>49</v>
      </c>
      <c r="BK54" t="s">
        <v>55</v>
      </c>
      <c r="BL54" t="s">
        <v>1</v>
      </c>
      <c r="BM54" t="s">
        <v>37</v>
      </c>
      <c r="BN54" t="s">
        <v>43</v>
      </c>
      <c r="BO54" t="s">
        <v>49</v>
      </c>
      <c r="BP54" t="s">
        <v>55</v>
      </c>
    </row>
    <row r="55" spans="1:68">
      <c r="A55" s="39">
        <v>2</v>
      </c>
      <c r="B55" s="10">
        <f>COUNTIF(年計!$D$331:$I$360,AM54)</f>
        <v>2</v>
      </c>
      <c r="C55" s="1">
        <f>COUNTIF(年計!$D$331:$I$360,AN54)</f>
        <v>3</v>
      </c>
      <c r="D55" s="1">
        <f>COUNTIF(年計!$D$331:$I$360,AO54)</f>
        <v>4</v>
      </c>
      <c r="E55" s="1">
        <f>COUNTIF(年計!$D$331:$I$360,AP54)</f>
        <v>3</v>
      </c>
      <c r="F55" s="8">
        <f>COUNTIF(年計!$D$331:$I$360,AQ54)</f>
        <v>2</v>
      </c>
      <c r="G55" s="29">
        <f>COUNTIF(年計!$J$331:$O$360,AR54)</f>
        <v>2</v>
      </c>
      <c r="H55" s="27">
        <f>COUNTIF(年計!$J$331:$O$360,AS54)</f>
        <v>3</v>
      </c>
      <c r="I55" s="27">
        <f>COUNTIF(年計!$J$331:$O$360,AT54)</f>
        <v>4</v>
      </c>
      <c r="J55" s="27">
        <f>COUNTIF(年計!$J$331:$O$360,AU54)</f>
        <v>3</v>
      </c>
      <c r="K55" s="28">
        <f>COUNTIF(年計!$J$331:$O$360,AV54)</f>
        <v>2</v>
      </c>
      <c r="L55" s="29">
        <f>COUNTIF(年計!$P$331:$U$360,AW54)</f>
        <v>1</v>
      </c>
      <c r="M55" s="27">
        <f>COUNTIF(年計!$P$331:$U$360,AX54)</f>
        <v>1</v>
      </c>
      <c r="N55" s="27">
        <f>COUNTIF(年計!$P$331:$U$360,AY54)</f>
        <v>1</v>
      </c>
      <c r="O55" s="1">
        <f>COUNTIF(年計!$P$331:$U$360,AZ54)</f>
        <v>1</v>
      </c>
      <c r="P55" s="5">
        <f>COUNTIF(年計!$P$331:$U$360,BA54)</f>
        <v>1</v>
      </c>
      <c r="S55" s="12">
        <v>2</v>
      </c>
      <c r="T55" s="10">
        <f>COUNTIF(年計!$D$3:$I$359,BB54)</f>
        <v>30</v>
      </c>
      <c r="U55" s="1">
        <f>COUNTIF(年計!$D$3:$I$359,BC54)</f>
        <v>30</v>
      </c>
      <c r="V55" s="1">
        <f>COUNTIF(年計!$D$3:$I$359,BD54)</f>
        <v>32</v>
      </c>
      <c r="W55" s="1">
        <f>COUNTIF(年計!$D$3:$I$359,BE54)</f>
        <v>31</v>
      </c>
      <c r="X55" s="8">
        <f>COUNTIF(年計!$D$3:$I$359,BF54)</f>
        <v>30</v>
      </c>
      <c r="Y55" s="10">
        <f>COUNTIF(年計!$J$3:$O$359,BG54)</f>
        <v>29</v>
      </c>
      <c r="Z55" s="1">
        <f>COUNTIF(年計!$J$3:$O$359,BH54)</f>
        <v>30</v>
      </c>
      <c r="AA55" s="1">
        <f>COUNTIF(年計!$J$3:$O$359,BI54)</f>
        <v>29</v>
      </c>
      <c r="AB55" s="1">
        <f>COUNTIF(年計!$J$3:$O$359,BJ54)</f>
        <v>29</v>
      </c>
      <c r="AC55" s="8">
        <f>COUNTIF(年計!$J$3:$O$359,BK54)</f>
        <v>29</v>
      </c>
      <c r="AD55" s="10">
        <f>COUNTIF(年計!$P$3:$U$359,BL54)</f>
        <v>27</v>
      </c>
      <c r="AE55" s="1">
        <f>COUNTIF(年計!$P$3:$U$359,BM54)</f>
        <v>27</v>
      </c>
      <c r="AF55" s="1">
        <f>COUNTIF(年計!$P$3:$U$359,BN54)</f>
        <v>26</v>
      </c>
      <c r="AG55" s="1">
        <f>COUNTIF(年計!$P$3:$U$359,BO54)</f>
        <v>26</v>
      </c>
      <c r="AH55" s="5">
        <f>COUNTIF(年計!$P$3:$U$359,BP54)</f>
        <v>26</v>
      </c>
      <c r="AM55" t="s">
        <v>2</v>
      </c>
      <c r="AN55" t="s">
        <v>38</v>
      </c>
      <c r="AO55" t="s">
        <v>44</v>
      </c>
      <c r="AP55" t="s">
        <v>50</v>
      </c>
      <c r="AQ55" t="s">
        <v>56</v>
      </c>
      <c r="AR55" t="s">
        <v>2</v>
      </c>
      <c r="AS55" t="s">
        <v>38</v>
      </c>
      <c r="AT55" t="s">
        <v>44</v>
      </c>
      <c r="AU55" t="s">
        <v>50</v>
      </c>
      <c r="AV55" t="s">
        <v>56</v>
      </c>
      <c r="AW55" t="s">
        <v>2</v>
      </c>
      <c r="AX55" t="s">
        <v>38</v>
      </c>
      <c r="AY55" t="s">
        <v>44</v>
      </c>
      <c r="AZ55" t="s">
        <v>50</v>
      </c>
      <c r="BA55" t="s">
        <v>56</v>
      </c>
      <c r="BB55" t="s">
        <v>2</v>
      </c>
      <c r="BC55" t="s">
        <v>38</v>
      </c>
      <c r="BD55" t="s">
        <v>44</v>
      </c>
      <c r="BE55" t="s">
        <v>50</v>
      </c>
      <c r="BF55" t="s">
        <v>56</v>
      </c>
      <c r="BG55" t="s">
        <v>2</v>
      </c>
      <c r="BH55" t="s">
        <v>38</v>
      </c>
      <c r="BI55" t="s">
        <v>44</v>
      </c>
      <c r="BJ55" t="s">
        <v>50</v>
      </c>
      <c r="BK55" t="s">
        <v>56</v>
      </c>
      <c r="BL55" t="s">
        <v>2</v>
      </c>
      <c r="BM55" t="s">
        <v>38</v>
      </c>
      <c r="BN55" t="s">
        <v>44</v>
      </c>
      <c r="BO55" t="s">
        <v>50</v>
      </c>
      <c r="BP55" t="s">
        <v>56</v>
      </c>
    </row>
    <row r="56" spans="1:68">
      <c r="A56" s="39">
        <v>3</v>
      </c>
      <c r="B56" s="10">
        <f>COUNTIF(年計!$D$331:$I$360,AM55)</f>
        <v>3</v>
      </c>
      <c r="C56" s="1">
        <f>COUNTIF(年計!$D$331:$I$360,AN55)</f>
        <v>3</v>
      </c>
      <c r="D56" s="1">
        <f>COUNTIF(年計!$D$331:$I$360,AO55)</f>
        <v>4</v>
      </c>
      <c r="E56" s="1">
        <f>COUNTIF(年計!$D$331:$I$360,AP55)</f>
        <v>4</v>
      </c>
      <c r="F56" s="8">
        <f>COUNTIF(年計!$D$331:$I$360,AQ55)</f>
        <v>3</v>
      </c>
      <c r="G56" s="29">
        <f>COUNTIF(年計!$J$331:$O$360,AR55)</f>
        <v>3</v>
      </c>
      <c r="H56" s="27">
        <f>COUNTIF(年計!$J$331:$O$360,AS55)</f>
        <v>3</v>
      </c>
      <c r="I56" s="27">
        <f>COUNTIF(年計!$J$331:$O$360,AT55)</f>
        <v>4</v>
      </c>
      <c r="J56" s="27">
        <f>COUNTIF(年計!$J$331:$O$360,AU55)</f>
        <v>3</v>
      </c>
      <c r="K56" s="28">
        <f>COUNTIF(年計!$J$331:$O$360,AV55)</f>
        <v>3</v>
      </c>
      <c r="L56" s="29">
        <f>COUNTIF(年計!$P$331:$U$360,AW55)</f>
        <v>1</v>
      </c>
      <c r="M56" s="27">
        <f>COUNTIF(年計!$P$331:$U$360,AX55)</f>
        <v>1</v>
      </c>
      <c r="N56" s="27">
        <f>COUNTIF(年計!$P$331:$U$360,AY55)</f>
        <v>1</v>
      </c>
      <c r="O56" s="1">
        <f>COUNTIF(年計!$P$331:$U$360,AZ55)</f>
        <v>1</v>
      </c>
      <c r="P56" s="5">
        <f>COUNTIF(年計!$P$331:$U$360,BA55)</f>
        <v>1</v>
      </c>
      <c r="S56" s="12">
        <v>3</v>
      </c>
      <c r="T56" s="10">
        <f>COUNTIF(年計!$D$3:$I$359,BB55)</f>
        <v>31</v>
      </c>
      <c r="U56" s="1">
        <f>COUNTIF(年計!$D$3:$I$359,BC55)</f>
        <v>30</v>
      </c>
      <c r="V56" s="1">
        <f>COUNTIF(年計!$D$3:$I$359,BD55)</f>
        <v>31</v>
      </c>
      <c r="W56" s="1">
        <f>COUNTIF(年計!$D$3:$I$359,BE55)</f>
        <v>32</v>
      </c>
      <c r="X56" s="8">
        <f>COUNTIF(年計!$D$3:$I$359,BF55)</f>
        <v>31</v>
      </c>
      <c r="Y56" s="10">
        <f>COUNTIF(年計!$J$3:$O$359,BG55)</f>
        <v>30</v>
      </c>
      <c r="Z56" s="1">
        <f>COUNTIF(年計!$J$3:$O$359,BH55)</f>
        <v>30</v>
      </c>
      <c r="AA56" s="1">
        <f>COUNTIF(年計!$J$3:$O$359,BI55)</f>
        <v>29</v>
      </c>
      <c r="AB56" s="1">
        <f>COUNTIF(年計!$J$3:$O$359,BJ55)</f>
        <v>29</v>
      </c>
      <c r="AC56" s="8">
        <f>COUNTIF(年計!$J$3:$O$359,BK55)</f>
        <v>30</v>
      </c>
      <c r="AD56" s="10">
        <f>COUNTIF(年計!$P$3:$U$359,BL55)</f>
        <v>27</v>
      </c>
      <c r="AE56" s="1">
        <f>COUNTIF(年計!$P$3:$U$359,BM55)</f>
        <v>27</v>
      </c>
      <c r="AF56" s="1">
        <f>COUNTIF(年計!$P$3:$U$359,BN55)</f>
        <v>26</v>
      </c>
      <c r="AG56" s="1">
        <f>COUNTIF(年計!$P$3:$U$359,BO55)</f>
        <v>25</v>
      </c>
      <c r="AH56" s="5">
        <f>COUNTIF(年計!$P$3:$U$359,BP55)</f>
        <v>25</v>
      </c>
      <c r="AM56" t="s">
        <v>3</v>
      </c>
      <c r="AN56" t="s">
        <v>39</v>
      </c>
      <c r="AO56" t="s">
        <v>45</v>
      </c>
      <c r="AP56" t="s">
        <v>51</v>
      </c>
      <c r="AQ56" t="s">
        <v>57</v>
      </c>
      <c r="AR56" t="s">
        <v>3</v>
      </c>
      <c r="AS56" t="s">
        <v>39</v>
      </c>
      <c r="AT56" t="s">
        <v>45</v>
      </c>
      <c r="AU56" t="s">
        <v>51</v>
      </c>
      <c r="AV56" t="s">
        <v>57</v>
      </c>
      <c r="AW56" t="s">
        <v>3</v>
      </c>
      <c r="AX56" t="s">
        <v>39</v>
      </c>
      <c r="AY56" t="s">
        <v>45</v>
      </c>
      <c r="AZ56" t="s">
        <v>51</v>
      </c>
      <c r="BA56" t="s">
        <v>57</v>
      </c>
      <c r="BB56" t="s">
        <v>3</v>
      </c>
      <c r="BC56" t="s">
        <v>39</v>
      </c>
      <c r="BD56" t="s">
        <v>45</v>
      </c>
      <c r="BE56" t="s">
        <v>51</v>
      </c>
      <c r="BF56" t="s">
        <v>57</v>
      </c>
      <c r="BG56" t="s">
        <v>3</v>
      </c>
      <c r="BH56" t="s">
        <v>39</v>
      </c>
      <c r="BI56" t="s">
        <v>45</v>
      </c>
      <c r="BJ56" t="s">
        <v>51</v>
      </c>
      <c r="BK56" t="s">
        <v>57</v>
      </c>
      <c r="BL56" t="s">
        <v>3</v>
      </c>
      <c r="BM56" t="s">
        <v>39</v>
      </c>
      <c r="BN56" t="s">
        <v>45</v>
      </c>
      <c r="BO56" t="s">
        <v>51</v>
      </c>
      <c r="BP56" t="s">
        <v>57</v>
      </c>
    </row>
    <row r="57" spans="1:68">
      <c r="A57" s="39">
        <v>4</v>
      </c>
      <c r="B57" s="10">
        <f>COUNTIF(年計!$D$331:$I$360,AM56)</f>
        <v>3</v>
      </c>
      <c r="C57" s="1">
        <f>COUNTIF(年計!$D$331:$I$360,AN56)</f>
        <v>3</v>
      </c>
      <c r="D57" s="1">
        <f>COUNTIF(年計!$D$331:$I$360,AO56)</f>
        <v>4</v>
      </c>
      <c r="E57" s="1">
        <f>COUNTIF(年計!$D$331:$I$360,AP56)</f>
        <v>5</v>
      </c>
      <c r="F57" s="8">
        <f>COUNTIF(年計!$D$331:$I$360,AQ56)</f>
        <v>2</v>
      </c>
      <c r="G57" s="29">
        <f>COUNTIF(年計!$J$331:$O$360,AR56)</f>
        <v>3</v>
      </c>
      <c r="H57" s="27">
        <f>COUNTIF(年計!$J$331:$O$360,AS56)</f>
        <v>3</v>
      </c>
      <c r="I57" s="27">
        <f>COUNTIF(年計!$J$331:$O$360,AT56)</f>
        <v>4</v>
      </c>
      <c r="J57" s="27">
        <f>COUNTIF(年計!$J$331:$O$360,AU56)</f>
        <v>4</v>
      </c>
      <c r="K57" s="28">
        <f>COUNTIF(年計!$J$331:$O$360,AV56)</f>
        <v>2</v>
      </c>
      <c r="L57" s="29">
        <f>COUNTIF(年計!$P$331:$U$360,AW56)</f>
        <v>1</v>
      </c>
      <c r="M57" s="27">
        <f>COUNTIF(年計!$P$331:$U$360,AX56)</f>
        <v>1</v>
      </c>
      <c r="N57" s="27">
        <f>COUNTIF(年計!$P$331:$U$360,AY56)</f>
        <v>0</v>
      </c>
      <c r="O57" s="1">
        <f>COUNTIF(年計!$P$331:$U$360,AZ56)</f>
        <v>1</v>
      </c>
      <c r="P57" s="5">
        <f>COUNTIF(年計!$P$331:$U$360,BA56)</f>
        <v>1</v>
      </c>
      <c r="S57" s="12">
        <v>4</v>
      </c>
      <c r="T57" s="10">
        <f>COUNTIF(年計!$D$3:$I$359,BB56)</f>
        <v>31</v>
      </c>
      <c r="U57" s="1">
        <f>COUNTIF(年計!$D$3:$I$359,BC56)</f>
        <v>30</v>
      </c>
      <c r="V57" s="1">
        <f>COUNTIF(年計!$D$3:$I$359,BD56)</f>
        <v>31</v>
      </c>
      <c r="W57" s="1">
        <f>COUNTIF(年計!$D$3:$I$359,BE56)</f>
        <v>32</v>
      </c>
      <c r="X57" s="8">
        <f>COUNTIF(年計!$D$3:$I$359,BF56)</f>
        <v>30</v>
      </c>
      <c r="Y57" s="10">
        <f>COUNTIF(年計!$J$3:$O$359,BG56)</f>
        <v>30</v>
      </c>
      <c r="Z57" s="1">
        <f>COUNTIF(年計!$J$3:$O$359,BH56)</f>
        <v>30</v>
      </c>
      <c r="AA57" s="1">
        <f>COUNTIF(年計!$J$3:$O$359,BI56)</f>
        <v>29</v>
      </c>
      <c r="AB57" s="1">
        <f>COUNTIF(年計!$J$3:$O$359,BJ56)</f>
        <v>30</v>
      </c>
      <c r="AC57" s="8">
        <f>COUNTIF(年計!$J$3:$O$359,BK56)</f>
        <v>29</v>
      </c>
      <c r="AD57" s="10">
        <f>COUNTIF(年計!$P$3:$U$359,BL56)</f>
        <v>27</v>
      </c>
      <c r="AE57" s="1">
        <f>COUNTIF(年計!$P$3:$U$359,BM56)</f>
        <v>27</v>
      </c>
      <c r="AF57" s="1">
        <f>COUNTIF(年計!$P$3:$U$359,BN56)</f>
        <v>25</v>
      </c>
      <c r="AG57" s="1">
        <f>COUNTIF(年計!$P$3:$U$359,BO56)</f>
        <v>25</v>
      </c>
      <c r="AH57" s="5">
        <f>COUNTIF(年計!$P$3:$U$359,BP56)</f>
        <v>25</v>
      </c>
      <c r="AM57" t="s">
        <v>4</v>
      </c>
      <c r="AN57" t="s">
        <v>40</v>
      </c>
      <c r="AO57" t="s">
        <v>46</v>
      </c>
      <c r="AP57" t="s">
        <v>52</v>
      </c>
      <c r="AQ57" t="s">
        <v>58</v>
      </c>
      <c r="AR57" t="s">
        <v>4</v>
      </c>
      <c r="AS57" t="s">
        <v>40</v>
      </c>
      <c r="AT57" t="s">
        <v>46</v>
      </c>
      <c r="AU57" t="s">
        <v>52</v>
      </c>
      <c r="AV57" t="s">
        <v>58</v>
      </c>
      <c r="AW57" t="s">
        <v>4</v>
      </c>
      <c r="AX57" t="s">
        <v>40</v>
      </c>
      <c r="AY57" t="s">
        <v>46</v>
      </c>
      <c r="AZ57" t="s">
        <v>52</v>
      </c>
      <c r="BA57" t="s">
        <v>58</v>
      </c>
      <c r="BB57" t="s">
        <v>4</v>
      </c>
      <c r="BC57" t="s">
        <v>40</v>
      </c>
      <c r="BD57" t="s">
        <v>46</v>
      </c>
      <c r="BE57" t="s">
        <v>52</v>
      </c>
      <c r="BF57" t="s">
        <v>58</v>
      </c>
      <c r="BG57" t="s">
        <v>4</v>
      </c>
      <c r="BH57" t="s">
        <v>40</v>
      </c>
      <c r="BI57" t="s">
        <v>46</v>
      </c>
      <c r="BJ57" t="s">
        <v>52</v>
      </c>
      <c r="BK57" t="s">
        <v>58</v>
      </c>
      <c r="BL57" t="s">
        <v>4</v>
      </c>
      <c r="BM57" t="s">
        <v>40</v>
      </c>
      <c r="BN57" t="s">
        <v>46</v>
      </c>
      <c r="BO57" t="s">
        <v>52</v>
      </c>
      <c r="BP57" t="s">
        <v>58</v>
      </c>
    </row>
    <row r="58" spans="1:68">
      <c r="A58" s="39">
        <v>5</v>
      </c>
      <c r="B58" s="10">
        <f>COUNTIF(年計!$D$331:$I$360,AM57)</f>
        <v>2</v>
      </c>
      <c r="C58" s="1">
        <f>COUNTIF(年計!$D$331:$I$360,AN57)</f>
        <v>2</v>
      </c>
      <c r="D58" s="1">
        <f>COUNTIF(年計!$D$331:$I$360,AO57)</f>
        <v>4</v>
      </c>
      <c r="E58" s="1">
        <f>COUNTIF(年計!$D$331:$I$360,AP57)</f>
        <v>4</v>
      </c>
      <c r="F58" s="8">
        <f>COUNTIF(年計!$D$331:$I$360,AQ57)</f>
        <v>3</v>
      </c>
      <c r="G58" s="10">
        <f>COUNTIF(年計!$J$331:$O$360,AR57)</f>
        <v>2</v>
      </c>
      <c r="H58" s="1">
        <f>COUNTIF(年計!$J$331:$O$360,AS57)</f>
        <v>2</v>
      </c>
      <c r="I58" s="27">
        <f>COUNTIF(年計!$J$331:$O$360,AT57)</f>
        <v>3</v>
      </c>
      <c r="J58" s="1">
        <f>COUNTIF(年計!$J$331:$O$360,AU57)</f>
        <v>4</v>
      </c>
      <c r="K58" s="8">
        <f>COUNTIF(年計!$J$331:$O$360,AV57)</f>
        <v>3</v>
      </c>
      <c r="L58" s="10">
        <f>COUNTIF(年計!$P$331:$U$360,AW57)</f>
        <v>0</v>
      </c>
      <c r="M58" s="1">
        <f>COUNTIF(年計!$P$331:$U$360,AX57)</f>
        <v>0</v>
      </c>
      <c r="N58" s="1">
        <f>COUNTIF(年計!$P$331:$U$360,AY57)</f>
        <v>0</v>
      </c>
      <c r="O58" s="1">
        <f>COUNTIF(年計!$P$331:$U$360,AZ57)</f>
        <v>1</v>
      </c>
      <c r="P58" s="5">
        <f>COUNTIF(年計!$P$331:$U$360,BA57)</f>
        <v>1</v>
      </c>
      <c r="S58" s="12">
        <v>5</v>
      </c>
      <c r="T58" s="10">
        <f>COUNTIF(年計!$D$3:$I$359,BB57)</f>
        <v>30</v>
      </c>
      <c r="U58" s="1">
        <f>COUNTIF(年計!$D$3:$I$359,BC57)</f>
        <v>30</v>
      </c>
      <c r="V58" s="1">
        <f>COUNTIF(年計!$D$3:$I$359,BD57)</f>
        <v>31</v>
      </c>
      <c r="W58" s="1">
        <f>COUNTIF(年計!$D$3:$I$359,BE57)</f>
        <v>32</v>
      </c>
      <c r="X58" s="8">
        <f>COUNTIF(年計!$D$3:$I$359,BF57)</f>
        <v>30</v>
      </c>
      <c r="Y58" s="10">
        <f>COUNTIF(年計!$J$3:$O$359,BG57)</f>
        <v>29</v>
      </c>
      <c r="Z58" s="1">
        <f>COUNTIF(年計!$J$3:$O$359,BH57)</f>
        <v>29</v>
      </c>
      <c r="AA58" s="1">
        <f>COUNTIF(年計!$J$3:$O$359,BI57)</f>
        <v>29</v>
      </c>
      <c r="AB58" s="1">
        <f>COUNTIF(年計!$J$3:$O$359,BJ57)</f>
        <v>30</v>
      </c>
      <c r="AC58" s="8">
        <f>COUNTIF(年計!$J$3:$O$359,BK57)</f>
        <v>29</v>
      </c>
      <c r="AD58" s="10">
        <f>COUNTIF(年計!$P$3:$U$359,BL57)</f>
        <v>25</v>
      </c>
      <c r="AE58" s="1">
        <f>COUNTIF(年計!$P$3:$U$359,BM57)</f>
        <v>25</v>
      </c>
      <c r="AF58" s="1">
        <f>COUNTIF(年計!$P$3:$U$359,BN57)</f>
        <v>26</v>
      </c>
      <c r="AG58" s="1">
        <f>COUNTIF(年計!$P$3:$U$359,BO57)</f>
        <v>26</v>
      </c>
      <c r="AH58" s="5">
        <f>COUNTIF(年計!$P$3:$U$359,BP57)</f>
        <v>26</v>
      </c>
      <c r="AM58" t="s">
        <v>5</v>
      </c>
      <c r="AN58" t="s">
        <v>41</v>
      </c>
      <c r="AO58" t="s">
        <v>47</v>
      </c>
      <c r="AP58" t="s">
        <v>53</v>
      </c>
      <c r="AQ58" t="s">
        <v>59</v>
      </c>
      <c r="AR58" t="s">
        <v>5</v>
      </c>
      <c r="AS58" t="s">
        <v>41</v>
      </c>
      <c r="AT58" t="s">
        <v>47</v>
      </c>
      <c r="AU58" t="s">
        <v>53</v>
      </c>
      <c r="AV58" t="s">
        <v>59</v>
      </c>
      <c r="AW58" t="s">
        <v>5</v>
      </c>
      <c r="AX58" t="s">
        <v>41</v>
      </c>
      <c r="AY58" t="s">
        <v>47</v>
      </c>
      <c r="AZ58" t="s">
        <v>53</v>
      </c>
      <c r="BA58" t="s">
        <v>59</v>
      </c>
      <c r="BB58" t="s">
        <v>5</v>
      </c>
      <c r="BC58" t="s">
        <v>41</v>
      </c>
      <c r="BD58" t="s">
        <v>47</v>
      </c>
      <c r="BE58" t="s">
        <v>53</v>
      </c>
      <c r="BF58" t="s">
        <v>59</v>
      </c>
      <c r="BG58" t="s">
        <v>5</v>
      </c>
      <c r="BH58" t="s">
        <v>41</v>
      </c>
      <c r="BI58" t="s">
        <v>47</v>
      </c>
      <c r="BJ58" t="s">
        <v>53</v>
      </c>
      <c r="BK58" t="s">
        <v>59</v>
      </c>
      <c r="BL58" t="s">
        <v>5</v>
      </c>
      <c r="BM58" t="s">
        <v>41</v>
      </c>
      <c r="BN58" t="s">
        <v>47</v>
      </c>
      <c r="BO58" t="s">
        <v>53</v>
      </c>
      <c r="BP58" t="s">
        <v>59</v>
      </c>
    </row>
    <row r="59" spans="1:68" ht="18" thickBot="1">
      <c r="A59" s="13">
        <v>6</v>
      </c>
      <c r="B59" s="18">
        <f>COUNTIF(年計!$D$331:$I$360,AM58)</f>
        <v>1</v>
      </c>
      <c r="C59" s="6">
        <f>COUNTIF(年計!$D$331:$I$360,AN58)</f>
        <v>2</v>
      </c>
      <c r="D59" s="26">
        <f>COUNTIF(年計!$D$331:$I$360,AO58)</f>
        <v>5</v>
      </c>
      <c r="E59" s="25">
        <f>COUNTIF(年計!$D$331:$I$360,AP58)</f>
        <v>0</v>
      </c>
      <c r="F59" s="14">
        <f>COUNTIF(年計!$D$331:$I$360,AQ58)</f>
        <v>3</v>
      </c>
      <c r="G59" s="18">
        <f>COUNTIF(年計!$J$331:$O$360,AR58)</f>
        <v>1</v>
      </c>
      <c r="H59" s="26">
        <f>COUNTIF(年計!$J$331:$O$360,AS58)</f>
        <v>2</v>
      </c>
      <c r="I59" s="26">
        <f>COUNTIF(年計!$J$331:$O$360,AT58)</f>
        <v>5</v>
      </c>
      <c r="J59" s="25">
        <f>COUNTIF(年計!$J$331:$O$360,AU58)</f>
        <v>0</v>
      </c>
      <c r="K59" s="14">
        <f>COUNTIF(年計!$J$331:$O$360,AV58)</f>
        <v>3</v>
      </c>
      <c r="L59" s="18">
        <f>COUNTIF(年計!$P$331:$U$360,AW58)</f>
        <v>0</v>
      </c>
      <c r="M59" s="26">
        <f>COUNTIF(年計!$P$331:$U$360,AX58)</f>
        <v>0</v>
      </c>
      <c r="N59" s="26">
        <f>COUNTIF(年計!$P$331:$U$360,AY58)</f>
        <v>2</v>
      </c>
      <c r="O59" s="25">
        <f>COUNTIF(年計!$P$331:$U$360,AZ58)</f>
        <v>0</v>
      </c>
      <c r="P59" s="15">
        <f>COUNTIF(年計!$P$331:$U$360,BA58)</f>
        <v>1</v>
      </c>
      <c r="S59" s="13">
        <v>6</v>
      </c>
      <c r="T59" s="18">
        <f>COUNTIF(年計!$D$3:$I$359,BB58)</f>
        <v>21</v>
      </c>
      <c r="U59" s="6">
        <f>COUNTIF(年計!$D$3:$I$359,BC58)</f>
        <v>30</v>
      </c>
      <c r="V59" s="26">
        <f>COUNTIF(年計!$D$3:$I$359,BD58)</f>
        <v>43</v>
      </c>
      <c r="W59" s="25"/>
      <c r="X59" s="14">
        <f>COUNTIF(年計!$D$3:$I$359,BF58)</f>
        <v>25</v>
      </c>
      <c r="Y59" s="18">
        <f>COUNTIF(年計!$J$3:$O$359,BG58)</f>
        <v>23</v>
      </c>
      <c r="Z59" s="26">
        <f>COUNTIF(年計!$J$3:$O$359,BH58)</f>
        <v>30</v>
      </c>
      <c r="AA59" s="26">
        <f>COUNTIF(年計!$J$3:$O$359,BI58)</f>
        <v>40</v>
      </c>
      <c r="AB59" s="25"/>
      <c r="AC59" s="14">
        <f>COUNTIF(年計!$J$3:$O$359,BK58)</f>
        <v>25</v>
      </c>
      <c r="AD59" s="18">
        <f>COUNTIF(年計!$P$3:$U$359,BL58)</f>
        <v>21</v>
      </c>
      <c r="AE59" s="26">
        <f>COUNTIF(年計!$P$3:$U$359,BM58)</f>
        <v>23</v>
      </c>
      <c r="AF59" s="26">
        <f>COUNTIF(年計!$P$3:$U$359,BN58)</f>
        <v>37</v>
      </c>
      <c r="AG59" s="25"/>
      <c r="AH59" s="15">
        <f>COUNTIF(年計!$P$3:$U$359,BP58)</f>
        <v>18</v>
      </c>
    </row>
    <row r="206" spans="4:20">
      <c r="D206" s="312" t="s">
        <v>397</v>
      </c>
      <c r="E206" s="312"/>
      <c r="F206" s="312"/>
      <c r="G206" s="312"/>
      <c r="H206" s="312"/>
      <c r="J206" s="312" t="s">
        <v>397</v>
      </c>
      <c r="K206" s="312"/>
      <c r="L206" s="312"/>
      <c r="M206" s="312"/>
      <c r="N206" s="312"/>
      <c r="P206" s="312" t="s">
        <v>397</v>
      </c>
      <c r="Q206" s="312"/>
      <c r="R206" s="312"/>
      <c r="S206" s="312"/>
      <c r="T206" s="312"/>
    </row>
    <row r="207" spans="4:20">
      <c r="E207" s="301" t="s">
        <v>21</v>
      </c>
      <c r="F207" s="301" t="s">
        <v>14</v>
      </c>
      <c r="G207" s="301" t="s">
        <v>15</v>
      </c>
      <c r="H207" s="301" t="s">
        <v>16</v>
      </c>
      <c r="K207" s="301" t="s">
        <v>21</v>
      </c>
      <c r="L207" s="301" t="s">
        <v>14</v>
      </c>
      <c r="M207" s="301" t="s">
        <v>15</v>
      </c>
      <c r="N207" s="301" t="s">
        <v>16</v>
      </c>
      <c r="Q207" s="301" t="s">
        <v>21</v>
      </c>
      <c r="R207" s="301" t="s">
        <v>14</v>
      </c>
      <c r="S207" s="301" t="s">
        <v>15</v>
      </c>
      <c r="T207" s="301" t="s">
        <v>16</v>
      </c>
    </row>
    <row r="215" spans="4:16">
      <c r="D215" s="301" t="s">
        <v>393</v>
      </c>
      <c r="J215" s="301" t="s">
        <v>393</v>
      </c>
      <c r="P215" s="301" t="s">
        <v>393</v>
      </c>
    </row>
    <row r="236" spans="4:11">
      <c r="D236" s="301" t="s">
        <v>5</v>
      </c>
      <c r="E236" s="301" t="s">
        <v>387</v>
      </c>
      <c r="J236" s="301" t="s">
        <v>5</v>
      </c>
      <c r="K236" s="301" t="s">
        <v>387</v>
      </c>
    </row>
    <row r="249" spans="7:19">
      <c r="G249" s="301" t="s">
        <v>222</v>
      </c>
      <c r="M249" s="301" t="s">
        <v>222</v>
      </c>
      <c r="S249" s="301" t="s">
        <v>222</v>
      </c>
    </row>
  </sheetData>
  <mergeCells count="24">
    <mergeCell ref="S44:Z44"/>
    <mergeCell ref="B3:F3"/>
    <mergeCell ref="S11:W11"/>
    <mergeCell ref="A4:H4"/>
    <mergeCell ref="G3:K3"/>
    <mergeCell ref="L3:P3"/>
    <mergeCell ref="S12:Z12"/>
    <mergeCell ref="A44:H44"/>
    <mergeCell ref="AF1:AH1"/>
    <mergeCell ref="A2:AH2"/>
    <mergeCell ref="D206:H206"/>
    <mergeCell ref="J206:N206"/>
    <mergeCell ref="P206:T206"/>
    <mergeCell ref="X11:AB11"/>
    <mergeCell ref="AC11:AG11"/>
    <mergeCell ref="A52:H52"/>
    <mergeCell ref="S52:Z52"/>
    <mergeCell ref="A20:H20"/>
    <mergeCell ref="A28:H28"/>
    <mergeCell ref="A36:H36"/>
    <mergeCell ref="S20:Z20"/>
    <mergeCell ref="S28:Z28"/>
    <mergeCell ref="S36:Z36"/>
    <mergeCell ref="A12:H12"/>
  </mergeCells>
  <phoneticPr fontId="1"/>
  <pageMargins left="0.7" right="0.7" top="0.75" bottom="0.75" header="0.3" footer="0.3"/>
  <pageSetup paperSize="9" scale="6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986D-F33E-4558-8C22-46B3D15FF6BE}">
  <dimension ref="A1:H63"/>
  <sheetViews>
    <sheetView topLeftCell="D1" workbookViewId="0">
      <selection activeCell="H2" sqref="H2:H31"/>
    </sheetView>
  </sheetViews>
  <sheetFormatPr defaultRowHeight="17.649999999999999"/>
  <cols>
    <col min="2" max="2" width="18.25" customWidth="1"/>
    <col min="4" max="4" width="5.375" customWidth="1"/>
    <col min="5" max="5" width="5.875" customWidth="1"/>
    <col min="6" max="6" width="8.875" customWidth="1"/>
    <col min="8" max="8" width="25.875" customWidth="1"/>
  </cols>
  <sheetData>
    <row r="1" spans="1:8" ht="21.4" thickBot="1">
      <c r="A1" s="82"/>
      <c r="B1" s="83" t="s">
        <v>307</v>
      </c>
      <c r="C1" s="96"/>
      <c r="F1" t="s">
        <v>236</v>
      </c>
      <c r="G1" t="s">
        <v>237</v>
      </c>
      <c r="H1" t="s">
        <v>235</v>
      </c>
    </row>
    <row r="2" spans="1:8" ht="18.75">
      <c r="A2" s="100">
        <v>1</v>
      </c>
      <c r="B2" s="117" t="s">
        <v>308</v>
      </c>
      <c r="C2" s="118"/>
      <c r="E2" s="95" cm="1">
        <f t="array" ref="E2">INDEX($A:$A,ROW(A1)*2)</f>
        <v>1</v>
      </c>
      <c r="F2" t="str" cm="1">
        <f t="array" ref="F2">INDEX($B:$B,ROW(A1)*2)&amp;INDEX($B:$B,ROW(A1)*2+1)</f>
        <v>3送会準備・リハ②</v>
      </c>
      <c r="G2" t="str" cm="1">
        <f t="array" ref="G2">INDEX($C:$C,ROW(B1)*2)&amp;INDEX($C:$C,ROW(B1)*2+1)</f>
        <v/>
      </c>
      <c r="H2" t="str">
        <f>IF(OR(F2="",G2="",TRIM(H1)=""),F2&amp;G2,F2&amp;"・"&amp;G2)</f>
        <v>3送会準備・リハ②</v>
      </c>
    </row>
    <row r="3" spans="1:8" ht="18.75">
      <c r="A3" s="100" t="s">
        <v>80</v>
      </c>
      <c r="B3" s="90"/>
      <c r="C3" s="114"/>
      <c r="E3" s="95" cm="1">
        <f t="array" ref="E3">INDEX($A:$A,ROW(A1)*2+2)</f>
        <v>2</v>
      </c>
      <c r="F3" t="str" cm="1">
        <f t="array" ref="F3">INDEX($B:$B,ROW(A2)*2)&amp;" "&amp;INDEX($B:$B,ROW(A2)*2+1)</f>
        <v xml:space="preserve">3年生を送る会 </v>
      </c>
      <c r="G3" t="str" cm="1">
        <f t="array" ref="G3">INDEX($C:$C,ROW(B2)*2)&amp;INDEX($C:$C,ROW(B2)*2+1)</f>
        <v/>
      </c>
      <c r="H3" t="str">
        <f t="shared" ref="H3:H33" si="0">IF(OR(F3="",G3="",TRIM(H2)=""),F3&amp;G3,F3&amp;"・"&amp;G3)</f>
        <v xml:space="preserve">3年生を送る会 </v>
      </c>
    </row>
    <row r="4" spans="1:8" ht="18.75">
      <c r="A4" s="98">
        <v>2</v>
      </c>
      <c r="B4" s="86" t="s">
        <v>309</v>
      </c>
      <c r="C4" s="119"/>
      <c r="E4" s="95" cm="1">
        <f t="array" ref="E4">INDEX($A:$A,ROW(A2)*2+2)</f>
        <v>3</v>
      </c>
      <c r="F4" t="str" cm="1">
        <f t="array" ref="F4">INDEX($B:$B,ROW(A3)*2)&amp;" "&amp;INDEX($B:$B,ROW(A3)*2+1)</f>
        <v xml:space="preserve"> </v>
      </c>
      <c r="G4" t="str" cm="1">
        <f t="array" ref="G4">INDEX($C:$C,ROW(B3)*2)&amp;INDEX($C:$C,ROW(B3)*2+1)</f>
        <v/>
      </c>
      <c r="H4" t="str">
        <f t="shared" si="0"/>
        <v xml:space="preserve"> </v>
      </c>
    </row>
    <row r="5" spans="1:8" ht="18.75">
      <c r="A5" s="100" t="s">
        <v>81</v>
      </c>
      <c r="B5" s="86"/>
      <c r="C5" s="120"/>
      <c r="E5" s="95" cm="1">
        <f t="array" ref="E5">INDEX($A:$A,ROW(A3)*2+2)</f>
        <v>4</v>
      </c>
      <c r="F5" t="str" cm="1">
        <f t="array" ref="F5">INDEX($B:$B,ROW(A4)*2)&amp;" "&amp;INDEX($B:$B,ROW(A4)*2+1)</f>
        <v xml:space="preserve">卒業式準備 </v>
      </c>
      <c r="G5" t="str" cm="1">
        <f t="array" ref="G5">INDEX($C:$C,ROW(B4)*2)&amp;INDEX($C:$C,ROW(B4)*2+1)</f>
        <v/>
      </c>
      <c r="H5" t="str">
        <f t="shared" si="0"/>
        <v xml:space="preserve">卒業式準備 </v>
      </c>
    </row>
    <row r="6" spans="1:8" ht="18.75">
      <c r="A6" s="98">
        <v>3</v>
      </c>
      <c r="B6" s="85"/>
      <c r="C6" s="114"/>
      <c r="E6" s="95" cm="1">
        <f t="array" ref="E6">INDEX($A:$A,ROW(A4)*2+2)</f>
        <v>5</v>
      </c>
      <c r="F6" t="str" cm="1">
        <f t="array" ref="F6">INDEX($B:$B,ROW(A5)*2)&amp;" "&amp;INDEX($B:$B,ROW(A5)*2+1)</f>
        <v xml:space="preserve">卒業式 </v>
      </c>
      <c r="G6" t="str" cm="1">
        <f t="array" ref="G6">INDEX($C:$C,ROW(B5)*2)&amp;INDEX($C:$C,ROW(B5)*2+1)</f>
        <v>定1･2年成績一覧表提出</v>
      </c>
      <c r="H6" t="str">
        <f t="shared" si="0"/>
        <v>卒業式 ・定1･2年成績一覧表提出</v>
      </c>
    </row>
    <row r="7" spans="1:8" ht="18.75">
      <c r="A7" s="100" t="s">
        <v>82</v>
      </c>
      <c r="B7" s="90"/>
      <c r="C7" s="114"/>
      <c r="E7" s="95" cm="1">
        <f t="array" ref="E7">INDEX($A:$A,ROW(A5)*2+2)</f>
        <v>6</v>
      </c>
      <c r="F7" t="str" cm="1">
        <f t="array" ref="F7">INDEX($B:$B,ROW(A6)*2)&amp;" "&amp;INDEX($B:$B,ROW(A6)*2+1)</f>
        <v xml:space="preserve"> </v>
      </c>
      <c r="G7" t="str" cm="1">
        <f t="array" ref="G7">INDEX($C:$C,ROW(B6)*2)&amp;INDEX($C:$C,ROW(B6)*2+1)</f>
        <v/>
      </c>
      <c r="H7" t="str">
        <f t="shared" si="0"/>
        <v xml:space="preserve"> </v>
      </c>
    </row>
    <row r="8" spans="1:8" ht="18.75">
      <c r="A8" s="98">
        <v>4</v>
      </c>
      <c r="B8" s="111" t="s">
        <v>310</v>
      </c>
      <c r="C8" s="89"/>
      <c r="E8" s="95" cm="1">
        <f t="array" ref="E8">INDEX($A:$A,ROW(A6)*2+2)</f>
        <v>7</v>
      </c>
      <c r="F8" t="str" cm="1">
        <f t="array" ref="F8">INDEX($B:$B,ROW(A7)*2)&amp;" "&amp;INDEX($B:$B,ROW(A7)*2+1)</f>
        <v xml:space="preserve"> </v>
      </c>
      <c r="G8" t="str" cm="1">
        <f t="array" ref="G8">INDEX($C:$C,ROW(B7)*2)&amp;INDEX($C:$C,ROW(B7)*2+1)</f>
        <v/>
      </c>
      <c r="H8" t="str">
        <f t="shared" si="0"/>
        <v xml:space="preserve"> </v>
      </c>
    </row>
    <row r="9" spans="1:8" ht="18.75">
      <c r="A9" s="100" t="s">
        <v>83</v>
      </c>
      <c r="B9" s="86"/>
      <c r="C9" s="114"/>
      <c r="E9" s="95" cm="1">
        <f t="array" ref="E9">INDEX($A:$A,ROW(A7)*2+2)</f>
        <v>8</v>
      </c>
      <c r="F9" t="str" cm="1">
        <f t="array" ref="F9">INDEX($B:$B,ROW(A8)*2)&amp;" "&amp;INDEX($B:$B,ROW(A8)*2+1)</f>
        <v xml:space="preserve"> 【公立一般合格発表】</v>
      </c>
      <c r="G9" t="str" cm="1">
        <f t="array" ref="G9">INDEX($C:$C,ROW(B8)*2)&amp;INDEX($C:$C,ROW(B8)*2+1)</f>
        <v>進認職11</v>
      </c>
      <c r="H9" t="str">
        <f t="shared" si="0"/>
        <v xml:space="preserve"> 【公立一般合格発表】進認職11</v>
      </c>
    </row>
    <row r="10" spans="1:8" ht="18.75">
      <c r="A10" s="98">
        <v>5</v>
      </c>
      <c r="B10" s="104" t="s">
        <v>311</v>
      </c>
      <c r="C10" s="89" t="s">
        <v>232</v>
      </c>
      <c r="E10" s="95" cm="1">
        <f t="array" ref="E10">INDEX($A:$A,ROW(A8)*2+2)</f>
        <v>9</v>
      </c>
      <c r="F10" t="str" cm="1">
        <f t="array" ref="F10">INDEX($B:$B,ROW(A9)*2)&amp;" "&amp;INDEX($B:$B,ROW(A9)*2+1)</f>
        <v>選挙管理委員会
　　　▼小中連絡会(汐路) 1･2年通知表（本）提出</v>
      </c>
      <c r="G10" t="str" cm="1">
        <f t="array" ref="G10">INDEX($C:$C,ROW(B9)*2)&amp;INDEX($C:$C,ROW(B9)*2+1)</f>
        <v/>
      </c>
      <c r="H10" t="str">
        <f t="shared" si="0"/>
        <v>選挙管理委員会
　　　▼小中連絡会(汐路) 1･2年通知表（本）提出</v>
      </c>
    </row>
    <row r="11" spans="1:8" ht="18.75">
      <c r="A11" s="100" t="s">
        <v>84</v>
      </c>
      <c r="B11" s="93"/>
      <c r="C11" s="121" t="s">
        <v>312</v>
      </c>
      <c r="E11" s="95" cm="1">
        <f t="array" ref="E11">INDEX($A:$A,ROW(A9)*2+2)</f>
        <v>10</v>
      </c>
      <c r="F11" t="str" cm="1">
        <f t="array" ref="F11">INDEX($B:$B,ROW(A10)*2)&amp;" "&amp;INDEX($B:$B,ROW(A10)*2+1)</f>
        <v xml:space="preserve"> </v>
      </c>
      <c r="G11" t="str" cm="1">
        <f t="array" ref="G11">INDEX($C:$C,ROW(B10)*2)&amp;INDEX($C:$C,ROW(B10)*2+1)</f>
        <v>▼小中連絡会(陽明)</v>
      </c>
      <c r="H11" t="str">
        <f t="shared" si="0"/>
        <v xml:space="preserve"> ・▼小中連絡会(陽明)</v>
      </c>
    </row>
    <row r="12" spans="1:8" ht="18.75">
      <c r="A12" s="101">
        <v>6</v>
      </c>
      <c r="B12" s="112"/>
      <c r="C12" s="115"/>
      <c r="E12" s="95" cm="1">
        <f t="array" ref="E12">INDEX($A:$A,ROW(A10)*2+2)</f>
        <v>11</v>
      </c>
      <c r="F12" t="str" cm="1">
        <f t="array" ref="F12">INDEX($B:$B,ROW(A11)*2)&amp;" "&amp;INDEX($B:$B,ROW(A11)*2+1)</f>
        <v>学年保護者会(2年) 立候補者連絡会</v>
      </c>
      <c r="G12" t="str" cm="1">
        <f t="array" ref="G12">INDEX($C:$C,ROW(B11)*2)&amp;INDEX($C:$C,ROW(B11)*2+1)</f>
        <v>委</v>
      </c>
      <c r="H12" t="str">
        <f t="shared" si="0"/>
        <v>学年保護者会(2年) 立候補者連絡会・委</v>
      </c>
    </row>
    <row r="13" spans="1:8" ht="18.75">
      <c r="A13" s="97" t="s">
        <v>85</v>
      </c>
      <c r="B13" s="122"/>
      <c r="C13" s="116"/>
      <c r="E13" s="95" cm="1">
        <f t="array" ref="E13">INDEX($A:$A,ROW(A11)*2+2)</f>
        <v>12</v>
      </c>
      <c r="F13" t="str" cm="1">
        <f t="array" ref="F13">INDEX($B:$B,ROW(A12)*2)&amp;" "&amp;INDEX($B:$B,ROW(A12)*2+1)</f>
        <v xml:space="preserve"> </v>
      </c>
      <c r="G13" t="str" cm="1">
        <f t="array" ref="G13">INDEX($C:$C,ROW(B12)*2)&amp;INDEX($C:$C,ROW(B12)*2+1)</f>
        <v>編1</v>
      </c>
      <c r="H13" t="str">
        <f t="shared" si="0"/>
        <v xml:space="preserve"> ・編1</v>
      </c>
    </row>
    <row r="14" spans="1:8" ht="18.75">
      <c r="A14" s="101">
        <v>7</v>
      </c>
      <c r="B14" s="92"/>
      <c r="C14" s="115"/>
      <c r="E14" s="95" cm="1">
        <f t="array" ref="E14">INDEX($A:$A,ROW(A12)*2+2)</f>
        <v>13</v>
      </c>
      <c r="F14" t="str" cm="1">
        <f t="array" ref="F14">INDEX($B:$B,ROW(A13)*2)&amp;" "&amp;INDEX($B:$B,ROW(A13)*2+1)</f>
        <v xml:space="preserve"> </v>
      </c>
      <c r="G14" t="str" cm="1">
        <f t="array" ref="G14">INDEX($C:$C,ROW(B13)*2)&amp;INDEX($C:$C,ROW(B13)*2+1)</f>
        <v/>
      </c>
      <c r="H14" t="str">
        <f t="shared" si="0"/>
        <v xml:space="preserve"> </v>
      </c>
    </row>
    <row r="15" spans="1:8" ht="18.75">
      <c r="A15" s="97" t="s">
        <v>86</v>
      </c>
      <c r="B15" s="91"/>
      <c r="C15" s="116"/>
      <c r="E15" s="95" cm="1">
        <f t="array" ref="E15">INDEX($A:$A,ROW(A13)*2+2)</f>
        <v>14</v>
      </c>
      <c r="F15" t="str" cm="1">
        <f t="array" ref="F15">INDEX($B:$B,ROW(A14)*2)&amp;" "&amp;INDEX($B:$B,ROW(A14)*2+1)</f>
        <v xml:space="preserve">ノー部活デー </v>
      </c>
      <c r="G15" t="str" cm="1">
        <f t="array" ref="G15">INDEX($C:$C,ROW(B14)*2)&amp;INDEX($C:$C,ROW(B14)*2+1)</f>
        <v/>
      </c>
      <c r="H15" t="str">
        <f t="shared" si="0"/>
        <v xml:space="preserve">ノー部活デー </v>
      </c>
    </row>
    <row r="16" spans="1:8" ht="18.75">
      <c r="A16" s="98">
        <v>8</v>
      </c>
      <c r="B16" s="104"/>
      <c r="C16" s="87" t="s">
        <v>313</v>
      </c>
      <c r="E16" s="95" cm="1">
        <f t="array" ref="E16">INDEX($A:$A,ROW(A14)*2+2)</f>
        <v>15</v>
      </c>
      <c r="F16" t="str" cm="1">
        <f t="array" ref="F16">INDEX($B:$B,ROW(A15)*2)&amp;" "&amp;INDEX($B:$B,ROW(A15)*2+1)</f>
        <v xml:space="preserve">立会演説会・選管 </v>
      </c>
      <c r="G16" t="str" cm="1">
        <f t="array" ref="G16">INDEX($C:$C,ROW(B15)*2)&amp;INDEX($C:$C,ROW(B15)*2+1)</f>
        <v>1･2年通知表（本）提出</v>
      </c>
      <c r="H16" t="str">
        <f t="shared" si="0"/>
        <v>立会演説会・選管 ・1･2年通知表（本）提出</v>
      </c>
    </row>
    <row r="17" spans="1:8" ht="18.75">
      <c r="A17" s="100" t="s">
        <v>80</v>
      </c>
      <c r="B17" s="123" t="s">
        <v>314</v>
      </c>
      <c r="C17" s="114" t="s">
        <v>315</v>
      </c>
      <c r="E17" s="95" cm="1">
        <f t="array" ref="E17">INDEX($A:$A,ROW(A15)*2+2)</f>
        <v>16</v>
      </c>
      <c r="F17" t="str" cm="1">
        <f t="array" ref="F17">INDEX($B:$B,ROW(A16)*2)&amp;" "&amp;INDEX($B:$B,ROW(A16)*2+1)</f>
        <v>R7生徒会オリ(リハ) 【全日制･定時制２次選抜】</v>
      </c>
      <c r="G17" t="str" cm="1">
        <f t="array" ref="G17">INDEX($C:$C,ROW(B16)*2)&amp;INDEX($C:$C,ROW(B16)*2+1)</f>
        <v/>
      </c>
      <c r="H17" t="str">
        <f t="shared" si="0"/>
        <v>R7生徒会オリ(リハ) 【全日制･定時制２次選抜】</v>
      </c>
    </row>
    <row r="18" spans="1:8" ht="18.75">
      <c r="A18" s="98">
        <v>9</v>
      </c>
      <c r="B18" s="330" t="s">
        <v>316</v>
      </c>
      <c r="C18" s="331"/>
      <c r="E18" s="95" cm="1">
        <f t="array" ref="E18">INDEX($A:$A,ROW(A16)*2+2)</f>
        <v>17</v>
      </c>
      <c r="F18" t="str" cm="1">
        <f t="array" ref="F18">INDEX($B:$B,ROW(A17)*2)&amp;" "&amp;INDEX($B:$B,ROW(A17)*2+1)</f>
        <v xml:space="preserve"> 【全日制･定時制２次合格発表】</v>
      </c>
      <c r="G18" t="str" cm="1">
        <f t="array" ref="G18">INDEX($C:$C,ROW(B17)*2)&amp;INDEX($C:$C,ROW(B17)*2+1)</f>
        <v/>
      </c>
      <c r="H18" t="str">
        <f t="shared" si="0"/>
        <v xml:space="preserve"> 【全日制･定時制２次合格発表】</v>
      </c>
    </row>
    <row r="19" spans="1:8" ht="18.75">
      <c r="A19" s="100" t="s">
        <v>81</v>
      </c>
      <c r="B19" s="332" t="s">
        <v>317</v>
      </c>
      <c r="C19" s="333"/>
      <c r="E19" s="95" cm="1">
        <f t="array" ref="E19">INDEX($A:$A,ROW(A17)*2+2)</f>
        <v>18</v>
      </c>
      <c r="F19" t="str" cm="1">
        <f t="array" ref="F19">INDEX($B:$B,ROW(A18)*2)&amp;" "&amp;INDEX($B:$B,ROW(A18)*2+1)</f>
        <v xml:space="preserve"> (小学校卒業式)</v>
      </c>
      <c r="G19" t="str" cm="1">
        <f t="array" ref="G19">INDEX($C:$C,ROW(B18)*2)&amp;INDEX($C:$C,ROW(B18)*2+1)</f>
        <v>編2</v>
      </c>
      <c r="H19" t="str">
        <f t="shared" si="0"/>
        <v xml:space="preserve"> (小学校卒業式)・編2</v>
      </c>
    </row>
    <row r="20" spans="1:8" ht="19.149999999999999" customHeight="1">
      <c r="A20" s="98">
        <v>10</v>
      </c>
      <c r="B20" s="124"/>
      <c r="C20" s="125"/>
      <c r="E20" s="95" cm="1">
        <f t="array" ref="E20">INDEX($A:$A,ROW(A18)*2+2)</f>
        <v>19</v>
      </c>
      <c r="F20" t="str" cm="1">
        <f t="array" ref="F20">INDEX($B:$B,ROW(A19)*2)&amp;" "&amp;INDEX($B:$B,ROW(A19)*2+1)</f>
        <v xml:space="preserve"> </v>
      </c>
      <c r="G20" t="str" cm="1">
        <f t="array" ref="G20">INDEX($C:$C,ROW(B19)*2)&amp;INDEX($C:$C,ROW(B19)*2+1)</f>
        <v>採</v>
      </c>
      <c r="H20" t="str">
        <f t="shared" si="0"/>
        <v xml:space="preserve"> ・採</v>
      </c>
    </row>
    <row r="21" spans="1:8" ht="18.75">
      <c r="A21" s="100" t="s">
        <v>82</v>
      </c>
      <c r="B21" s="113"/>
      <c r="C21" s="126" t="s">
        <v>318</v>
      </c>
      <c r="E21" s="95" cm="1">
        <f t="array" ref="E21">INDEX($A:$A,ROW(A19)*2+2)</f>
        <v>20</v>
      </c>
      <c r="F21" t="str" cm="1">
        <f t="array" ref="F21">INDEX($B:$B,ROW(A20)*2)&amp;" "&amp;INDEX($B:$B,ROW(A20)*2+1)</f>
        <v xml:space="preserve"> </v>
      </c>
      <c r="G21" t="str" cm="1">
        <f t="array" ref="G21">INDEX($C:$C,ROW(B20)*2)&amp;INDEX($C:$C,ROW(B20)*2+1)</f>
        <v/>
      </c>
      <c r="H21" t="str">
        <f t="shared" si="0"/>
        <v xml:space="preserve"> </v>
      </c>
    </row>
    <row r="22" spans="1:8" ht="18.75">
      <c r="A22" s="98">
        <v>11</v>
      </c>
      <c r="B22" s="88" t="s">
        <v>319</v>
      </c>
      <c r="C22" s="127"/>
      <c r="E22" s="95" cm="1">
        <f t="array" ref="E22">INDEX($A:$A,ROW(A20)*2+2)</f>
        <v>21</v>
      </c>
      <c r="F22" t="str" cm="1">
        <f t="array" ref="F22">INDEX($B:$B,ROW(A21)*2)&amp;" "&amp;INDEX($B:$B,ROW(A21)*2+1)</f>
        <v xml:space="preserve">春分の日 </v>
      </c>
      <c r="G22" t="str" cm="1">
        <f t="array" ref="G22">INDEX($C:$C,ROW(B21)*2)&amp;INDEX($C:$C,ROW(B21)*2+1)</f>
        <v/>
      </c>
      <c r="H22" t="str">
        <f t="shared" si="0"/>
        <v xml:space="preserve">春分の日 </v>
      </c>
    </row>
    <row r="23" spans="1:8" ht="18.75">
      <c r="A23" s="100" t="s">
        <v>83</v>
      </c>
      <c r="B23" s="93" t="s">
        <v>320</v>
      </c>
      <c r="C23" s="114" t="s">
        <v>234</v>
      </c>
      <c r="E23" s="95" cm="1">
        <f t="array" ref="E23">INDEX($A:$A,ROW(A21)*2+2)</f>
        <v>22</v>
      </c>
      <c r="F23" t="str" cm="1">
        <f t="array" ref="F23">INDEX($B:$B,ROW(A22)*2)&amp;" "&amp;INDEX($B:$B,ROW(A22)*2+1)</f>
        <v xml:space="preserve">日曜日祝日による休業日 </v>
      </c>
      <c r="G23" t="str" cm="1">
        <f t="array" ref="G23">INDEX($C:$C,ROW(B22)*2)&amp;INDEX($C:$C,ROW(B22)*2+1)</f>
        <v/>
      </c>
      <c r="H23" t="str">
        <f t="shared" si="0"/>
        <v xml:space="preserve">日曜日祝日による休業日 </v>
      </c>
    </row>
    <row r="24" spans="1:8" ht="18.75">
      <c r="A24" s="98">
        <v>12</v>
      </c>
      <c r="B24" s="99"/>
      <c r="C24" s="127" t="s">
        <v>321</v>
      </c>
      <c r="E24" s="95" cm="1">
        <f t="array" ref="E24">INDEX($A:$A,ROW(A22)*2+2)</f>
        <v>23</v>
      </c>
      <c r="F24" t="str" cm="1">
        <f t="array" ref="F24">INDEX($B:$B,ROW(A23)*2)&amp;" "&amp;INDEX($B:$B,ROW(A23)*2+1)</f>
        <v>大掃除 【通信制後期入試】</v>
      </c>
      <c r="G24" t="str" cm="1">
        <f t="array" ref="G24">INDEX($C:$C,ROW(B23)*2)&amp;INDEX($C:$C,ROW(B23)*2+1)</f>
        <v/>
      </c>
      <c r="H24" t="str">
        <f t="shared" si="0"/>
        <v>大掃除 【通信制後期入試】</v>
      </c>
    </row>
    <row r="25" spans="1:8" ht="18.75">
      <c r="A25" s="100" t="s">
        <v>84</v>
      </c>
      <c r="B25" s="110"/>
      <c r="C25" s="114"/>
      <c r="E25" s="95" cm="1">
        <f t="array" ref="E25">INDEX($A:$A,ROW(A23)*2+2)</f>
        <v>24</v>
      </c>
      <c r="F25" t="str" cm="1">
        <f t="array" ref="F25">INDEX($B:$B,ROW(A24)*2)&amp;" "&amp;INDEX($B:$B,ROW(A24)*2+1)</f>
        <v>修了式・離任式 【通信制後期合格発表】</v>
      </c>
      <c r="G25" t="str" cm="1">
        <f t="array" ref="G25">INDEX($C:$C,ROW(B24)*2)&amp;INDEX($C:$C,ROW(B24)*2+1)</f>
        <v/>
      </c>
      <c r="H25" t="str">
        <f t="shared" si="0"/>
        <v>修了式・離任式 【通信制後期合格発表】</v>
      </c>
    </row>
    <row r="26" spans="1:8" ht="18.75">
      <c r="A26" s="101">
        <v>13</v>
      </c>
      <c r="B26" s="128"/>
      <c r="C26" s="129"/>
      <c r="E26" s="95" cm="1">
        <f t="array" ref="E26">INDEX($A:$A,ROW(A24)*2+2)</f>
        <v>25</v>
      </c>
      <c r="F26" t="str" cm="1">
        <f t="array" ref="F26">INDEX($B:$B,ROW(A25)*2)&amp;" "&amp;INDEX($B:$B,ROW(A25)*2+1)</f>
        <v xml:space="preserve">学年末休業開始 </v>
      </c>
      <c r="G26" t="str" cm="1">
        <f t="array" ref="G26">INDEX($C:$C,ROW(B25)*2)&amp;INDEX($C:$C,ROW(B25)*2+1)</f>
        <v/>
      </c>
      <c r="H26" t="str">
        <f t="shared" si="0"/>
        <v xml:space="preserve">学年末休業開始 </v>
      </c>
    </row>
    <row r="27" spans="1:8" ht="18.75">
      <c r="A27" s="97" t="s">
        <v>85</v>
      </c>
      <c r="B27" s="91"/>
      <c r="C27" s="116"/>
      <c r="E27" s="95" cm="1">
        <f t="array" ref="E27">INDEX($A:$A,ROW(A25)*2+2)</f>
        <v>26</v>
      </c>
      <c r="F27" t="str" cm="1">
        <f t="array" ref="F27">INDEX($B:$B,ROW(A26)*2)&amp;" "&amp;INDEX($B:$B,ROW(A26)*2+1)</f>
        <v xml:space="preserve"> </v>
      </c>
      <c r="G27" t="str" cm="1">
        <f t="array" ref="G27">INDEX($C:$C,ROW(B26)*2)&amp;INDEX($C:$C,ROW(B26)*2+1)</f>
        <v>旧運</v>
      </c>
      <c r="H27" t="str">
        <f t="shared" si="0"/>
        <v xml:space="preserve"> ・旧運</v>
      </c>
    </row>
    <row r="28" spans="1:8" ht="18.75">
      <c r="A28" s="101">
        <v>14</v>
      </c>
      <c r="B28" s="130" t="s">
        <v>233</v>
      </c>
      <c r="C28" s="115"/>
      <c r="E28" s="95" cm="1">
        <f t="array" ref="E28">INDEX($A:$A,ROW(A26)*2+2)</f>
        <v>27</v>
      </c>
      <c r="F28" t="str" cm="1">
        <f t="array" ref="F28">INDEX($B:$B,ROW(A27)*2)&amp;" "&amp;INDEX($B:$B,ROW(A27)*2+1)</f>
        <v xml:space="preserve"> </v>
      </c>
      <c r="G28" t="str" cm="1">
        <f t="array" ref="G28">INDEX($C:$C,ROW(B27)*2)&amp;INDEX($C:$C,ROW(B27)*2+1)</f>
        <v/>
      </c>
      <c r="H28" t="str">
        <f t="shared" si="0"/>
        <v xml:space="preserve"> </v>
      </c>
    </row>
    <row r="29" spans="1:8" ht="18.75">
      <c r="A29" s="97" t="s">
        <v>86</v>
      </c>
      <c r="B29" s="84"/>
      <c r="C29" s="116"/>
      <c r="E29" s="95" cm="1">
        <f t="array" ref="E29">INDEX($A:$A,ROW(A27)*2+2)</f>
        <v>28</v>
      </c>
      <c r="F29" t="str" cm="1">
        <f t="array" ref="F29">INDEX($B:$B,ROW(A28)*2)&amp;" "&amp;INDEX($B:$B,ROW(A28)*2+1)</f>
        <v xml:space="preserve"> </v>
      </c>
      <c r="G29" t="str" cm="1">
        <f t="array" ref="G29">INDEX($C:$C,ROW(B28)*2)&amp;INDEX($C:$C,ROW(B28)*2+1)</f>
        <v/>
      </c>
      <c r="H29" t="str">
        <f t="shared" si="0"/>
        <v xml:space="preserve"> </v>
      </c>
    </row>
    <row r="30" spans="1:8" ht="18.75">
      <c r="A30" s="98">
        <v>15</v>
      </c>
      <c r="B30" s="88" t="s">
        <v>322</v>
      </c>
      <c r="C30" s="87"/>
      <c r="E30" s="95" cm="1">
        <f t="array" ref="E30">INDEX($A:$A,ROW(A28)*2+2)</f>
        <v>29</v>
      </c>
      <c r="F30" t="str" cm="1">
        <f t="array" ref="F30">INDEX($B:$B,ROW(A29)*2)&amp;" "&amp;INDEX($B:$B,ROW(A29)*2+1)</f>
        <v xml:space="preserve"> </v>
      </c>
      <c r="G30" t="str" cm="1">
        <f t="array" ref="G30">INDEX($C:$C,ROW(B29)*2)&amp;INDEX($C:$C,ROW(B29)*2+1)</f>
        <v/>
      </c>
      <c r="H30" t="str">
        <f t="shared" si="0"/>
        <v xml:space="preserve"> </v>
      </c>
    </row>
    <row r="31" spans="1:8" ht="18.75">
      <c r="A31" s="100" t="s">
        <v>80</v>
      </c>
      <c r="B31" s="93"/>
      <c r="C31" s="131" t="s">
        <v>323</v>
      </c>
      <c r="E31" s="95" cm="1">
        <f t="array" ref="E31">INDEX($A:$A,ROW(A29)*2+2)</f>
        <v>30</v>
      </c>
      <c r="F31" t="str" cm="1">
        <f t="array" ref="F31">INDEX($B:$B,ROW(A30)*2)&amp;" "&amp;INDEX($B:$B,ROW(A30)*2+1)</f>
        <v xml:space="preserve"> </v>
      </c>
      <c r="G31" t="str" cm="1">
        <f t="array" ref="G31">INDEX($C:$C,ROW(B30)*2)&amp;INDEX($C:$C,ROW(B30)*2+1)</f>
        <v/>
      </c>
      <c r="H31" t="str">
        <f t="shared" si="0"/>
        <v xml:space="preserve"> </v>
      </c>
    </row>
    <row r="32" spans="1:8" ht="18.75">
      <c r="A32" s="98">
        <v>16</v>
      </c>
      <c r="B32" s="102" t="s">
        <v>324</v>
      </c>
      <c r="C32" s="87"/>
      <c r="E32" s="95" cm="1">
        <f t="array" ref="E32">INDEX($A:$A,ROW(A30)*2+2)</f>
        <v>31</v>
      </c>
      <c r="F32" t="str" cm="1">
        <f t="array" ref="F32">INDEX($B:$B,ROW(A31)*2)&amp;" "&amp;INDEX($B:$B,ROW(A31)*2+1)</f>
        <v xml:space="preserve"> </v>
      </c>
      <c r="G32" t="str" cm="1">
        <f t="array" ref="G32">INDEX($C:$C,ROW(B31)*2)&amp;INDEX($C:$C,ROW(B31)*2+1)</f>
        <v/>
      </c>
      <c r="H32" t="str">
        <f t="shared" si="0"/>
        <v xml:space="preserve"> </v>
      </c>
    </row>
    <row r="33" spans="1:8" ht="19.149999999999999" customHeight="1">
      <c r="A33" s="100" t="s">
        <v>81</v>
      </c>
      <c r="B33" s="334" t="s">
        <v>325</v>
      </c>
      <c r="C33" s="335"/>
      <c r="E33" s="95"/>
      <c r="G33" t="str" cm="1">
        <f t="array" ref="G33">INDEX($C:$C,ROW(B32)*2)&amp;INDEX($C:$C,ROW(B32)*2+1)</f>
        <v/>
      </c>
      <c r="H33" t="str">
        <f t="shared" si="0"/>
        <v/>
      </c>
    </row>
    <row r="34" spans="1:8" ht="18.75">
      <c r="A34" s="98">
        <v>17</v>
      </c>
      <c r="B34" s="99"/>
      <c r="C34" s="114"/>
      <c r="E34" s="95"/>
    </row>
    <row r="35" spans="1:8" ht="18.75">
      <c r="A35" s="100" t="s">
        <v>82</v>
      </c>
      <c r="B35" s="334" t="s">
        <v>326</v>
      </c>
      <c r="C35" s="335"/>
      <c r="E35" s="95"/>
    </row>
    <row r="36" spans="1:8" ht="18.75">
      <c r="A36" s="98">
        <v>18</v>
      </c>
      <c r="B36" s="105"/>
      <c r="C36" s="114" t="s">
        <v>327</v>
      </c>
      <c r="E36" s="95"/>
    </row>
    <row r="37" spans="1:8" ht="18.75">
      <c r="A37" s="100" t="s">
        <v>83</v>
      </c>
      <c r="B37" s="86" t="s">
        <v>328</v>
      </c>
      <c r="C37" s="114"/>
      <c r="E37" s="95"/>
    </row>
    <row r="38" spans="1:8" ht="18.75">
      <c r="A38" s="98">
        <v>19</v>
      </c>
      <c r="B38" s="105"/>
      <c r="C38" s="132" t="s">
        <v>329</v>
      </c>
      <c r="E38" s="95"/>
    </row>
    <row r="39" spans="1:8" ht="18.75">
      <c r="A39" s="100" t="s">
        <v>84</v>
      </c>
      <c r="B39" s="334"/>
      <c r="C39" s="335"/>
      <c r="E39" s="95"/>
    </row>
    <row r="40" spans="1:8" ht="18.75">
      <c r="A40" s="101">
        <v>20</v>
      </c>
      <c r="B40" s="92"/>
      <c r="C40" s="115"/>
      <c r="E40" s="95"/>
    </row>
    <row r="41" spans="1:8" ht="18.75">
      <c r="A41" s="97" t="s">
        <v>85</v>
      </c>
      <c r="B41" s="91"/>
      <c r="C41" s="116"/>
      <c r="E41" s="95"/>
    </row>
    <row r="42" spans="1:8" ht="18.75">
      <c r="A42" s="101">
        <v>21</v>
      </c>
      <c r="B42" s="92" t="s">
        <v>330</v>
      </c>
      <c r="C42" s="115"/>
      <c r="E42" s="95"/>
    </row>
    <row r="43" spans="1:8" ht="18.75">
      <c r="A43" s="97" t="s">
        <v>86</v>
      </c>
      <c r="B43" s="84"/>
      <c r="C43" s="116"/>
      <c r="E43" s="95"/>
    </row>
    <row r="44" spans="1:8" ht="18.75">
      <c r="A44" s="101">
        <v>22</v>
      </c>
      <c r="B44" s="128" t="s">
        <v>127</v>
      </c>
      <c r="C44" s="115"/>
      <c r="E44" s="95"/>
    </row>
    <row r="45" spans="1:8" ht="18.75">
      <c r="A45" s="97" t="s">
        <v>80</v>
      </c>
      <c r="B45" s="84"/>
      <c r="C45" s="116"/>
      <c r="E45" s="95"/>
    </row>
    <row r="46" spans="1:8" ht="18.75">
      <c r="A46" s="98">
        <v>23</v>
      </c>
      <c r="B46" s="105" t="s">
        <v>331</v>
      </c>
      <c r="C46" s="127"/>
      <c r="E46" s="95"/>
    </row>
    <row r="47" spans="1:8" ht="18.75">
      <c r="A47" s="100" t="s">
        <v>81</v>
      </c>
      <c r="B47" s="94" t="s">
        <v>332</v>
      </c>
      <c r="C47" s="114"/>
      <c r="E47" s="95"/>
    </row>
    <row r="48" spans="1:8" ht="18.75">
      <c r="A48" s="98">
        <v>24</v>
      </c>
      <c r="B48" s="104" t="s">
        <v>333</v>
      </c>
      <c r="C48" s="87"/>
      <c r="E48" s="95"/>
    </row>
    <row r="49" spans="1:6" ht="19.149999999999999" customHeight="1">
      <c r="A49" s="100" t="s">
        <v>82</v>
      </c>
      <c r="B49" s="94" t="s">
        <v>334</v>
      </c>
      <c r="C49" s="114"/>
      <c r="E49" s="95"/>
    </row>
    <row r="50" spans="1:6" ht="18.75">
      <c r="A50" s="98">
        <v>25</v>
      </c>
      <c r="B50" s="104" t="s">
        <v>335</v>
      </c>
      <c r="C50" s="87"/>
      <c r="E50" s="95"/>
    </row>
    <row r="51" spans="1:6" ht="19.149999999999999" customHeight="1">
      <c r="A51" s="100" t="s">
        <v>83</v>
      </c>
      <c r="B51" s="86"/>
      <c r="C51" s="114"/>
      <c r="E51" s="95"/>
    </row>
    <row r="52" spans="1:6" ht="18.75">
      <c r="A52" s="98">
        <v>26</v>
      </c>
      <c r="B52" s="104"/>
      <c r="C52" s="87" t="s">
        <v>336</v>
      </c>
      <c r="E52" s="95"/>
    </row>
    <row r="53" spans="1:6" ht="19.149999999999999" customHeight="1">
      <c r="A53" s="100" t="s">
        <v>84</v>
      </c>
      <c r="B53" s="103"/>
      <c r="C53" s="114"/>
      <c r="E53" s="95"/>
    </row>
    <row r="54" spans="1:6" ht="18.75">
      <c r="A54" s="101">
        <v>27</v>
      </c>
      <c r="B54" s="92"/>
      <c r="C54" s="133"/>
      <c r="E54" s="95"/>
    </row>
    <row r="55" spans="1:6" ht="18.75">
      <c r="A55" s="97" t="s">
        <v>85</v>
      </c>
      <c r="B55" s="91"/>
      <c r="C55" s="116"/>
      <c r="E55" s="95"/>
    </row>
    <row r="56" spans="1:6" ht="18.75">
      <c r="A56" s="101">
        <v>28</v>
      </c>
      <c r="B56" s="92"/>
      <c r="C56" s="115"/>
      <c r="E56" s="95"/>
    </row>
    <row r="57" spans="1:6" ht="18.75">
      <c r="A57" s="97" t="s">
        <v>86</v>
      </c>
      <c r="B57" s="91"/>
      <c r="C57" s="116"/>
      <c r="E57" s="95"/>
    </row>
    <row r="58" spans="1:6" ht="18.75">
      <c r="A58" s="98">
        <v>29</v>
      </c>
      <c r="B58" s="104"/>
      <c r="C58" s="87"/>
      <c r="F58" t="str" cm="1">
        <f t="array" ref="F58">INDEX($B:$B,ROW(A57)*2)&amp;" "&amp;INDEX($B:$B,ROW(A57)*2+1)</f>
        <v xml:space="preserve"> </v>
      </c>
    </row>
    <row r="59" spans="1:6" ht="18.75">
      <c r="A59" s="100" t="s">
        <v>80</v>
      </c>
      <c r="B59" s="103"/>
      <c r="C59" s="114"/>
      <c r="F59" t="str" cm="1">
        <f t="array" ref="F59">INDEX($B:$B,ROW(A58)*2)&amp;" "&amp;INDEX($B:$B,ROW(A58)*2+1)</f>
        <v xml:space="preserve"> </v>
      </c>
    </row>
    <row r="60" spans="1:6" ht="18.75">
      <c r="A60" s="98">
        <v>30</v>
      </c>
      <c r="B60" s="99"/>
      <c r="C60" s="134"/>
      <c r="F60" t="str" cm="1">
        <f t="array" ref="F60">INDEX($B:$B,ROW(A59)*2)&amp;" "&amp;INDEX($B:$B,ROW(A59)*2+1)</f>
        <v xml:space="preserve"> </v>
      </c>
    </row>
    <row r="61" spans="1:6" ht="18.75">
      <c r="A61" s="100" t="s">
        <v>81</v>
      </c>
      <c r="B61" s="106"/>
      <c r="C61" s="135"/>
      <c r="F61" t="str" cm="1">
        <f t="array" ref="F61">INDEX($B:$B,ROW(A60)*2)&amp;" "&amp;INDEX($B:$B,ROW(A60)*2+1)</f>
        <v xml:space="preserve"> </v>
      </c>
    </row>
    <row r="62" spans="1:6" ht="18.75">
      <c r="A62" s="98">
        <v>31</v>
      </c>
      <c r="B62" s="107"/>
      <c r="C62" s="114"/>
      <c r="F62" t="str" cm="1">
        <f t="array" ref="F62">INDEX($B:$B,ROW(A61)*2)&amp;" "&amp;INDEX($B:$B,ROW(A61)*2+1)</f>
        <v xml:space="preserve"> </v>
      </c>
    </row>
    <row r="63" spans="1:6" ht="19.149999999999999" thickBot="1">
      <c r="A63" s="109" t="s">
        <v>82</v>
      </c>
      <c r="B63" s="108"/>
      <c r="C63" s="136"/>
      <c r="F63" t="str" cm="1">
        <f t="array" ref="F63">INDEX($B:$B,ROW(A62)*2)&amp;" "&amp;INDEX($B:$B,ROW(A62)*2+1)</f>
        <v xml:space="preserve"> </v>
      </c>
    </row>
  </sheetData>
  <mergeCells count="5">
    <mergeCell ref="B18:C18"/>
    <mergeCell ref="B19:C19"/>
    <mergeCell ref="B35:C35"/>
    <mergeCell ref="B39:C39"/>
    <mergeCell ref="B33:C3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年計</vt:lpstr>
      <vt:lpstr>合計</vt:lpstr>
      <vt:lpstr>年計から貼り付け</vt:lpstr>
      <vt:lpstr>合計!Print_Area</vt:lpstr>
      <vt:lpstr>年計!Print_Area</vt:lpstr>
    </vt:vector>
  </TitlesOfParts>
  <Company>名古屋市教育委員会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佐野 嘉昭</cp:lastModifiedBy>
  <cp:lastPrinted>2026-07-31T02:36:54Z</cp:lastPrinted>
  <dcterms:created xsi:type="dcterms:W3CDTF">2020-05-07T06:53:50Z</dcterms:created>
  <dcterms:modified xsi:type="dcterms:W3CDTF">2026-09-24T08:22:53Z</dcterms:modified>
</cp:coreProperties>
</file>