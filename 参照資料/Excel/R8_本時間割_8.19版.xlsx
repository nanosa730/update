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172.24.46.242\校務共有_汐路中学校\5_一般\1教務庶務\★時間割\☆R8\"/>
    </mc:Choice>
  </mc:AlternateContent>
  <xr:revisionPtr revIDLastSave="0" documentId="13_ncr:1_{EEE631CA-DE86-4A20-9954-0827FAF12E04}" xr6:coauthVersionLast="47" xr6:coauthVersionMax="47" xr10:uidLastSave="{00000000-0000-0000-0000-000000000000}"/>
  <bookViews>
    <workbookView xWindow="-110" yWindow="-110" windowWidth="19420" windowHeight="10300" xr2:uid="{00000000-000D-0000-FFFF-FFFF00000000}"/>
  </bookViews>
  <sheets>
    <sheet name="教科担任別一覧" sheetId="13" r:id="rId1"/>
    <sheet name="クラス別一覧（入力）" sheetId="2" r:id="rId2"/>
    <sheet name="一覧" sheetId="3" r:id="rId3"/>
    <sheet name="担任別" sheetId="4" r:id="rId4"/>
    <sheet name="クラス別" sheetId="5" r:id="rId5"/>
    <sheet name="クラス別Ａ４印刷" sheetId="6" r:id="rId6"/>
    <sheet name="事前アンケート" sheetId="7" r:id="rId7"/>
    <sheet name="スケジュール" sheetId="8" r:id="rId8"/>
    <sheet name="その他メモ" sheetId="9" r:id="rId9"/>
    <sheet name="仮時間割完成のご案内 " sheetId="10" r:id="rId10"/>
    <sheet name="第①案のご案内 (2)" sheetId="11" r:id="rId11"/>
    <sheet name="第①案のご案内" sheetId="12" r:id="rId12"/>
    <sheet name="Sheet1" sheetId="14" r:id="rId13"/>
  </sheets>
  <definedNames>
    <definedName name="_xlnm._FilterDatabase" localSheetId="2" hidden="1">一覧!$D$26:$AG$61</definedName>
    <definedName name="_xlnm.Print_Area" localSheetId="12">Sheet1!$B$3:$AL$51</definedName>
    <definedName name="_xlnm.Print_Area" localSheetId="5">クラス別Ａ４印刷!$B$2:$G$10</definedName>
    <definedName name="_xlnm.Print_Area" localSheetId="1">'クラス別一覧（入力）'!$B$3:$AK$29</definedName>
    <definedName name="_xlnm.Print_Area" localSheetId="7">スケジュール!$F$2:$AH$66</definedName>
    <definedName name="_xlnm.Print_Area" localSheetId="2">一覧!$C$2:$AG$62</definedName>
    <definedName name="_xlnm.Print_Area" localSheetId="9">'仮時間割完成のご案内 '!$A$1:$AE$16</definedName>
    <definedName name="_xlnm.Print_Area" localSheetId="0">教科担任別一覧!$B$3:$AL$51</definedName>
    <definedName name="_xlnm.Print_Area" localSheetId="6">事前アンケート!$E$1:$DX$63</definedName>
    <definedName name="_xlnm.Print_Area" localSheetId="11">第①案のご案内!$A$1:$AE$16</definedName>
    <definedName name="_xlnm.Print_Area" localSheetId="10">'第①案のご案内 (2)'!$A$1:$AE$16</definedName>
    <definedName name="Z_588B52CB_128D_4476_A8D0_8A203A5F17F0_.wvu.FilterData" localSheetId="2" hidden="1">一覧!$D$26:$AG$61</definedName>
    <definedName name="Z_588B52CB_128D_4476_A8D0_8A203A5F17F0_.wvu.PrintArea" localSheetId="5" hidden="1">クラス別Ａ４印刷!$B$2:$G$10</definedName>
    <definedName name="Z_588B52CB_128D_4476_A8D0_8A203A5F17F0_.wvu.PrintArea" localSheetId="1" hidden="1">'クラス別一覧（入力）'!$B$3:$AK$29</definedName>
    <definedName name="Z_588B52CB_128D_4476_A8D0_8A203A5F17F0_.wvu.PrintArea" localSheetId="7" hidden="1">スケジュール!$F$2:$AH$66</definedName>
    <definedName name="Z_588B52CB_128D_4476_A8D0_8A203A5F17F0_.wvu.PrintArea" localSheetId="2" hidden="1">一覧!$C$2:$AG$62</definedName>
    <definedName name="Z_588B52CB_128D_4476_A8D0_8A203A5F17F0_.wvu.PrintArea" localSheetId="9" hidden="1">'仮時間割完成のご案内 '!$A$1:$AE$16</definedName>
    <definedName name="Z_588B52CB_128D_4476_A8D0_8A203A5F17F0_.wvu.PrintArea" localSheetId="0" hidden="1">Sheet1!$B$3:$AL$51</definedName>
    <definedName name="Z_588B52CB_128D_4476_A8D0_8A203A5F17F0_.wvu.PrintArea" localSheetId="6" hidden="1">事前アンケート!$E$1:$DX$63</definedName>
    <definedName name="Z_588B52CB_128D_4476_A8D0_8A203A5F17F0_.wvu.PrintArea" localSheetId="11" hidden="1">第①案のご案内!$A$1:$AE$16</definedName>
    <definedName name="Z_588B52CB_128D_4476_A8D0_8A203A5F17F0_.wvu.PrintArea" localSheetId="10" hidden="1">'第①案のご案内 (2)'!$A$1:$AE$16</definedName>
    <definedName name="Z_588B52CB_128D_4476_A8D0_8A203A5F17F0_.wvu.Rows" localSheetId="1" hidden="1">'クラス別一覧（入力）'!$4:$4,'クラス別一覧（入力）'!$21:$21</definedName>
    <definedName name="Z_588B52CB_128D_4476_A8D0_8A203A5F17F0_.wvu.Rows" localSheetId="2" hidden="1">一覧!$17:$17,一覧!$22:$22,一覧!#REF!,一覧!$45:$45,一覧!#REF!</definedName>
  </definedNames>
  <calcPr calcId="191029"/>
  <customWorkbookViews>
    <customWorkbookView name="Administrator - 個人用ビュー" guid="{588B52CB-128D-4476-A8D0-8A203A5F17F0}" mergeInterval="0" personalView="1" maximized="1" xWindow="-8" yWindow="-8" windowWidth="1382" windowHeight="7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50" i="13" l="1"/>
  <c r="AL49" i="13"/>
  <c r="AL48" i="13"/>
  <c r="AL47" i="13"/>
  <c r="AL46" i="13"/>
  <c r="AL45" i="13"/>
  <c r="AL44" i="13"/>
  <c r="AL43" i="13"/>
  <c r="AL42" i="13"/>
  <c r="AL41" i="13"/>
  <c r="AL40" i="13"/>
  <c r="AL39" i="13"/>
  <c r="AL38" i="13"/>
  <c r="AL37" i="13"/>
  <c r="AL36" i="13"/>
  <c r="AL35" i="13"/>
  <c r="AL34" i="13"/>
  <c r="AL33" i="13"/>
  <c r="AL32" i="13"/>
  <c r="AL31" i="13"/>
  <c r="AL30" i="13"/>
  <c r="AL29" i="13"/>
  <c r="AL28" i="13"/>
  <c r="AL27" i="13"/>
  <c r="AL26" i="13"/>
  <c r="AL25" i="13"/>
  <c r="AL24" i="13"/>
  <c r="AL23" i="13"/>
  <c r="AL22" i="13"/>
  <c r="AL21" i="13"/>
  <c r="AL20" i="13"/>
  <c r="AL19" i="13"/>
  <c r="AL18" i="13"/>
  <c r="AL17" i="13"/>
  <c r="AL16" i="13"/>
  <c r="AL15" i="13"/>
  <c r="AL14" i="13"/>
  <c r="AL13" i="13"/>
  <c r="AL12" i="13"/>
  <c r="AL11" i="13"/>
  <c r="AL10" i="13"/>
  <c r="AL9" i="13"/>
  <c r="AL8" i="13"/>
  <c r="CE7" i="13"/>
  <c r="AL7" i="13"/>
  <c r="AD3" i="13"/>
  <c r="AD3" i="14"/>
  <c r="AL7" i="14"/>
  <c r="CE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39" i="14"/>
  <c r="AL40" i="14"/>
  <c r="AL41" i="14"/>
  <c r="AL42" i="14"/>
  <c r="AL43" i="14"/>
  <c r="AL44" i="14"/>
  <c r="AL45" i="14"/>
  <c r="AL46" i="14"/>
  <c r="AL47" i="14"/>
  <c r="AL48" i="14"/>
  <c r="AL49" i="14"/>
  <c r="AL50" i="14"/>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C61"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AG9" i="3"/>
  <c r="AF9" i="3"/>
  <c r="AE9" i="3"/>
  <c r="AD9" i="3"/>
  <c r="AC9" i="3"/>
  <c r="AB9" i="3"/>
  <c r="AA9" i="3"/>
  <c r="Z9" i="3"/>
  <c r="Y9" i="3"/>
  <c r="X9" i="3"/>
  <c r="W9" i="3"/>
  <c r="V9" i="3"/>
  <c r="U9" i="3"/>
  <c r="T9" i="3"/>
  <c r="S9" i="3"/>
  <c r="R9" i="3"/>
  <c r="Q9" i="3"/>
  <c r="P9" i="3"/>
  <c r="O9" i="3"/>
  <c r="N9" i="3"/>
  <c r="M9" i="3"/>
  <c r="L9" i="3"/>
  <c r="K9" i="3"/>
  <c r="J9" i="3"/>
  <c r="I9" i="3"/>
  <c r="H9" i="3"/>
  <c r="G9" i="3"/>
  <c r="F9" i="3"/>
  <c r="E9" i="3"/>
  <c r="AG8" i="3"/>
  <c r="AF8" i="3"/>
  <c r="AE8" i="3"/>
  <c r="AD8" i="3"/>
  <c r="AC8" i="3"/>
  <c r="AB8" i="3"/>
  <c r="AA8" i="3"/>
  <c r="Z8" i="3"/>
  <c r="Y8" i="3"/>
  <c r="X8" i="3"/>
  <c r="W8" i="3"/>
  <c r="V8" i="3"/>
  <c r="U8" i="3"/>
  <c r="T8" i="3"/>
  <c r="S8" i="3"/>
  <c r="R8" i="3"/>
  <c r="Q8" i="3"/>
  <c r="P8" i="3"/>
  <c r="O8" i="3"/>
  <c r="N8" i="3"/>
  <c r="M8" i="3"/>
  <c r="L8" i="3"/>
  <c r="K8" i="3"/>
  <c r="J8" i="3"/>
  <c r="I8" i="3"/>
  <c r="H8" i="3"/>
  <c r="G8" i="3"/>
  <c r="F8" i="3"/>
  <c r="E8" i="3"/>
  <c r="AG7" i="3"/>
  <c r="AF7" i="3"/>
  <c r="AE7" i="3"/>
  <c r="AD7" i="3"/>
  <c r="AC7" i="3"/>
  <c r="AB7" i="3"/>
  <c r="AA7" i="3"/>
  <c r="Z7" i="3"/>
  <c r="Y7" i="3"/>
  <c r="X7" i="3"/>
  <c r="W7" i="3"/>
  <c r="V7" i="3"/>
  <c r="U7" i="3"/>
  <c r="T7" i="3"/>
  <c r="S7" i="3"/>
  <c r="R7" i="3"/>
  <c r="Q7" i="3"/>
  <c r="P7" i="3"/>
  <c r="O7" i="3"/>
  <c r="N7" i="3"/>
  <c r="M7" i="3"/>
  <c r="L7" i="3"/>
  <c r="K7" i="3"/>
  <c r="J7" i="3"/>
  <c r="I7" i="3"/>
  <c r="H7" i="3"/>
  <c r="G7" i="3"/>
  <c r="F7" i="3"/>
  <c r="E7" i="3"/>
  <c r="AG6" i="3"/>
  <c r="AF6" i="3"/>
  <c r="AE6" i="3"/>
  <c r="AD6" i="3"/>
  <c r="AC6" i="3"/>
  <c r="AB6" i="3"/>
  <c r="AA6" i="3"/>
  <c r="Z6" i="3"/>
  <c r="Y6" i="3"/>
  <c r="X6" i="3"/>
  <c r="W6" i="3"/>
  <c r="V6" i="3"/>
  <c r="U6" i="3"/>
  <c r="T6" i="3"/>
  <c r="S6" i="3"/>
  <c r="R6" i="3"/>
  <c r="Q6" i="3"/>
  <c r="P6" i="3"/>
  <c r="O6" i="3"/>
  <c r="N6" i="3"/>
  <c r="M6" i="3"/>
  <c r="L6" i="3"/>
  <c r="K6" i="3"/>
  <c r="J6" i="3"/>
  <c r="I6" i="3"/>
  <c r="H6" i="3"/>
  <c r="G6" i="3"/>
  <c r="F6" i="3"/>
  <c r="E6" i="3"/>
  <c r="AG59" i="3" l="1"/>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C23" i="3"/>
  <c r="C22" i="3"/>
  <c r="C21" i="3"/>
  <c r="C20" i="3"/>
  <c r="C19" i="3"/>
  <c r="C18" i="3"/>
  <c r="C17" i="3"/>
  <c r="C16" i="3"/>
  <c r="C15" i="3"/>
  <c r="C14" i="3"/>
  <c r="C13" i="3"/>
  <c r="C12" i="3"/>
  <c r="C11" i="3"/>
  <c r="C10" i="3"/>
  <c r="C9" i="3"/>
  <c r="C8" i="3"/>
  <c r="C7" i="3"/>
  <c r="C6" i="3"/>
  <c r="M59" i="5" l="1"/>
  <c r="L59" i="5"/>
  <c r="K59" i="5"/>
  <c r="J59" i="5"/>
  <c r="I59" i="5"/>
  <c r="M58" i="5"/>
  <c r="L58" i="5"/>
  <c r="K58" i="5"/>
  <c r="J58" i="5"/>
  <c r="I58" i="5"/>
  <c r="M57" i="5"/>
  <c r="L57" i="5"/>
  <c r="K57" i="5"/>
  <c r="J57" i="5"/>
  <c r="I57" i="5"/>
  <c r="M56" i="5"/>
  <c r="L56" i="5"/>
  <c r="K56" i="5"/>
  <c r="J56" i="5"/>
  <c r="I56" i="5"/>
  <c r="M55" i="5"/>
  <c r="L55" i="5"/>
  <c r="K55" i="5"/>
  <c r="J55" i="5"/>
  <c r="I55" i="5"/>
  <c r="M54" i="5"/>
  <c r="L54" i="5"/>
  <c r="K54" i="5"/>
  <c r="J54" i="5"/>
  <c r="I54" i="5"/>
  <c r="B35" i="5"/>
  <c r="C2" i="3" l="1"/>
  <c r="H11" i="4"/>
  <c r="AF3" i="2"/>
  <c r="C2" i="6" l="1"/>
  <c r="J36" i="5" l="1"/>
  <c r="C10" i="6"/>
  <c r="G10" i="6"/>
  <c r="G9" i="6"/>
  <c r="G8" i="6"/>
  <c r="G7" i="6"/>
  <c r="G6" i="6"/>
  <c r="G5" i="6"/>
  <c r="F10" i="6"/>
  <c r="F9" i="6"/>
  <c r="F8" i="6"/>
  <c r="F7" i="6"/>
  <c r="F6" i="6"/>
  <c r="F5" i="6"/>
  <c r="E10" i="6"/>
  <c r="E9" i="6"/>
  <c r="E8" i="6"/>
  <c r="E7" i="6"/>
  <c r="E6" i="6"/>
  <c r="E5" i="6"/>
  <c r="D10" i="6"/>
  <c r="D9" i="6"/>
  <c r="D8" i="6"/>
  <c r="D7" i="6"/>
  <c r="D6" i="6"/>
  <c r="D5" i="6"/>
  <c r="C5" i="6"/>
  <c r="F59" i="5"/>
  <c r="E59" i="5"/>
  <c r="D59" i="5"/>
  <c r="C59" i="5"/>
  <c r="B59" i="5"/>
  <c r="F58" i="5"/>
  <c r="E58" i="5"/>
  <c r="D58" i="5"/>
  <c r="C58" i="5"/>
  <c r="B58" i="5"/>
  <c r="F57" i="5"/>
  <c r="E57" i="5"/>
  <c r="D57" i="5"/>
  <c r="C57" i="5"/>
  <c r="B57" i="5"/>
  <c r="F56" i="5"/>
  <c r="E56" i="5"/>
  <c r="D56" i="5"/>
  <c r="C56" i="5"/>
  <c r="B56" i="5"/>
  <c r="F55" i="5"/>
  <c r="E55" i="5"/>
  <c r="D55" i="5"/>
  <c r="C55" i="5"/>
  <c r="B55" i="5"/>
  <c r="F54" i="5"/>
  <c r="E54" i="5"/>
  <c r="D54" i="5"/>
  <c r="C54" i="5"/>
  <c r="B54" i="5"/>
  <c r="T49" i="5"/>
  <c r="S49" i="5"/>
  <c r="R49" i="5"/>
  <c r="Q49" i="5"/>
  <c r="P49" i="5"/>
  <c r="T48" i="5"/>
  <c r="S48" i="5"/>
  <c r="R48" i="5"/>
  <c r="Q48" i="5"/>
  <c r="P48" i="5"/>
  <c r="T47" i="5"/>
  <c r="S47" i="5"/>
  <c r="R47" i="5"/>
  <c r="Q47" i="5"/>
  <c r="P47" i="5"/>
  <c r="T46" i="5"/>
  <c r="S46" i="5"/>
  <c r="R46" i="5"/>
  <c r="Q46" i="5"/>
  <c r="P46" i="5"/>
  <c r="T45" i="5"/>
  <c r="S45" i="5"/>
  <c r="R45" i="5"/>
  <c r="Q45" i="5"/>
  <c r="P45" i="5"/>
  <c r="T44" i="5"/>
  <c r="S44" i="5"/>
  <c r="R44" i="5"/>
  <c r="Q44" i="5"/>
  <c r="P44" i="5"/>
  <c r="M49" i="5"/>
  <c r="L49" i="5"/>
  <c r="K49" i="5"/>
  <c r="J49" i="5"/>
  <c r="I49" i="5"/>
  <c r="M48" i="5"/>
  <c r="L48" i="5"/>
  <c r="K48" i="5"/>
  <c r="J48" i="5"/>
  <c r="I48" i="5"/>
  <c r="M47" i="5"/>
  <c r="L47" i="5"/>
  <c r="K47" i="5"/>
  <c r="J47" i="5"/>
  <c r="I47" i="5"/>
  <c r="M46" i="5"/>
  <c r="L46" i="5"/>
  <c r="K46" i="5"/>
  <c r="J46" i="5"/>
  <c r="I46" i="5"/>
  <c r="M45" i="5"/>
  <c r="L45" i="5"/>
  <c r="K45" i="5"/>
  <c r="J45" i="5"/>
  <c r="I45" i="5"/>
  <c r="M44" i="5"/>
  <c r="L44" i="5"/>
  <c r="K44" i="5"/>
  <c r="J44" i="5"/>
  <c r="I44" i="5"/>
  <c r="F49" i="5"/>
  <c r="E49" i="5"/>
  <c r="D49" i="5"/>
  <c r="C49" i="5"/>
  <c r="B49" i="5"/>
  <c r="F48" i="5"/>
  <c r="E48" i="5"/>
  <c r="D48" i="5"/>
  <c r="C48" i="5"/>
  <c r="B48" i="5"/>
  <c r="F47" i="5"/>
  <c r="E47" i="5"/>
  <c r="D47" i="5"/>
  <c r="C47" i="5"/>
  <c r="B47" i="5"/>
  <c r="F46" i="5"/>
  <c r="E46" i="5"/>
  <c r="D46" i="5"/>
  <c r="C46" i="5"/>
  <c r="B46" i="5"/>
  <c r="F45" i="5"/>
  <c r="E45" i="5"/>
  <c r="D45" i="5"/>
  <c r="C45" i="5"/>
  <c r="B45" i="5"/>
  <c r="F44" i="5"/>
  <c r="E44" i="5"/>
  <c r="D44" i="5"/>
  <c r="C44" i="5"/>
  <c r="B44" i="5"/>
  <c r="T39" i="5"/>
  <c r="S39" i="5"/>
  <c r="R39" i="5"/>
  <c r="Q39" i="5"/>
  <c r="P39" i="5"/>
  <c r="T38" i="5"/>
  <c r="S38" i="5"/>
  <c r="R38" i="5"/>
  <c r="Q38" i="5"/>
  <c r="P38" i="5"/>
  <c r="T37" i="5"/>
  <c r="S37" i="5"/>
  <c r="R37" i="5"/>
  <c r="Q37" i="5"/>
  <c r="P37" i="5"/>
  <c r="T36" i="5"/>
  <c r="S36" i="5"/>
  <c r="R36" i="5"/>
  <c r="Q36" i="5"/>
  <c r="P36" i="5"/>
  <c r="T35" i="5"/>
  <c r="S35" i="5"/>
  <c r="R35" i="5"/>
  <c r="Q35" i="5"/>
  <c r="P35" i="5"/>
  <c r="T34" i="5"/>
  <c r="S34" i="5"/>
  <c r="R34" i="5"/>
  <c r="Q34" i="5"/>
  <c r="P34" i="5"/>
  <c r="M39" i="5"/>
  <c r="L39" i="5"/>
  <c r="K39" i="5"/>
  <c r="J39" i="5"/>
  <c r="I39" i="5"/>
  <c r="M38" i="5"/>
  <c r="L38" i="5"/>
  <c r="K38" i="5"/>
  <c r="J38" i="5"/>
  <c r="I38" i="5"/>
  <c r="M37" i="5"/>
  <c r="L37" i="5"/>
  <c r="K37" i="5"/>
  <c r="J37" i="5"/>
  <c r="I37" i="5"/>
  <c r="M36" i="5"/>
  <c r="L36" i="5"/>
  <c r="K36" i="5"/>
  <c r="I36" i="5"/>
  <c r="M35" i="5"/>
  <c r="L35" i="5"/>
  <c r="K35" i="5"/>
  <c r="J35" i="5"/>
  <c r="I35" i="5"/>
  <c r="M34" i="5"/>
  <c r="L34" i="5"/>
  <c r="K34" i="5"/>
  <c r="J34" i="5"/>
  <c r="I34" i="5"/>
  <c r="F39" i="5"/>
  <c r="E39" i="5"/>
  <c r="D39" i="5"/>
  <c r="C39" i="5"/>
  <c r="B39" i="5"/>
  <c r="F38" i="5"/>
  <c r="E38" i="5"/>
  <c r="D38" i="5"/>
  <c r="C38" i="5"/>
  <c r="B38" i="5"/>
  <c r="F37" i="5"/>
  <c r="E37" i="5"/>
  <c r="D37" i="5"/>
  <c r="C37" i="5"/>
  <c r="B37" i="5"/>
  <c r="F36" i="5"/>
  <c r="E36" i="5"/>
  <c r="D36" i="5"/>
  <c r="C36" i="5"/>
  <c r="B36" i="5"/>
  <c r="F35" i="5"/>
  <c r="E35" i="5"/>
  <c r="D35" i="5"/>
  <c r="C35" i="5"/>
  <c r="F34" i="5"/>
  <c r="E34" i="5"/>
  <c r="D34" i="5"/>
  <c r="C34" i="5"/>
  <c r="B34" i="5"/>
  <c r="T29" i="5"/>
  <c r="S29" i="5"/>
  <c r="R29" i="5"/>
  <c r="Q29" i="5"/>
  <c r="P29" i="5"/>
  <c r="T28" i="5"/>
  <c r="S28" i="5"/>
  <c r="R28" i="5"/>
  <c r="Q28" i="5"/>
  <c r="P28" i="5"/>
  <c r="T27" i="5"/>
  <c r="S27" i="5"/>
  <c r="R27" i="5"/>
  <c r="Q27" i="5"/>
  <c r="P27" i="5"/>
  <c r="T26" i="5"/>
  <c r="S26" i="5"/>
  <c r="R26" i="5"/>
  <c r="Q26" i="5"/>
  <c r="P26" i="5"/>
  <c r="T25" i="5"/>
  <c r="S25" i="5"/>
  <c r="R25" i="5"/>
  <c r="Q25" i="5"/>
  <c r="P25" i="5"/>
  <c r="T24" i="5"/>
  <c r="S24" i="5"/>
  <c r="R24" i="5"/>
  <c r="Q24" i="5"/>
  <c r="P24" i="5"/>
  <c r="M29" i="5"/>
  <c r="L29" i="5"/>
  <c r="K29" i="5"/>
  <c r="J29" i="5"/>
  <c r="I29" i="5"/>
  <c r="M28" i="5"/>
  <c r="L28" i="5"/>
  <c r="K28" i="5"/>
  <c r="J28" i="5"/>
  <c r="I28" i="5"/>
  <c r="M27" i="5"/>
  <c r="L27" i="5"/>
  <c r="K27" i="5"/>
  <c r="J27" i="5"/>
  <c r="I27" i="5"/>
  <c r="M26" i="5"/>
  <c r="L26" i="5"/>
  <c r="K26" i="5"/>
  <c r="J26" i="5"/>
  <c r="I26" i="5"/>
  <c r="M25" i="5"/>
  <c r="L25" i="5"/>
  <c r="K25" i="5"/>
  <c r="J25" i="5"/>
  <c r="I25" i="5"/>
  <c r="M24" i="5"/>
  <c r="L24" i="5"/>
  <c r="K24" i="5"/>
  <c r="J24" i="5"/>
  <c r="I24" i="5"/>
  <c r="F29" i="5"/>
  <c r="E29" i="5"/>
  <c r="D29" i="5"/>
  <c r="C29" i="5"/>
  <c r="B29" i="5"/>
  <c r="F28" i="5"/>
  <c r="E28" i="5"/>
  <c r="D28" i="5"/>
  <c r="C28" i="5"/>
  <c r="B28" i="5"/>
  <c r="F27" i="5"/>
  <c r="E27" i="5"/>
  <c r="D27" i="5"/>
  <c r="C27" i="5"/>
  <c r="B27" i="5"/>
  <c r="F26" i="5"/>
  <c r="E26" i="5"/>
  <c r="D26" i="5"/>
  <c r="C26" i="5"/>
  <c r="B26" i="5"/>
  <c r="F25" i="5"/>
  <c r="E25" i="5"/>
  <c r="D25" i="5"/>
  <c r="C25" i="5"/>
  <c r="B25" i="5"/>
  <c r="F24" i="5"/>
  <c r="E24" i="5"/>
  <c r="D24" i="5"/>
  <c r="C24" i="5"/>
  <c r="B24" i="5"/>
  <c r="T19" i="5"/>
  <c r="S19" i="5"/>
  <c r="R19" i="5"/>
  <c r="Q19" i="5"/>
  <c r="P19" i="5"/>
  <c r="T18" i="5"/>
  <c r="S18" i="5"/>
  <c r="R18" i="5"/>
  <c r="Q18" i="5"/>
  <c r="P18" i="5"/>
  <c r="T17" i="5"/>
  <c r="S17" i="5"/>
  <c r="R17" i="5"/>
  <c r="Q17" i="5"/>
  <c r="P17" i="5"/>
  <c r="T16" i="5"/>
  <c r="S16" i="5"/>
  <c r="R16" i="5"/>
  <c r="Q16" i="5"/>
  <c r="P16" i="5"/>
  <c r="T15" i="5"/>
  <c r="S15" i="5"/>
  <c r="R15" i="5"/>
  <c r="Q15" i="5"/>
  <c r="P15" i="5"/>
  <c r="T14" i="5"/>
  <c r="S14" i="5"/>
  <c r="R14" i="5"/>
  <c r="Q14" i="5"/>
  <c r="P14" i="5"/>
  <c r="M19" i="5"/>
  <c r="L19" i="5"/>
  <c r="K19" i="5"/>
  <c r="J19" i="5"/>
  <c r="I19" i="5"/>
  <c r="M18" i="5"/>
  <c r="L18" i="5"/>
  <c r="K18" i="5"/>
  <c r="J18" i="5"/>
  <c r="I18" i="5"/>
  <c r="M17" i="5"/>
  <c r="L17" i="5"/>
  <c r="K17" i="5"/>
  <c r="J17" i="5"/>
  <c r="I17" i="5"/>
  <c r="M16" i="5"/>
  <c r="L16" i="5"/>
  <c r="K16" i="5"/>
  <c r="J16" i="5"/>
  <c r="I16" i="5"/>
  <c r="M15" i="5"/>
  <c r="L15" i="5"/>
  <c r="K15" i="5"/>
  <c r="J15" i="5"/>
  <c r="I15" i="5"/>
  <c r="M14" i="5"/>
  <c r="L14" i="5"/>
  <c r="K14" i="5"/>
  <c r="J14" i="5"/>
  <c r="I14" i="5"/>
  <c r="F19" i="5"/>
  <c r="E19" i="5"/>
  <c r="D19" i="5"/>
  <c r="C19" i="5"/>
  <c r="B19" i="5"/>
  <c r="F18" i="5"/>
  <c r="E18" i="5"/>
  <c r="D18" i="5"/>
  <c r="C18" i="5"/>
  <c r="B18" i="5"/>
  <c r="F17" i="5"/>
  <c r="E17" i="5"/>
  <c r="D17" i="5"/>
  <c r="C17" i="5"/>
  <c r="B17" i="5"/>
  <c r="F16" i="5"/>
  <c r="E16" i="5"/>
  <c r="D16" i="5"/>
  <c r="C16" i="5"/>
  <c r="B16" i="5"/>
  <c r="F15" i="5"/>
  <c r="E15" i="5"/>
  <c r="D15" i="5"/>
  <c r="C15" i="5"/>
  <c r="B15" i="5"/>
  <c r="F14" i="5"/>
  <c r="E14" i="5"/>
  <c r="D14" i="5"/>
  <c r="C14" i="5"/>
  <c r="B14" i="5"/>
  <c r="T9" i="5"/>
  <c r="S9" i="5"/>
  <c r="R9" i="5"/>
  <c r="Q9" i="5"/>
  <c r="P9" i="5"/>
  <c r="T8" i="5"/>
  <c r="S8" i="5"/>
  <c r="R8" i="5"/>
  <c r="Q8" i="5"/>
  <c r="P8" i="5"/>
  <c r="T7" i="5"/>
  <c r="S7" i="5"/>
  <c r="R7" i="5"/>
  <c r="Q7" i="5"/>
  <c r="P7" i="5"/>
  <c r="T6" i="5"/>
  <c r="S6" i="5"/>
  <c r="R6" i="5"/>
  <c r="Q6" i="5"/>
  <c r="P6" i="5"/>
  <c r="T5" i="5"/>
  <c r="S5" i="5"/>
  <c r="R5" i="5"/>
  <c r="Q5" i="5"/>
  <c r="P5" i="5"/>
  <c r="T4" i="5"/>
  <c r="S4" i="5"/>
  <c r="R4" i="5"/>
  <c r="Q4" i="5"/>
  <c r="P4" i="5"/>
  <c r="M9" i="5"/>
  <c r="L9" i="5"/>
  <c r="K9" i="5"/>
  <c r="J9" i="5"/>
  <c r="I9" i="5"/>
  <c r="M8" i="5"/>
  <c r="L8" i="5"/>
  <c r="K8" i="5"/>
  <c r="J8" i="5"/>
  <c r="I8" i="5"/>
  <c r="M7" i="5"/>
  <c r="L7" i="5"/>
  <c r="K7" i="5"/>
  <c r="J7" i="5"/>
  <c r="I7" i="5"/>
  <c r="M6" i="5"/>
  <c r="L6" i="5"/>
  <c r="K6" i="5"/>
  <c r="J6" i="5"/>
  <c r="I6" i="5"/>
  <c r="M5" i="5"/>
  <c r="L5" i="5"/>
  <c r="K5" i="5"/>
  <c r="J5" i="5"/>
  <c r="I5" i="5"/>
  <c r="M4" i="5"/>
  <c r="L4" i="5"/>
  <c r="K4" i="5"/>
  <c r="J4" i="5"/>
  <c r="I4" i="5"/>
  <c r="F9" i="5"/>
  <c r="F8" i="5"/>
  <c r="F7" i="5"/>
  <c r="F6" i="5"/>
  <c r="F5" i="5"/>
  <c r="F4" i="5"/>
  <c r="E9" i="5"/>
  <c r="E8" i="5"/>
  <c r="E7" i="5"/>
  <c r="E6" i="5"/>
  <c r="E5" i="5"/>
  <c r="E4" i="5"/>
  <c r="D9" i="5"/>
  <c r="D4" i="5"/>
  <c r="D8" i="5"/>
  <c r="D7" i="5"/>
  <c r="D6" i="5"/>
  <c r="D5" i="5"/>
  <c r="C9" i="5"/>
  <c r="C8" i="5"/>
  <c r="C7" i="5"/>
  <c r="C6" i="5"/>
  <c r="C5" i="5"/>
  <c r="C4" i="5"/>
  <c r="B9" i="5"/>
  <c r="AA99" i="4"/>
  <c r="Z99" i="4"/>
  <c r="Y99" i="4"/>
  <c r="X99" i="4"/>
  <c r="W99" i="4"/>
  <c r="AA98" i="4"/>
  <c r="Z98" i="4"/>
  <c r="Y98" i="4"/>
  <c r="X98" i="4"/>
  <c r="W98" i="4"/>
  <c r="AA97" i="4"/>
  <c r="Z97" i="4"/>
  <c r="Y97" i="4"/>
  <c r="X97" i="4"/>
  <c r="W97" i="4"/>
  <c r="AA96" i="4"/>
  <c r="Z96" i="4"/>
  <c r="Y96" i="4"/>
  <c r="X96" i="4"/>
  <c r="W96" i="4"/>
  <c r="AA95" i="4"/>
  <c r="Z95" i="4"/>
  <c r="Y95" i="4"/>
  <c r="X95" i="4"/>
  <c r="W95" i="4"/>
  <c r="AA94" i="4"/>
  <c r="Z94" i="4"/>
  <c r="Y94" i="4"/>
  <c r="X94" i="4"/>
  <c r="W94" i="4"/>
  <c r="T99" i="4"/>
  <c r="S99" i="4"/>
  <c r="R99" i="4"/>
  <c r="Q99" i="4"/>
  <c r="P99" i="4"/>
  <c r="T98" i="4"/>
  <c r="S98" i="4"/>
  <c r="R98" i="4"/>
  <c r="Q98" i="4"/>
  <c r="P98" i="4"/>
  <c r="T97" i="4"/>
  <c r="S97" i="4"/>
  <c r="R97" i="4"/>
  <c r="Q97" i="4"/>
  <c r="P97" i="4"/>
  <c r="T96" i="4"/>
  <c r="S96" i="4"/>
  <c r="R96" i="4"/>
  <c r="Q96" i="4"/>
  <c r="P96" i="4"/>
  <c r="T95" i="4"/>
  <c r="S95" i="4"/>
  <c r="R95" i="4"/>
  <c r="Q95" i="4"/>
  <c r="P95" i="4"/>
  <c r="T94" i="4"/>
  <c r="S94" i="4"/>
  <c r="R94" i="4"/>
  <c r="Q94" i="4"/>
  <c r="P94" i="4"/>
  <c r="M99" i="4"/>
  <c r="L99" i="4"/>
  <c r="K99" i="4"/>
  <c r="J99" i="4"/>
  <c r="I99" i="4"/>
  <c r="M98" i="4"/>
  <c r="L98" i="4"/>
  <c r="K98" i="4"/>
  <c r="J98" i="4"/>
  <c r="I98" i="4"/>
  <c r="M97" i="4"/>
  <c r="L97" i="4"/>
  <c r="K97" i="4"/>
  <c r="J97" i="4"/>
  <c r="I97" i="4"/>
  <c r="M96" i="4"/>
  <c r="L96" i="4"/>
  <c r="K96" i="4"/>
  <c r="J96" i="4"/>
  <c r="I96" i="4"/>
  <c r="M95" i="4"/>
  <c r="L95" i="4"/>
  <c r="K95" i="4"/>
  <c r="J95" i="4"/>
  <c r="I95" i="4"/>
  <c r="M94" i="4"/>
  <c r="L94" i="4"/>
  <c r="K94" i="4"/>
  <c r="J94" i="4"/>
  <c r="I94" i="4"/>
  <c r="F99" i="4"/>
  <c r="E99" i="4"/>
  <c r="D99" i="4"/>
  <c r="C99" i="4"/>
  <c r="B99" i="4"/>
  <c r="F98" i="4"/>
  <c r="E98" i="4"/>
  <c r="D98" i="4"/>
  <c r="C98" i="4"/>
  <c r="B98" i="4"/>
  <c r="F97" i="4"/>
  <c r="E97" i="4"/>
  <c r="D97" i="4"/>
  <c r="C97" i="4"/>
  <c r="B97" i="4"/>
  <c r="F96" i="4"/>
  <c r="E96" i="4"/>
  <c r="D96" i="4"/>
  <c r="C96" i="4"/>
  <c r="B96" i="4"/>
  <c r="F95" i="4"/>
  <c r="E95" i="4"/>
  <c r="D95" i="4"/>
  <c r="C95" i="4"/>
  <c r="B95" i="4"/>
  <c r="F94" i="4"/>
  <c r="E94" i="4"/>
  <c r="D94" i="4"/>
  <c r="C94" i="4"/>
  <c r="B94" i="4"/>
  <c r="AA89" i="4"/>
  <c r="Z89" i="4"/>
  <c r="Y89" i="4"/>
  <c r="X89" i="4"/>
  <c r="W89" i="4"/>
  <c r="AA88" i="4"/>
  <c r="Z88" i="4"/>
  <c r="Y88" i="4"/>
  <c r="X88" i="4"/>
  <c r="W88" i="4"/>
  <c r="AA87" i="4"/>
  <c r="Z87" i="4"/>
  <c r="Y87" i="4"/>
  <c r="X87" i="4"/>
  <c r="W87" i="4"/>
  <c r="AA86" i="4"/>
  <c r="Z86" i="4"/>
  <c r="Y86" i="4"/>
  <c r="X86" i="4"/>
  <c r="W86" i="4"/>
  <c r="AA85" i="4"/>
  <c r="Z85" i="4"/>
  <c r="Y85" i="4"/>
  <c r="X85" i="4"/>
  <c r="W85" i="4"/>
  <c r="AA84" i="4"/>
  <c r="Z84" i="4"/>
  <c r="Y84" i="4"/>
  <c r="X84" i="4"/>
  <c r="W84" i="4"/>
  <c r="T89" i="4"/>
  <c r="S89" i="4"/>
  <c r="R89" i="4"/>
  <c r="Q89" i="4"/>
  <c r="P89" i="4"/>
  <c r="T88" i="4"/>
  <c r="S88" i="4"/>
  <c r="R88" i="4"/>
  <c r="Q88" i="4"/>
  <c r="P88" i="4"/>
  <c r="T87" i="4"/>
  <c r="S87" i="4"/>
  <c r="R87" i="4"/>
  <c r="Q87" i="4"/>
  <c r="P87" i="4"/>
  <c r="T86" i="4"/>
  <c r="S86" i="4"/>
  <c r="R86" i="4"/>
  <c r="Q86" i="4"/>
  <c r="P86" i="4"/>
  <c r="T85" i="4"/>
  <c r="S85" i="4"/>
  <c r="R85" i="4"/>
  <c r="Q85" i="4"/>
  <c r="P85" i="4"/>
  <c r="T84" i="4"/>
  <c r="S84" i="4"/>
  <c r="R84" i="4"/>
  <c r="Q84" i="4"/>
  <c r="P84" i="4"/>
  <c r="M89" i="4"/>
  <c r="L89" i="4"/>
  <c r="K89" i="4"/>
  <c r="J89" i="4"/>
  <c r="I89" i="4"/>
  <c r="M88" i="4"/>
  <c r="L88" i="4"/>
  <c r="K88" i="4"/>
  <c r="J88" i="4"/>
  <c r="I88" i="4"/>
  <c r="M87" i="4"/>
  <c r="L87" i="4"/>
  <c r="K87" i="4"/>
  <c r="J87" i="4"/>
  <c r="I87" i="4"/>
  <c r="M86" i="4"/>
  <c r="L86" i="4"/>
  <c r="K86" i="4"/>
  <c r="J86" i="4"/>
  <c r="I86" i="4"/>
  <c r="M85" i="4"/>
  <c r="L85" i="4"/>
  <c r="K85" i="4"/>
  <c r="J85" i="4"/>
  <c r="I85" i="4"/>
  <c r="M84" i="4"/>
  <c r="L84" i="4"/>
  <c r="K84" i="4"/>
  <c r="J84" i="4"/>
  <c r="I84" i="4"/>
  <c r="F89" i="4"/>
  <c r="E89" i="4"/>
  <c r="D89" i="4"/>
  <c r="C89" i="4"/>
  <c r="B89" i="4"/>
  <c r="F88" i="4"/>
  <c r="E88" i="4"/>
  <c r="D88" i="4"/>
  <c r="C88" i="4"/>
  <c r="B88" i="4"/>
  <c r="F87" i="4"/>
  <c r="E87" i="4"/>
  <c r="D87" i="4"/>
  <c r="C87" i="4"/>
  <c r="B87" i="4"/>
  <c r="F86" i="4"/>
  <c r="E86" i="4"/>
  <c r="D86" i="4"/>
  <c r="C86" i="4"/>
  <c r="B86" i="4"/>
  <c r="F85" i="4"/>
  <c r="E85" i="4"/>
  <c r="D85" i="4"/>
  <c r="C85" i="4"/>
  <c r="B85" i="4"/>
  <c r="F84" i="4"/>
  <c r="E84" i="4"/>
  <c r="D84" i="4"/>
  <c r="C84" i="4"/>
  <c r="B84" i="4"/>
  <c r="AA79" i="4"/>
  <c r="Z79" i="4"/>
  <c r="Y79" i="4"/>
  <c r="X79" i="4"/>
  <c r="W79" i="4"/>
  <c r="AA78" i="4"/>
  <c r="Z78" i="4"/>
  <c r="Y78" i="4"/>
  <c r="X78" i="4"/>
  <c r="W78" i="4"/>
  <c r="AA77" i="4"/>
  <c r="Z77" i="4"/>
  <c r="Y77" i="4"/>
  <c r="X77" i="4"/>
  <c r="W77" i="4"/>
  <c r="AA76" i="4"/>
  <c r="Z76" i="4"/>
  <c r="Y76" i="4"/>
  <c r="X76" i="4"/>
  <c r="W76" i="4"/>
  <c r="AA75" i="4"/>
  <c r="Z75" i="4"/>
  <c r="Y75" i="4"/>
  <c r="X75" i="4"/>
  <c r="W75" i="4"/>
  <c r="AA74" i="4"/>
  <c r="Z74" i="4"/>
  <c r="Y74" i="4"/>
  <c r="X74" i="4"/>
  <c r="W74" i="4"/>
  <c r="T79" i="4"/>
  <c r="S79" i="4"/>
  <c r="R79" i="4"/>
  <c r="Q79" i="4"/>
  <c r="P79" i="4"/>
  <c r="T78" i="4"/>
  <c r="S78" i="4"/>
  <c r="R78" i="4"/>
  <c r="Q78" i="4"/>
  <c r="P78" i="4"/>
  <c r="T77" i="4"/>
  <c r="S77" i="4"/>
  <c r="R77" i="4"/>
  <c r="Q77" i="4"/>
  <c r="P77" i="4"/>
  <c r="T76" i="4"/>
  <c r="S76" i="4"/>
  <c r="R76" i="4"/>
  <c r="Q76" i="4"/>
  <c r="P76" i="4"/>
  <c r="T75" i="4"/>
  <c r="S75" i="4"/>
  <c r="R75" i="4"/>
  <c r="Q75" i="4"/>
  <c r="P75" i="4"/>
  <c r="T74" i="4"/>
  <c r="S74" i="4"/>
  <c r="R74" i="4"/>
  <c r="Q74" i="4"/>
  <c r="P74" i="4"/>
  <c r="M79" i="4"/>
  <c r="L79" i="4"/>
  <c r="K79" i="4"/>
  <c r="J79" i="4"/>
  <c r="I79" i="4"/>
  <c r="M78" i="4"/>
  <c r="L78" i="4"/>
  <c r="K78" i="4"/>
  <c r="J78" i="4"/>
  <c r="I78" i="4"/>
  <c r="M77" i="4"/>
  <c r="L77" i="4"/>
  <c r="K77" i="4"/>
  <c r="J77" i="4"/>
  <c r="I77" i="4"/>
  <c r="M76" i="4"/>
  <c r="L76" i="4"/>
  <c r="K76" i="4"/>
  <c r="J76" i="4"/>
  <c r="I76" i="4"/>
  <c r="M75" i="4"/>
  <c r="L75" i="4"/>
  <c r="K75" i="4"/>
  <c r="J75" i="4"/>
  <c r="I75" i="4"/>
  <c r="M74" i="4"/>
  <c r="L74" i="4"/>
  <c r="K74" i="4"/>
  <c r="J74" i="4"/>
  <c r="I74" i="4"/>
  <c r="F79" i="4"/>
  <c r="E79" i="4"/>
  <c r="D79" i="4"/>
  <c r="C79" i="4"/>
  <c r="B79" i="4"/>
  <c r="F78" i="4"/>
  <c r="E78" i="4"/>
  <c r="D78" i="4"/>
  <c r="C78" i="4"/>
  <c r="B78" i="4"/>
  <c r="F77" i="4"/>
  <c r="E77" i="4"/>
  <c r="D77" i="4"/>
  <c r="C77" i="4"/>
  <c r="B77" i="4"/>
  <c r="F76" i="4"/>
  <c r="E76" i="4"/>
  <c r="D76" i="4"/>
  <c r="C76" i="4"/>
  <c r="B76" i="4"/>
  <c r="F75" i="4"/>
  <c r="E75" i="4"/>
  <c r="D75" i="4"/>
  <c r="C75" i="4"/>
  <c r="B75" i="4"/>
  <c r="F74" i="4"/>
  <c r="E74" i="4"/>
  <c r="D74" i="4"/>
  <c r="C74" i="4"/>
  <c r="B74" i="4"/>
  <c r="AA69" i="4"/>
  <c r="Z69" i="4"/>
  <c r="Y69" i="4"/>
  <c r="X69" i="4"/>
  <c r="W69" i="4"/>
  <c r="AA68" i="4"/>
  <c r="Z68" i="4"/>
  <c r="Y68" i="4"/>
  <c r="X68" i="4"/>
  <c r="W68" i="4"/>
  <c r="AA67" i="4"/>
  <c r="Z67" i="4"/>
  <c r="Y67" i="4"/>
  <c r="X67" i="4"/>
  <c r="W67" i="4"/>
  <c r="AA66" i="4"/>
  <c r="Z66" i="4"/>
  <c r="Y66" i="4"/>
  <c r="X66" i="4"/>
  <c r="W66" i="4"/>
  <c r="AA65" i="4"/>
  <c r="Z65" i="4"/>
  <c r="Y65" i="4"/>
  <c r="X65" i="4"/>
  <c r="W65" i="4"/>
  <c r="AA64" i="4"/>
  <c r="Z64" i="4"/>
  <c r="Y64" i="4"/>
  <c r="X64" i="4"/>
  <c r="W64" i="4"/>
  <c r="T69" i="4"/>
  <c r="S69" i="4"/>
  <c r="R69" i="4"/>
  <c r="Q69" i="4"/>
  <c r="P69" i="4"/>
  <c r="T68" i="4"/>
  <c r="S68" i="4"/>
  <c r="R68" i="4"/>
  <c r="Q68" i="4"/>
  <c r="P68" i="4"/>
  <c r="T67" i="4"/>
  <c r="S67" i="4"/>
  <c r="R67" i="4"/>
  <c r="Q67" i="4"/>
  <c r="P67" i="4"/>
  <c r="T66" i="4"/>
  <c r="S66" i="4"/>
  <c r="R66" i="4"/>
  <c r="Q66" i="4"/>
  <c r="P66" i="4"/>
  <c r="T65" i="4"/>
  <c r="S65" i="4"/>
  <c r="R65" i="4"/>
  <c r="Q65" i="4"/>
  <c r="P65" i="4"/>
  <c r="T64" i="4"/>
  <c r="S64" i="4"/>
  <c r="R64" i="4"/>
  <c r="Q64" i="4"/>
  <c r="P64" i="4"/>
  <c r="M69" i="4"/>
  <c r="L69" i="4"/>
  <c r="K69" i="4"/>
  <c r="J69" i="4"/>
  <c r="I69" i="4"/>
  <c r="M68" i="4"/>
  <c r="L68" i="4"/>
  <c r="K68" i="4"/>
  <c r="J68" i="4"/>
  <c r="I68" i="4"/>
  <c r="M67" i="4"/>
  <c r="L67" i="4"/>
  <c r="K67" i="4"/>
  <c r="J67" i="4"/>
  <c r="I67" i="4"/>
  <c r="M66" i="4"/>
  <c r="L66" i="4"/>
  <c r="K66" i="4"/>
  <c r="J66" i="4"/>
  <c r="I66" i="4"/>
  <c r="M65" i="4"/>
  <c r="L65" i="4"/>
  <c r="K65" i="4"/>
  <c r="J65" i="4"/>
  <c r="I65" i="4"/>
  <c r="M64" i="4"/>
  <c r="L64" i="4"/>
  <c r="K64" i="4"/>
  <c r="J64" i="4"/>
  <c r="I64" i="4"/>
  <c r="F69" i="4"/>
  <c r="E69" i="4"/>
  <c r="D69" i="4"/>
  <c r="C69" i="4"/>
  <c r="B69" i="4"/>
  <c r="F68" i="4"/>
  <c r="E68" i="4"/>
  <c r="D68" i="4"/>
  <c r="C68" i="4"/>
  <c r="B68" i="4"/>
  <c r="F67" i="4"/>
  <c r="E67" i="4"/>
  <c r="D67" i="4"/>
  <c r="C67" i="4"/>
  <c r="B67" i="4"/>
  <c r="F66" i="4"/>
  <c r="E66" i="4"/>
  <c r="D66" i="4"/>
  <c r="C66" i="4"/>
  <c r="B66" i="4"/>
  <c r="F65" i="4"/>
  <c r="E65" i="4"/>
  <c r="D65" i="4"/>
  <c r="C65" i="4"/>
  <c r="B65" i="4"/>
  <c r="F64" i="4"/>
  <c r="E64" i="4"/>
  <c r="D64" i="4"/>
  <c r="C64" i="4"/>
  <c r="B64" i="4"/>
  <c r="AA59" i="4"/>
  <c r="Z59" i="4"/>
  <c r="Y59" i="4"/>
  <c r="X59" i="4"/>
  <c r="W59" i="4"/>
  <c r="AA58" i="4"/>
  <c r="Z58" i="4"/>
  <c r="Y58" i="4"/>
  <c r="X58" i="4"/>
  <c r="W58" i="4"/>
  <c r="AA57" i="4"/>
  <c r="Z57" i="4"/>
  <c r="Y57" i="4"/>
  <c r="X57" i="4"/>
  <c r="W57" i="4"/>
  <c r="AA56" i="4"/>
  <c r="Z56" i="4"/>
  <c r="Y56" i="4"/>
  <c r="X56" i="4"/>
  <c r="W56" i="4"/>
  <c r="AA55" i="4"/>
  <c r="Z55" i="4"/>
  <c r="Y55" i="4"/>
  <c r="X55" i="4"/>
  <c r="W55" i="4"/>
  <c r="AA54" i="4"/>
  <c r="Z54" i="4"/>
  <c r="Y54" i="4"/>
  <c r="X54" i="4"/>
  <c r="W54" i="4"/>
  <c r="T59" i="4"/>
  <c r="S59" i="4"/>
  <c r="R59" i="4"/>
  <c r="Q59" i="4"/>
  <c r="P59" i="4"/>
  <c r="T58" i="4"/>
  <c r="S58" i="4"/>
  <c r="R58" i="4"/>
  <c r="Q58" i="4"/>
  <c r="P58" i="4"/>
  <c r="T57" i="4"/>
  <c r="S57" i="4"/>
  <c r="R57" i="4"/>
  <c r="Q57" i="4"/>
  <c r="P57" i="4"/>
  <c r="T56" i="4"/>
  <c r="S56" i="4"/>
  <c r="R56" i="4"/>
  <c r="Q56" i="4"/>
  <c r="P56" i="4"/>
  <c r="T55" i="4"/>
  <c r="S55" i="4"/>
  <c r="R55" i="4"/>
  <c r="Q55" i="4"/>
  <c r="P55" i="4"/>
  <c r="T54" i="4"/>
  <c r="S54" i="4"/>
  <c r="R54" i="4"/>
  <c r="Q54" i="4"/>
  <c r="P54" i="4"/>
  <c r="M59" i="4"/>
  <c r="L59" i="4"/>
  <c r="K59" i="4"/>
  <c r="J59" i="4"/>
  <c r="I59" i="4"/>
  <c r="M58" i="4"/>
  <c r="L58" i="4"/>
  <c r="K58" i="4"/>
  <c r="J58" i="4"/>
  <c r="I58" i="4"/>
  <c r="M57" i="4"/>
  <c r="L57" i="4"/>
  <c r="K57" i="4"/>
  <c r="J57" i="4"/>
  <c r="I57" i="4"/>
  <c r="M56" i="4"/>
  <c r="L56" i="4"/>
  <c r="K56" i="4"/>
  <c r="J56" i="4"/>
  <c r="I56" i="4"/>
  <c r="M55" i="4"/>
  <c r="L55" i="4"/>
  <c r="K55" i="4"/>
  <c r="J55" i="4"/>
  <c r="I55" i="4"/>
  <c r="M54" i="4"/>
  <c r="L54" i="4"/>
  <c r="K54" i="4"/>
  <c r="J54" i="4"/>
  <c r="I54" i="4"/>
  <c r="F59" i="4"/>
  <c r="E59" i="4"/>
  <c r="D59" i="4"/>
  <c r="C59" i="4"/>
  <c r="B59" i="4"/>
  <c r="F58" i="4"/>
  <c r="E58" i="4"/>
  <c r="D58" i="4"/>
  <c r="C58" i="4"/>
  <c r="B58" i="4"/>
  <c r="F57" i="4"/>
  <c r="E57" i="4"/>
  <c r="D57" i="4"/>
  <c r="C57" i="4"/>
  <c r="B57" i="4"/>
  <c r="F56" i="4"/>
  <c r="E56" i="4"/>
  <c r="D56" i="4"/>
  <c r="C56" i="4"/>
  <c r="B56" i="4"/>
  <c r="F55" i="4"/>
  <c r="E55" i="4"/>
  <c r="D55" i="4"/>
  <c r="C55" i="4"/>
  <c r="B55" i="4"/>
  <c r="F54" i="4"/>
  <c r="E54" i="4"/>
  <c r="D54" i="4"/>
  <c r="C54" i="4"/>
  <c r="B54" i="4"/>
  <c r="AA49" i="4"/>
  <c r="Z49" i="4"/>
  <c r="Y49" i="4"/>
  <c r="X49" i="4"/>
  <c r="W49" i="4"/>
  <c r="AA48" i="4"/>
  <c r="Z48" i="4"/>
  <c r="Y48" i="4"/>
  <c r="X48" i="4"/>
  <c r="W48" i="4"/>
  <c r="AA47" i="4"/>
  <c r="Z47" i="4"/>
  <c r="Y47" i="4"/>
  <c r="X47" i="4"/>
  <c r="W47" i="4"/>
  <c r="AA46" i="4"/>
  <c r="Z46" i="4"/>
  <c r="Y46" i="4"/>
  <c r="X46" i="4"/>
  <c r="W46" i="4"/>
  <c r="AA45" i="4"/>
  <c r="Z45" i="4"/>
  <c r="Y45" i="4"/>
  <c r="X45" i="4"/>
  <c r="W45" i="4"/>
  <c r="AA44" i="4"/>
  <c r="Z44" i="4"/>
  <c r="Y44" i="4"/>
  <c r="X44" i="4"/>
  <c r="W44" i="4"/>
  <c r="T49" i="4"/>
  <c r="S49" i="4"/>
  <c r="R49" i="4"/>
  <c r="Q49" i="4"/>
  <c r="P49" i="4"/>
  <c r="T48" i="4"/>
  <c r="S48" i="4"/>
  <c r="R48" i="4"/>
  <c r="Q48" i="4"/>
  <c r="P48" i="4"/>
  <c r="T47" i="4"/>
  <c r="S47" i="4"/>
  <c r="R47" i="4"/>
  <c r="Q47" i="4"/>
  <c r="P47" i="4"/>
  <c r="T46" i="4"/>
  <c r="S46" i="4"/>
  <c r="R46" i="4"/>
  <c r="Q46" i="4"/>
  <c r="P46" i="4"/>
  <c r="T45" i="4"/>
  <c r="S45" i="4"/>
  <c r="R45" i="4"/>
  <c r="Q45" i="4"/>
  <c r="P45" i="4"/>
  <c r="T44" i="4"/>
  <c r="S44" i="4"/>
  <c r="R44" i="4"/>
  <c r="Q44" i="4"/>
  <c r="P44" i="4"/>
  <c r="M49" i="4"/>
  <c r="L49" i="4"/>
  <c r="K49" i="4"/>
  <c r="J49" i="4"/>
  <c r="I49" i="4"/>
  <c r="M48" i="4"/>
  <c r="L48" i="4"/>
  <c r="K48" i="4"/>
  <c r="J48" i="4"/>
  <c r="I48" i="4"/>
  <c r="M47" i="4"/>
  <c r="L47" i="4"/>
  <c r="K47" i="4"/>
  <c r="J47" i="4"/>
  <c r="I47" i="4"/>
  <c r="M46" i="4"/>
  <c r="L46" i="4"/>
  <c r="K46" i="4"/>
  <c r="J46" i="4"/>
  <c r="I46" i="4"/>
  <c r="M45" i="4"/>
  <c r="L45" i="4"/>
  <c r="K45" i="4"/>
  <c r="J45" i="4"/>
  <c r="I45" i="4"/>
  <c r="M44" i="4"/>
  <c r="L44" i="4"/>
  <c r="K44" i="4"/>
  <c r="J44" i="4"/>
  <c r="I44" i="4"/>
  <c r="F49" i="4"/>
  <c r="E49" i="4"/>
  <c r="D49" i="4"/>
  <c r="C49" i="4"/>
  <c r="B49" i="4"/>
  <c r="F48" i="4"/>
  <c r="E48" i="4"/>
  <c r="D48" i="4"/>
  <c r="C48" i="4"/>
  <c r="B48" i="4"/>
  <c r="F47" i="4"/>
  <c r="E47" i="4"/>
  <c r="D47" i="4"/>
  <c r="C47" i="4"/>
  <c r="B47" i="4"/>
  <c r="F46" i="4"/>
  <c r="E46" i="4"/>
  <c r="D46" i="4"/>
  <c r="C46" i="4"/>
  <c r="B46" i="4"/>
  <c r="F45" i="4"/>
  <c r="E45" i="4"/>
  <c r="D45" i="4"/>
  <c r="C45" i="4"/>
  <c r="B45" i="4"/>
  <c r="F44" i="4"/>
  <c r="E44" i="4"/>
  <c r="D44" i="4"/>
  <c r="C44" i="4"/>
  <c r="B44" i="4"/>
  <c r="AA39" i="4"/>
  <c r="Z39" i="4"/>
  <c r="Y39" i="4"/>
  <c r="X39" i="4"/>
  <c r="W39" i="4"/>
  <c r="AA38" i="4"/>
  <c r="Z38" i="4"/>
  <c r="Y38" i="4"/>
  <c r="X38" i="4"/>
  <c r="W38" i="4"/>
  <c r="AA37" i="4"/>
  <c r="Z37" i="4"/>
  <c r="Y37" i="4"/>
  <c r="X37" i="4"/>
  <c r="W37" i="4"/>
  <c r="AA36" i="4"/>
  <c r="Z36" i="4"/>
  <c r="Y36" i="4"/>
  <c r="X36" i="4"/>
  <c r="W36" i="4"/>
  <c r="AA35" i="4"/>
  <c r="Z35" i="4"/>
  <c r="Y35" i="4"/>
  <c r="X35" i="4"/>
  <c r="W35" i="4"/>
  <c r="AA34" i="4"/>
  <c r="Z34" i="4"/>
  <c r="Y34" i="4"/>
  <c r="X34" i="4"/>
  <c r="W34" i="4"/>
  <c r="T39" i="4"/>
  <c r="S39" i="4"/>
  <c r="R39" i="4"/>
  <c r="Q39" i="4"/>
  <c r="P39" i="4"/>
  <c r="T38" i="4"/>
  <c r="S38" i="4"/>
  <c r="R38" i="4"/>
  <c r="Q38" i="4"/>
  <c r="P38" i="4"/>
  <c r="T37" i="4"/>
  <c r="S37" i="4"/>
  <c r="R37" i="4"/>
  <c r="Q37" i="4"/>
  <c r="P37" i="4"/>
  <c r="T36" i="4"/>
  <c r="S36" i="4"/>
  <c r="R36" i="4"/>
  <c r="Q36" i="4"/>
  <c r="P36" i="4"/>
  <c r="T35" i="4"/>
  <c r="S35" i="4"/>
  <c r="R35" i="4"/>
  <c r="Q35" i="4"/>
  <c r="P35" i="4"/>
  <c r="T34" i="4"/>
  <c r="S34" i="4"/>
  <c r="R34" i="4"/>
  <c r="Q34" i="4"/>
  <c r="P34" i="4"/>
  <c r="M39" i="4"/>
  <c r="L39" i="4"/>
  <c r="K39" i="4"/>
  <c r="J39" i="4"/>
  <c r="I39" i="4"/>
  <c r="M38" i="4"/>
  <c r="L38" i="4"/>
  <c r="K38" i="4"/>
  <c r="J38" i="4"/>
  <c r="I38" i="4"/>
  <c r="M37" i="4"/>
  <c r="L37" i="4"/>
  <c r="K37" i="4"/>
  <c r="J37" i="4"/>
  <c r="I37" i="4"/>
  <c r="M36" i="4"/>
  <c r="L36" i="4"/>
  <c r="K36" i="4"/>
  <c r="J36" i="4"/>
  <c r="I36" i="4"/>
  <c r="M35" i="4"/>
  <c r="L35" i="4"/>
  <c r="K35" i="4"/>
  <c r="J35" i="4"/>
  <c r="I35" i="4"/>
  <c r="M34" i="4"/>
  <c r="L34" i="4"/>
  <c r="K34" i="4"/>
  <c r="J34" i="4"/>
  <c r="I34" i="4"/>
  <c r="F39" i="4"/>
  <c r="E39" i="4"/>
  <c r="D39" i="4"/>
  <c r="C39" i="4"/>
  <c r="B39" i="4"/>
  <c r="F38" i="4"/>
  <c r="E38" i="4"/>
  <c r="D38" i="4"/>
  <c r="C38" i="4"/>
  <c r="B38" i="4"/>
  <c r="F37" i="4"/>
  <c r="E37" i="4"/>
  <c r="D37" i="4"/>
  <c r="C37" i="4"/>
  <c r="B37" i="4"/>
  <c r="F36" i="4"/>
  <c r="E36" i="4"/>
  <c r="D36" i="4"/>
  <c r="C36" i="4"/>
  <c r="B36" i="4"/>
  <c r="F35" i="4"/>
  <c r="E35" i="4"/>
  <c r="D35" i="4"/>
  <c r="C35" i="4"/>
  <c r="B35" i="4"/>
  <c r="F34" i="4"/>
  <c r="E34" i="4"/>
  <c r="D34" i="4"/>
  <c r="C34" i="4"/>
  <c r="B34" i="4"/>
  <c r="AA29" i="4"/>
  <c r="Z29" i="4"/>
  <c r="Y29" i="4"/>
  <c r="X29" i="4"/>
  <c r="W29" i="4"/>
  <c r="AA28" i="4"/>
  <c r="Z28" i="4"/>
  <c r="Y28" i="4"/>
  <c r="X28" i="4"/>
  <c r="W28" i="4"/>
  <c r="AA27" i="4"/>
  <c r="Z27" i="4"/>
  <c r="Y27" i="4"/>
  <c r="X27" i="4"/>
  <c r="W27" i="4"/>
  <c r="AA26" i="4"/>
  <c r="Z26" i="4"/>
  <c r="Y26" i="4"/>
  <c r="X26" i="4"/>
  <c r="W26" i="4"/>
  <c r="AA25" i="4"/>
  <c r="Z25" i="4"/>
  <c r="Y25" i="4"/>
  <c r="X25" i="4"/>
  <c r="W25" i="4"/>
  <c r="AA24" i="4"/>
  <c r="Z24" i="4"/>
  <c r="Y24" i="4"/>
  <c r="X24" i="4"/>
  <c r="W24" i="4"/>
  <c r="T29" i="4"/>
  <c r="S29" i="4"/>
  <c r="R29" i="4"/>
  <c r="Q29" i="4"/>
  <c r="P29" i="4"/>
  <c r="T28" i="4"/>
  <c r="S28" i="4"/>
  <c r="R28" i="4"/>
  <c r="Q28" i="4"/>
  <c r="P28" i="4"/>
  <c r="T27" i="4"/>
  <c r="S27" i="4"/>
  <c r="R27" i="4"/>
  <c r="Q27" i="4"/>
  <c r="P27" i="4"/>
  <c r="T26" i="4"/>
  <c r="S26" i="4"/>
  <c r="R26" i="4"/>
  <c r="Q26" i="4"/>
  <c r="P26" i="4"/>
  <c r="T25" i="4"/>
  <c r="S25" i="4"/>
  <c r="R25" i="4"/>
  <c r="Q25" i="4"/>
  <c r="P25" i="4"/>
  <c r="T24" i="4"/>
  <c r="S24" i="4"/>
  <c r="R24" i="4"/>
  <c r="Q24" i="4"/>
  <c r="P24" i="4"/>
  <c r="M29" i="4"/>
  <c r="L29" i="4"/>
  <c r="K29" i="4"/>
  <c r="J29" i="4"/>
  <c r="I29" i="4"/>
  <c r="M28" i="4"/>
  <c r="L28" i="4"/>
  <c r="K28" i="4"/>
  <c r="J28" i="4"/>
  <c r="I28" i="4"/>
  <c r="M27" i="4"/>
  <c r="L27" i="4"/>
  <c r="K27" i="4"/>
  <c r="J27" i="4"/>
  <c r="I27" i="4"/>
  <c r="M26" i="4"/>
  <c r="L26" i="4"/>
  <c r="K26" i="4"/>
  <c r="J26" i="4"/>
  <c r="I26" i="4"/>
  <c r="M25" i="4"/>
  <c r="L25" i="4"/>
  <c r="K25" i="4"/>
  <c r="J25" i="4"/>
  <c r="I25" i="4"/>
  <c r="M24" i="4"/>
  <c r="L24" i="4"/>
  <c r="K24" i="4"/>
  <c r="J24" i="4"/>
  <c r="I24" i="4"/>
  <c r="F29" i="4"/>
  <c r="E29" i="4"/>
  <c r="D29" i="4"/>
  <c r="C29" i="4"/>
  <c r="B29" i="4"/>
  <c r="F28" i="4"/>
  <c r="E28" i="4"/>
  <c r="D28" i="4"/>
  <c r="C28" i="4"/>
  <c r="B28" i="4"/>
  <c r="F27" i="4"/>
  <c r="E27" i="4"/>
  <c r="D27" i="4"/>
  <c r="C27" i="4"/>
  <c r="B27" i="4"/>
  <c r="F26" i="4"/>
  <c r="E26" i="4"/>
  <c r="D26" i="4"/>
  <c r="C26" i="4"/>
  <c r="B26" i="4"/>
  <c r="F25" i="4"/>
  <c r="E25" i="4"/>
  <c r="D25" i="4"/>
  <c r="C25" i="4"/>
  <c r="B25" i="4"/>
  <c r="F24" i="4"/>
  <c r="E24" i="4"/>
  <c r="D24" i="4"/>
  <c r="C24" i="4"/>
  <c r="B24" i="4"/>
  <c r="AA19" i="4"/>
  <c r="Z19" i="4"/>
  <c r="Y19" i="4"/>
  <c r="X19" i="4"/>
  <c r="W19" i="4"/>
  <c r="AA18" i="4"/>
  <c r="Z18" i="4"/>
  <c r="Y18" i="4"/>
  <c r="X18" i="4"/>
  <c r="W18" i="4"/>
  <c r="AA17" i="4"/>
  <c r="Z17" i="4"/>
  <c r="Y17" i="4"/>
  <c r="X17" i="4"/>
  <c r="W17" i="4"/>
  <c r="AA16" i="4"/>
  <c r="Z16" i="4"/>
  <c r="Y16" i="4"/>
  <c r="X16" i="4"/>
  <c r="W16" i="4"/>
  <c r="AA15" i="4"/>
  <c r="Z15" i="4"/>
  <c r="Y15" i="4"/>
  <c r="X15" i="4"/>
  <c r="W15" i="4"/>
  <c r="AA14" i="4"/>
  <c r="Z14" i="4"/>
  <c r="Y14" i="4"/>
  <c r="X14" i="4"/>
  <c r="W14" i="4"/>
  <c r="T19" i="4"/>
  <c r="S19" i="4"/>
  <c r="R19" i="4"/>
  <c r="Q19" i="4"/>
  <c r="P19" i="4"/>
  <c r="T18" i="4"/>
  <c r="S18" i="4"/>
  <c r="R18" i="4"/>
  <c r="Q18" i="4"/>
  <c r="P18" i="4"/>
  <c r="T17" i="4"/>
  <c r="S17" i="4"/>
  <c r="R17" i="4"/>
  <c r="Q17" i="4"/>
  <c r="P17" i="4"/>
  <c r="T16" i="4"/>
  <c r="S16" i="4"/>
  <c r="R16" i="4"/>
  <c r="Q16" i="4"/>
  <c r="P16" i="4"/>
  <c r="T15" i="4"/>
  <c r="S15" i="4"/>
  <c r="R15" i="4"/>
  <c r="Q15" i="4"/>
  <c r="P15" i="4"/>
  <c r="T14" i="4"/>
  <c r="S14" i="4"/>
  <c r="R14" i="4"/>
  <c r="Q14" i="4"/>
  <c r="P14" i="4"/>
  <c r="M19" i="4"/>
  <c r="L19" i="4"/>
  <c r="K19" i="4"/>
  <c r="J19" i="4"/>
  <c r="I19" i="4"/>
  <c r="M18" i="4"/>
  <c r="L18" i="4"/>
  <c r="K18" i="4"/>
  <c r="J18" i="4"/>
  <c r="I18" i="4"/>
  <c r="M17" i="4"/>
  <c r="L17" i="4"/>
  <c r="K17" i="4"/>
  <c r="J17" i="4"/>
  <c r="I17" i="4"/>
  <c r="M16" i="4"/>
  <c r="L16" i="4"/>
  <c r="K16" i="4"/>
  <c r="J16" i="4"/>
  <c r="I16" i="4"/>
  <c r="M15" i="4"/>
  <c r="L15" i="4"/>
  <c r="K15" i="4"/>
  <c r="J15" i="4"/>
  <c r="I15" i="4"/>
  <c r="M14" i="4"/>
  <c r="L14" i="4"/>
  <c r="K14" i="4"/>
  <c r="J14" i="4"/>
  <c r="I14" i="4"/>
  <c r="F19" i="4"/>
  <c r="E19" i="4"/>
  <c r="D19" i="4"/>
  <c r="C19" i="4"/>
  <c r="B19" i="4"/>
  <c r="F18" i="4"/>
  <c r="E18" i="4"/>
  <c r="D18" i="4"/>
  <c r="C18" i="4"/>
  <c r="B18" i="4"/>
  <c r="F17" i="4"/>
  <c r="E17" i="4"/>
  <c r="D17" i="4"/>
  <c r="C17" i="4"/>
  <c r="B17" i="4"/>
  <c r="F16" i="4"/>
  <c r="E16" i="4"/>
  <c r="D16" i="4"/>
  <c r="C16" i="4"/>
  <c r="B16" i="4"/>
  <c r="F15" i="4"/>
  <c r="E15" i="4"/>
  <c r="D15" i="4"/>
  <c r="C15" i="4"/>
  <c r="B15" i="4"/>
  <c r="F14" i="4"/>
  <c r="E14" i="4"/>
  <c r="D14" i="4"/>
  <c r="C14" i="4"/>
  <c r="B14" i="4"/>
  <c r="AA9" i="4"/>
  <c r="Z9" i="4"/>
  <c r="Y9" i="4"/>
  <c r="X9" i="4"/>
  <c r="W9" i="4"/>
  <c r="AA8" i="4"/>
  <c r="Z8" i="4"/>
  <c r="Y8" i="4"/>
  <c r="X8" i="4"/>
  <c r="W8" i="4"/>
  <c r="AA7" i="4"/>
  <c r="Z7" i="4"/>
  <c r="Y7" i="4"/>
  <c r="X7" i="4"/>
  <c r="W7" i="4"/>
  <c r="AA6" i="4"/>
  <c r="Z6" i="4"/>
  <c r="Y6" i="4"/>
  <c r="X6" i="4"/>
  <c r="W6" i="4"/>
  <c r="AA5" i="4"/>
  <c r="Z5" i="4"/>
  <c r="Y5" i="4"/>
  <c r="X5" i="4"/>
  <c r="W5" i="4"/>
  <c r="AA4" i="4"/>
  <c r="Z4" i="4"/>
  <c r="Y4" i="4"/>
  <c r="X4" i="4"/>
  <c r="W4" i="4"/>
  <c r="T9" i="4"/>
  <c r="S9" i="4"/>
  <c r="R9" i="4"/>
  <c r="Q9" i="4"/>
  <c r="P9" i="4"/>
  <c r="T8" i="4"/>
  <c r="S8" i="4"/>
  <c r="R8" i="4"/>
  <c r="Q8" i="4"/>
  <c r="P8" i="4"/>
  <c r="T7" i="4"/>
  <c r="S7" i="4"/>
  <c r="R7" i="4"/>
  <c r="Q7" i="4"/>
  <c r="P7" i="4"/>
  <c r="T6" i="4"/>
  <c r="S6" i="4"/>
  <c r="R6" i="4"/>
  <c r="Q6" i="4"/>
  <c r="P6" i="4"/>
  <c r="T5" i="4"/>
  <c r="S5" i="4"/>
  <c r="R5" i="4"/>
  <c r="Q5" i="4"/>
  <c r="P5" i="4"/>
  <c r="T4" i="4"/>
  <c r="S4" i="4"/>
  <c r="R4" i="4"/>
  <c r="Q4" i="4"/>
  <c r="P4" i="4"/>
  <c r="M9" i="4"/>
  <c r="L9" i="4"/>
  <c r="K9" i="4"/>
  <c r="J9" i="4"/>
  <c r="I9" i="4"/>
  <c r="M8" i="4"/>
  <c r="L8" i="4"/>
  <c r="K8" i="4"/>
  <c r="J8" i="4"/>
  <c r="I8" i="4"/>
  <c r="M7" i="4"/>
  <c r="L7" i="4"/>
  <c r="K7" i="4"/>
  <c r="J7" i="4"/>
  <c r="I7" i="4"/>
  <c r="M6" i="4"/>
  <c r="L6" i="4"/>
  <c r="K6" i="4"/>
  <c r="J6" i="4"/>
  <c r="I6" i="4"/>
  <c r="M5" i="4"/>
  <c r="L5" i="4"/>
  <c r="K5" i="4"/>
  <c r="J5" i="4"/>
  <c r="I5" i="4"/>
  <c r="M4" i="4"/>
  <c r="L4" i="4"/>
  <c r="K4" i="4"/>
  <c r="J4" i="4"/>
  <c r="I4" i="4"/>
  <c r="F9" i="4"/>
  <c r="F8" i="4"/>
  <c r="F7" i="4"/>
  <c r="F6" i="4"/>
  <c r="F5" i="4"/>
  <c r="F4" i="4"/>
  <c r="E9" i="4"/>
  <c r="E8" i="4"/>
  <c r="E7" i="4"/>
  <c r="E6" i="4"/>
  <c r="E5" i="4"/>
  <c r="E4" i="4"/>
  <c r="D9" i="4"/>
  <c r="D8" i="4"/>
  <c r="D7" i="4"/>
  <c r="D6" i="4"/>
  <c r="D5" i="4"/>
  <c r="D4" i="4"/>
  <c r="C9" i="4"/>
  <c r="C4" i="4"/>
  <c r="C5" i="4"/>
  <c r="C6" i="4"/>
  <c r="C7" i="4"/>
  <c r="C8" i="4"/>
  <c r="B9" i="4"/>
  <c r="O91" i="4"/>
  <c r="V91" i="4"/>
  <c r="B8" i="5"/>
  <c r="B7" i="5"/>
  <c r="B6" i="5"/>
  <c r="B5" i="5"/>
  <c r="B4" i="5"/>
  <c r="C1" i="5"/>
  <c r="C9" i="6"/>
  <c r="C8" i="6"/>
  <c r="C7" i="6"/>
  <c r="C6" i="6"/>
  <c r="B8" i="4"/>
  <c r="B7" i="4"/>
  <c r="B6" i="4"/>
  <c r="B5" i="4"/>
  <c r="B4" i="4"/>
  <c r="A1" i="4"/>
  <c r="H91" i="4"/>
  <c r="A91" i="4"/>
  <c r="V81" i="4"/>
  <c r="O81" i="4"/>
  <c r="H81" i="4"/>
  <c r="A81" i="4"/>
  <c r="V71" i="4"/>
  <c r="O71" i="4"/>
  <c r="H71" i="4"/>
  <c r="A71" i="4"/>
  <c r="V61" i="4"/>
  <c r="O61" i="4"/>
  <c r="H61" i="4"/>
  <c r="A61" i="4"/>
  <c r="V51" i="4"/>
  <c r="O51" i="4"/>
  <c r="H51" i="4"/>
  <c r="A51" i="4"/>
  <c r="V41" i="4"/>
  <c r="O41" i="4"/>
  <c r="H41" i="4"/>
  <c r="A41" i="4"/>
  <c r="V31" i="4"/>
  <c r="O31" i="4"/>
  <c r="H31" i="4"/>
  <c r="A31" i="4"/>
  <c r="V21" i="4"/>
  <c r="O21" i="4"/>
  <c r="H21" i="4"/>
  <c r="A21" i="4"/>
  <c r="V11" i="4"/>
  <c r="O11" i="4"/>
  <c r="A11" i="4"/>
  <c r="V1" i="4"/>
  <c r="O1" i="4"/>
  <c r="H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深見忠司</author>
  </authors>
  <commentList>
    <comment ref="B3" authorId="0" shapeId="0" xr:uid="{00000000-0006-0000-0500-000001000000}">
      <text>
        <r>
          <rPr>
            <b/>
            <sz val="20"/>
            <color indexed="81"/>
            <rFont val="ＭＳ Ｐゴシック"/>
            <family val="3"/>
            <charset val="128"/>
          </rPr>
          <t>このセルにクラス別一覧表のクラスの右側にある黄文字の数字を入れると，そのクラスの時間割になります！</t>
        </r>
        <r>
          <rPr>
            <sz val="9"/>
            <color indexed="81"/>
            <rFont val="ＭＳ Ｐゴシック"/>
            <family val="3"/>
            <charset val="128"/>
          </rPr>
          <t xml:space="preserve">
</t>
        </r>
      </text>
    </comment>
  </commentList>
</comments>
</file>

<file path=xl/sharedStrings.xml><?xml version="1.0" encoding="utf-8"?>
<sst xmlns="http://schemas.openxmlformats.org/spreadsheetml/2006/main" count="2867" uniqueCount="282">
  <si>
    <t>組</t>
    <rPh sb="0" eb="1">
      <t>クミ</t>
    </rPh>
    <phoneticPr fontId="7"/>
  </si>
  <si>
    <t>担任名</t>
    <rPh sb="0" eb="2">
      <t>タンニン</t>
    </rPh>
    <rPh sb="2" eb="3">
      <t>メイ</t>
    </rPh>
    <phoneticPr fontId="7"/>
  </si>
  <si>
    <t>月</t>
    <rPh sb="0" eb="1">
      <t>ゲツ</t>
    </rPh>
    <phoneticPr fontId="7"/>
  </si>
  <si>
    <t>火</t>
  </si>
  <si>
    <t>火</t>
    <rPh sb="0" eb="1">
      <t>カ</t>
    </rPh>
    <phoneticPr fontId="7"/>
  </si>
  <si>
    <t>水</t>
  </si>
  <si>
    <t>水</t>
    <rPh sb="0" eb="1">
      <t>スイ</t>
    </rPh>
    <phoneticPr fontId="7"/>
  </si>
  <si>
    <t>木</t>
  </si>
  <si>
    <t>木</t>
    <rPh sb="0" eb="1">
      <t>モク</t>
    </rPh>
    <phoneticPr fontId="7"/>
  </si>
  <si>
    <t>金</t>
  </si>
  <si>
    <t>金</t>
    <rPh sb="0" eb="1">
      <t>キン</t>
    </rPh>
    <phoneticPr fontId="7"/>
  </si>
  <si>
    <t>月</t>
    <rPh sb="0" eb="1">
      <t>ガツ</t>
    </rPh>
    <phoneticPr fontId="7"/>
  </si>
  <si>
    <t>Ｉ・Ｊ</t>
    <phoneticPr fontId="7"/>
  </si>
  <si>
    <t>２Ａ</t>
    <phoneticPr fontId="7"/>
  </si>
  <si>
    <t>２Ｂ</t>
    <phoneticPr fontId="7"/>
  </si>
  <si>
    <t>２Ｃ</t>
    <phoneticPr fontId="7"/>
  </si>
  <si>
    <t>２Ｄ</t>
    <phoneticPr fontId="7"/>
  </si>
  <si>
    <t>２Ｅ</t>
    <phoneticPr fontId="7"/>
  </si>
  <si>
    <t>３Ａ</t>
    <phoneticPr fontId="7"/>
  </si>
  <si>
    <t>３Ｂ</t>
    <phoneticPr fontId="7"/>
  </si>
  <si>
    <t>３Ｃ</t>
    <phoneticPr fontId="7"/>
  </si>
  <si>
    <t>３Ｄ</t>
    <phoneticPr fontId="7"/>
  </si>
  <si>
    <t>３Ｅ</t>
    <phoneticPr fontId="7"/>
  </si>
  <si>
    <t>先生</t>
    <rPh sb="0" eb="2">
      <t>センセイ</t>
    </rPh>
    <phoneticPr fontId="7"/>
  </si>
  <si>
    <t>１Ｂ</t>
    <phoneticPr fontId="7"/>
  </si>
  <si>
    <t>１Ｄ</t>
    <phoneticPr fontId="7"/>
  </si>
  <si>
    <t>１Ｅ</t>
    <phoneticPr fontId="7"/>
  </si>
  <si>
    <t>クラス</t>
    <phoneticPr fontId="7"/>
  </si>
  <si>
    <t>１Ｃ</t>
    <phoneticPr fontId="7"/>
  </si>
  <si>
    <t>道</t>
    <rPh sb="0" eb="1">
      <t>ドウ</t>
    </rPh>
    <phoneticPr fontId="7"/>
  </si>
  <si>
    <t>総</t>
    <rPh sb="0" eb="1">
      <t>ソウ</t>
    </rPh>
    <phoneticPr fontId="7"/>
  </si>
  <si>
    <t>学</t>
    <rPh sb="0" eb="1">
      <t>ガク</t>
    </rPh>
    <phoneticPr fontId="7"/>
  </si>
  <si>
    <t>月</t>
    <rPh sb="0" eb="1">
      <t>ガツ</t>
    </rPh>
    <phoneticPr fontId="7"/>
  </si>
  <si>
    <t>先生方へ</t>
    <rPh sb="0" eb="3">
      <t>センセイガタ</t>
    </rPh>
    <phoneticPr fontId="25"/>
  </si>
  <si>
    <t>時間割作成にあたってのアンケート</t>
    <rPh sb="0" eb="3">
      <t>ジカンワリ</t>
    </rPh>
    <rPh sb="3" eb="5">
      <t>サクセイ</t>
    </rPh>
    <phoneticPr fontId="25"/>
  </si>
  <si>
    <t>標記の件につきまして，外部の会議や教科の特性などによって</t>
    <rPh sb="0" eb="2">
      <t>ヒョウキ</t>
    </rPh>
    <rPh sb="3" eb="4">
      <t>ケン</t>
    </rPh>
    <rPh sb="11" eb="13">
      <t>ガイブ</t>
    </rPh>
    <rPh sb="14" eb="16">
      <t>カイギ</t>
    </rPh>
    <rPh sb="17" eb="19">
      <t>キョウカ</t>
    </rPh>
    <rPh sb="20" eb="22">
      <t>トクセイ</t>
    </rPh>
    <phoneticPr fontId="25"/>
  </si>
  <si>
    <t>時間割作成にあたって，要望がありましたら下欄に記入頂きますよう</t>
    <rPh sb="0" eb="3">
      <t>ジカンワリ</t>
    </rPh>
    <rPh sb="3" eb="5">
      <t>サクセイ</t>
    </rPh>
    <rPh sb="11" eb="13">
      <t>ヨウボウ</t>
    </rPh>
    <rPh sb="20" eb="22">
      <t>カラン</t>
    </rPh>
    <rPh sb="23" eb="25">
      <t>キニュウ</t>
    </rPh>
    <rPh sb="25" eb="26">
      <t>イタダ</t>
    </rPh>
    <phoneticPr fontId="25"/>
  </si>
  <si>
    <t>お願いいたします。</t>
    <rPh sb="1" eb="2">
      <t>ネガ</t>
    </rPh>
    <phoneticPr fontId="25"/>
  </si>
  <si>
    <t>まず難しいので，予めご了承願います。（要望の優先順位は係で決めさせて頂きます）</t>
    <rPh sb="2" eb="3">
      <t>ムズカ</t>
    </rPh>
    <rPh sb="8" eb="9">
      <t>アラカジ</t>
    </rPh>
    <rPh sb="11" eb="13">
      <t>リョウショウ</t>
    </rPh>
    <rPh sb="13" eb="14">
      <t>ネガ</t>
    </rPh>
    <rPh sb="19" eb="21">
      <t>ヨウボウ</t>
    </rPh>
    <rPh sb="22" eb="24">
      <t>ユウセン</t>
    </rPh>
    <rPh sb="24" eb="26">
      <t>ジュンイ</t>
    </rPh>
    <rPh sb="27" eb="28">
      <t>カカリ</t>
    </rPh>
    <rPh sb="29" eb="30">
      <t>キ</t>
    </rPh>
    <rPh sb="34" eb="35">
      <t>イタダ</t>
    </rPh>
    <phoneticPr fontId="25"/>
  </si>
  <si>
    <t>絶対配慮しなければ</t>
    <rPh sb="0" eb="2">
      <t>ゼッタイ</t>
    </rPh>
    <rPh sb="2" eb="4">
      <t>ハイリョ</t>
    </rPh>
    <phoneticPr fontId="25"/>
  </si>
  <si>
    <t>ならないこと</t>
  </si>
  <si>
    <t>極力配慮して欲しい</t>
    <rPh sb="0" eb="2">
      <t>キョクリョク</t>
    </rPh>
    <rPh sb="2" eb="4">
      <t>ハイリョ</t>
    </rPh>
    <rPh sb="6" eb="7">
      <t>ホ</t>
    </rPh>
    <phoneticPr fontId="25"/>
  </si>
  <si>
    <t>こと</t>
  </si>
  <si>
    <t>（要望の有無にかかわらず，提出願います。　※要望がない場合は名前のみでＯＫ）</t>
    <rPh sb="1" eb="3">
      <t>ヨウボウ</t>
    </rPh>
    <rPh sb="4" eb="6">
      <t>ウム</t>
    </rPh>
    <rPh sb="13" eb="15">
      <t>テイシュツ</t>
    </rPh>
    <rPh sb="15" eb="16">
      <t>ネガ</t>
    </rPh>
    <rPh sb="22" eb="24">
      <t>ヨウボウ</t>
    </rPh>
    <rPh sb="27" eb="29">
      <t>バアイ</t>
    </rPh>
    <rPh sb="30" eb="32">
      <t>ナマエ</t>
    </rPh>
    <phoneticPr fontId="25"/>
  </si>
  <si>
    <t>氏名</t>
    <rPh sb="0" eb="2">
      <t>シメイ</t>
    </rPh>
    <phoneticPr fontId="25"/>
  </si>
  <si>
    <t>なお，要望に対し努力はしますが，１００％実現することは</t>
    <rPh sb="3" eb="5">
      <t>ヨウボウ</t>
    </rPh>
    <rPh sb="6" eb="7">
      <t>タイ</t>
    </rPh>
    <rPh sb="8" eb="10">
      <t>ドリョク</t>
    </rPh>
    <rPh sb="20" eb="22">
      <t>ジツゲン</t>
    </rPh>
    <phoneticPr fontId="25"/>
  </si>
  <si>
    <t>教科</t>
    <rPh sb="0" eb="2">
      <t>キョウカ</t>
    </rPh>
    <phoneticPr fontId="7"/>
  </si>
  <si>
    <t>学年主任の先生へ</t>
    <rPh sb="0" eb="2">
      <t>ガクネン</t>
    </rPh>
    <rPh sb="2" eb="4">
      <t>シュニン</t>
    </rPh>
    <rPh sb="5" eb="7">
      <t>センセイ</t>
    </rPh>
    <phoneticPr fontId="25"/>
  </si>
  <si>
    <t>時間割作成にあたってのアンケート（学年主任用）</t>
    <rPh sb="0" eb="3">
      <t>ジカンワリ</t>
    </rPh>
    <rPh sb="3" eb="5">
      <t>サクセイ</t>
    </rPh>
    <rPh sb="17" eb="19">
      <t>ガクネン</t>
    </rPh>
    <rPh sb="19" eb="21">
      <t>シュニン</t>
    </rPh>
    <rPh sb="21" eb="22">
      <t>ヨウ</t>
    </rPh>
    <phoneticPr fontId="25"/>
  </si>
  <si>
    <t>＜学年情報＞</t>
    <rPh sb="1" eb="3">
      <t>ガクネン</t>
    </rPh>
    <rPh sb="3" eb="5">
      <t>ジョウホウ</t>
    </rPh>
    <phoneticPr fontId="7"/>
  </si>
  <si>
    <t>担任</t>
    <rPh sb="0" eb="2">
      <t>タンニン</t>
    </rPh>
    <phoneticPr fontId="7"/>
  </si>
  <si>
    <t>＜体育の組み合わせ＞</t>
    <rPh sb="1" eb="3">
      <t>タイイク</t>
    </rPh>
    <rPh sb="4" eb="5">
      <t>ク</t>
    </rPh>
    <rPh sb="6" eb="7">
      <t>ア</t>
    </rPh>
    <phoneticPr fontId="7"/>
  </si>
  <si>
    <t>拠点校指導員は、月水木（月は祝日で時間が少なく、水は４限以降入れれないので、月の人は水に２時間授業が欲しい。木の人はＯＫ）</t>
    <rPh sb="0" eb="3">
      <t>キョテンコウ</t>
    </rPh>
    <rPh sb="3" eb="6">
      <t>シドウイン</t>
    </rPh>
    <rPh sb="8" eb="9">
      <t>ゲツ</t>
    </rPh>
    <rPh sb="9" eb="10">
      <t>スイ</t>
    </rPh>
    <rPh sb="10" eb="11">
      <t>モク</t>
    </rPh>
    <rPh sb="12" eb="13">
      <t>ゲツ</t>
    </rPh>
    <rPh sb="14" eb="16">
      <t>シュクジツ</t>
    </rPh>
    <rPh sb="17" eb="19">
      <t>ジカン</t>
    </rPh>
    <rPh sb="20" eb="21">
      <t>スク</t>
    </rPh>
    <rPh sb="24" eb="25">
      <t>スイ</t>
    </rPh>
    <rPh sb="27" eb="28">
      <t>ゲン</t>
    </rPh>
    <rPh sb="28" eb="30">
      <t>イコウ</t>
    </rPh>
    <rPh sb="30" eb="31">
      <t>イ</t>
    </rPh>
    <rPh sb="38" eb="39">
      <t>ガツ</t>
    </rPh>
    <rPh sb="40" eb="41">
      <t>ヒト</t>
    </rPh>
    <rPh sb="42" eb="43">
      <t>スイ</t>
    </rPh>
    <rPh sb="45" eb="47">
      <t>ジカン</t>
    </rPh>
    <rPh sb="47" eb="49">
      <t>ジュギョウ</t>
    </rPh>
    <rPh sb="50" eb="51">
      <t>ホ</t>
    </rPh>
    <rPh sb="54" eb="55">
      <t>モク</t>
    </rPh>
    <rPh sb="56" eb="57">
      <t>ヒト</t>
    </rPh>
    <phoneticPr fontId="7"/>
  </si>
  <si>
    <t>主任会の日程</t>
    <rPh sb="0" eb="2">
      <t>シュニン</t>
    </rPh>
    <rPh sb="2" eb="3">
      <t>カイ</t>
    </rPh>
    <rPh sb="4" eb="6">
      <t>ニッテイ</t>
    </rPh>
    <phoneticPr fontId="7"/>
  </si>
  <si>
    <t>非常勤講師の条件</t>
    <rPh sb="0" eb="3">
      <t>ヒジョウキン</t>
    </rPh>
    <rPh sb="3" eb="5">
      <t>コウシ</t>
    </rPh>
    <rPh sb="6" eb="8">
      <t>ジョウケン</t>
    </rPh>
    <phoneticPr fontId="7"/>
  </si>
  <si>
    <t>その他、配慮しなければならないこと</t>
    <rPh sb="2" eb="3">
      <t>タ</t>
    </rPh>
    <rPh sb="4" eb="6">
      <t>ハイリョ</t>
    </rPh>
    <phoneticPr fontId="7"/>
  </si>
  <si>
    <t>＜複数で担当する教科の担当クラス＞</t>
    <rPh sb="1" eb="3">
      <t>フクスウ</t>
    </rPh>
    <rPh sb="4" eb="6">
      <t>タントウ</t>
    </rPh>
    <rPh sb="8" eb="10">
      <t>キョウカ</t>
    </rPh>
    <rPh sb="11" eb="13">
      <t>タントウ</t>
    </rPh>
    <phoneticPr fontId="7"/>
  </si>
  <si>
    <t>一般/参観</t>
    <rPh sb="0" eb="2">
      <t>イッパン</t>
    </rPh>
    <rPh sb="3" eb="5">
      <t>サンカン</t>
    </rPh>
    <phoneticPr fontId="7"/>
  </si>
  <si>
    <t>一般/指導</t>
    <rPh sb="0" eb="2">
      <t>イッパン</t>
    </rPh>
    <rPh sb="3" eb="5">
      <t>シドウ</t>
    </rPh>
    <phoneticPr fontId="7"/>
  </si>
  <si>
    <t>授業２</t>
    <rPh sb="0" eb="2">
      <t>ジュギョウ</t>
    </rPh>
    <phoneticPr fontId="7"/>
  </si>
  <si>
    <t>桑山ｔは水に通院多い（授業、主任会）</t>
    <rPh sb="0" eb="2">
      <t>クワヤマ</t>
    </rPh>
    <rPh sb="4" eb="5">
      <t>スイ</t>
    </rPh>
    <rPh sb="6" eb="8">
      <t>ツウイン</t>
    </rPh>
    <rPh sb="8" eb="9">
      <t>オオ</t>
    </rPh>
    <rPh sb="11" eb="13">
      <t>ジュギョウ</t>
    </rPh>
    <rPh sb="14" eb="16">
      <t>シュニン</t>
    </rPh>
    <rPh sb="16" eb="17">
      <t>カイ</t>
    </rPh>
    <phoneticPr fontId="7"/>
  </si>
  <si>
    <t>教頭先生へ</t>
    <rPh sb="0" eb="2">
      <t>キョウトウ</t>
    </rPh>
    <rPh sb="2" eb="4">
      <t>センセイ</t>
    </rPh>
    <phoneticPr fontId="25"/>
  </si>
  <si>
    <t>教務主任の先生へ</t>
    <rPh sb="0" eb="2">
      <t>キョウム</t>
    </rPh>
    <rPh sb="2" eb="4">
      <t>シュニン</t>
    </rPh>
    <rPh sb="5" eb="7">
      <t>センセイ</t>
    </rPh>
    <phoneticPr fontId="25"/>
  </si>
  <si>
    <t>初任研等の条件（初任研以外のこともありましたら、ご記入ください）</t>
    <rPh sb="0" eb="2">
      <t>ショニン</t>
    </rPh>
    <rPh sb="3" eb="4">
      <t>トウ</t>
    </rPh>
    <rPh sb="5" eb="7">
      <t>ジョウケン</t>
    </rPh>
    <rPh sb="8" eb="10">
      <t>ショニン</t>
    </rPh>
    <rPh sb="11" eb="13">
      <t>イガイ</t>
    </rPh>
    <rPh sb="25" eb="27">
      <t>キニュウ</t>
    </rPh>
    <phoneticPr fontId="7"/>
  </si>
  <si>
    <t>ご自身の教科についての配慮事項</t>
    <rPh sb="1" eb="3">
      <t>ジシン</t>
    </rPh>
    <rPh sb="4" eb="6">
      <t>キョウカ</t>
    </rPh>
    <rPh sb="11" eb="13">
      <t>ハイリョ</t>
    </rPh>
    <rPh sb="13" eb="15">
      <t>ジコウ</t>
    </rPh>
    <phoneticPr fontId="7"/>
  </si>
  <si>
    <t>（要望の有無にかかわらず，提出願います。）</t>
    <rPh sb="1" eb="3">
      <t>ヨウボウ</t>
    </rPh>
    <rPh sb="4" eb="6">
      <t>ウム</t>
    </rPh>
    <rPh sb="13" eb="15">
      <t>テイシュツ</t>
    </rPh>
    <rPh sb="15" eb="16">
      <t>ネガ</t>
    </rPh>
    <phoneticPr fontId="25"/>
  </si>
  <si>
    <t>＜その他、もし学年特有の要望がありましたらどうぞ＞</t>
    <rPh sb="3" eb="4">
      <t>タ</t>
    </rPh>
    <rPh sb="7" eb="9">
      <t>ガクネン</t>
    </rPh>
    <rPh sb="9" eb="11">
      <t>トクユウ</t>
    </rPh>
    <rPh sb="12" eb="14">
      <t>ヨウボウ</t>
    </rPh>
    <phoneticPr fontId="7"/>
  </si>
  <si>
    <t>時間割担当の先生方へ</t>
    <rPh sb="0" eb="3">
      <t>ジカンワリ</t>
    </rPh>
    <rPh sb="3" eb="5">
      <t>タントウ</t>
    </rPh>
    <rPh sb="6" eb="9">
      <t>センセイガタ</t>
    </rPh>
    <phoneticPr fontId="25"/>
  </si>
  <si>
    <t>時間割作成予定について</t>
    <rPh sb="0" eb="3">
      <t>ジカンワリ</t>
    </rPh>
    <rPh sb="3" eb="5">
      <t>サクセイ</t>
    </rPh>
    <rPh sb="5" eb="7">
      <t>ヨテイ</t>
    </rPh>
    <phoneticPr fontId="25"/>
  </si>
  <si>
    <t>時間割作成を下記スケジュールにて進めたいと思います。</t>
    <rPh sb="0" eb="3">
      <t>ジカンワリ</t>
    </rPh>
    <rPh sb="3" eb="5">
      <t>サクセイ</t>
    </rPh>
    <rPh sb="6" eb="8">
      <t>カキ</t>
    </rPh>
    <rPh sb="16" eb="17">
      <t>スス</t>
    </rPh>
    <rPh sb="21" eb="22">
      <t>オモ</t>
    </rPh>
    <phoneticPr fontId="25"/>
  </si>
  <si>
    <t>年度初めの忙しい折ではありますが，よろしくお願いします。</t>
    <rPh sb="0" eb="2">
      <t>ネンド</t>
    </rPh>
    <rPh sb="2" eb="3">
      <t>ハジ</t>
    </rPh>
    <rPh sb="5" eb="6">
      <t>イソガ</t>
    </rPh>
    <rPh sb="8" eb="9">
      <t>オリ</t>
    </rPh>
    <rPh sb="22" eb="23">
      <t>ネガ</t>
    </rPh>
    <phoneticPr fontId="25"/>
  </si>
  <si>
    <t>時間（予定）</t>
    <rPh sb="0" eb="2">
      <t>ジカン</t>
    </rPh>
    <rPh sb="3" eb="5">
      <t>ヨテイ</t>
    </rPh>
    <phoneticPr fontId="25"/>
  </si>
  <si>
    <t>制作スケジュール</t>
    <rPh sb="0" eb="2">
      <t>セイサク</t>
    </rPh>
    <phoneticPr fontId="25"/>
  </si>
  <si>
    <t>備考</t>
    <rPh sb="0" eb="2">
      <t>ビコウ</t>
    </rPh>
    <phoneticPr fontId="25"/>
  </si>
  <si>
    <t>最初，一旦全員で</t>
    <rPh sb="0" eb="2">
      <t>サイショ</t>
    </rPh>
    <rPh sb="3" eb="5">
      <t>イッタン</t>
    </rPh>
    <rPh sb="5" eb="7">
      <t>ゼンイン</t>
    </rPh>
    <phoneticPr fontId="25"/>
  </si>
  <si>
    <t>集まって進め方を</t>
    <rPh sb="0" eb="1">
      <t>アツ</t>
    </rPh>
    <rPh sb="4" eb="5">
      <t>スス</t>
    </rPh>
    <rPh sb="6" eb="7">
      <t>カタ</t>
    </rPh>
    <phoneticPr fontId="25"/>
  </si>
  <si>
    <t>確認しましょう。</t>
    <rPh sb="0" eb="2">
      <t>カクニン</t>
    </rPh>
    <phoneticPr fontId="25"/>
  </si>
  <si>
    <t>この日は全員参加で</t>
    <rPh sb="2" eb="3">
      <t>ヒ</t>
    </rPh>
    <rPh sb="4" eb="6">
      <t>ゼンイン</t>
    </rPh>
    <rPh sb="6" eb="8">
      <t>サンカ</t>
    </rPh>
    <phoneticPr fontId="25"/>
  </si>
  <si>
    <t>とりあえず，全部埋めて</t>
    <rPh sb="6" eb="8">
      <t>ゼンブ</t>
    </rPh>
    <rPh sb="8" eb="9">
      <t>ウ</t>
    </rPh>
    <phoneticPr fontId="25"/>
  </si>
  <si>
    <t>お願いします。</t>
    <rPh sb="1" eb="2">
      <t>ネガ</t>
    </rPh>
    <phoneticPr fontId="25"/>
  </si>
  <si>
    <t>翌日，各先生に見てもらう</t>
    <rPh sb="0" eb="2">
      <t>ヨクジツ</t>
    </rPh>
    <rPh sb="3" eb="4">
      <t>カク</t>
    </rPh>
    <rPh sb="4" eb="6">
      <t>センセイ</t>
    </rPh>
    <rPh sb="7" eb="8">
      <t>ミ</t>
    </rPh>
    <phoneticPr fontId="25"/>
  </si>
  <si>
    <t>16:00～</t>
  </si>
  <si>
    <t>15:00～</t>
  </si>
  <si>
    <t>体育をかため、</t>
    <rPh sb="0" eb="2">
      <t>タイイク</t>
    </rPh>
    <phoneticPr fontId="7"/>
  </si>
  <si>
    <t>とりあえず，７割方埋める</t>
    <rPh sb="7" eb="9">
      <t>ワリガタ</t>
    </rPh>
    <rPh sb="9" eb="10">
      <t>ウ</t>
    </rPh>
    <phoneticPr fontId="25"/>
  </si>
  <si>
    <t>問題点を確認する。</t>
    <rPh sb="0" eb="3">
      <t>モンダイテン</t>
    </rPh>
    <rPh sb="4" eb="6">
      <t>カクニン</t>
    </rPh>
    <phoneticPr fontId="25"/>
  </si>
  <si>
    <t>問題点を直して打ち込み、</t>
    <rPh sb="0" eb="3">
      <t>モンダイテン</t>
    </rPh>
    <rPh sb="4" eb="5">
      <t>ナオ</t>
    </rPh>
    <rPh sb="7" eb="8">
      <t>ウ</t>
    </rPh>
    <rPh sb="9" eb="10">
      <t>コ</t>
    </rPh>
    <phoneticPr fontId="25"/>
  </si>
  <si>
    <t>要望に沿って調整、</t>
    <rPh sb="0" eb="2">
      <t>ヨウボウ</t>
    </rPh>
    <rPh sb="3" eb="4">
      <t>ソ</t>
    </rPh>
    <rPh sb="6" eb="8">
      <t>チョウセイ</t>
    </rPh>
    <phoneticPr fontId="25"/>
  </si>
  <si>
    <t>第１案として完成させる</t>
    <rPh sb="0" eb="1">
      <t>ダイ</t>
    </rPh>
    <rPh sb="2" eb="3">
      <t>アン</t>
    </rPh>
    <rPh sb="6" eb="8">
      <t>カンセイ</t>
    </rPh>
    <phoneticPr fontId="7"/>
  </si>
  <si>
    <t>以降は、必要に応じ対応していきたいと思います。</t>
    <rPh sb="0" eb="2">
      <t>イコウ</t>
    </rPh>
    <rPh sb="4" eb="6">
      <t>ヒツヨウ</t>
    </rPh>
    <rPh sb="7" eb="8">
      <t>オウ</t>
    </rPh>
    <rPh sb="9" eb="11">
      <t>タイオウ</t>
    </rPh>
    <rPh sb="18" eb="19">
      <t>オモ</t>
    </rPh>
    <phoneticPr fontId="25"/>
  </si>
  <si>
    <t>15:30～17:00</t>
    <phoneticPr fontId="7"/>
  </si>
  <si>
    <t>（作業場は、北校舎１階の進路指導室です）</t>
    <rPh sb="1" eb="4">
      <t>サギョウバ</t>
    </rPh>
    <rPh sb="6" eb="7">
      <t>キタ</t>
    </rPh>
    <rPh sb="7" eb="9">
      <t>コウシャ</t>
    </rPh>
    <rPh sb="10" eb="11">
      <t>カイ</t>
    </rPh>
    <rPh sb="12" eb="14">
      <t>シンロ</t>
    </rPh>
    <rPh sb="14" eb="17">
      <t>シドウシツ</t>
    </rPh>
    <phoneticPr fontId="7"/>
  </si>
  <si>
    <t>15:00～</t>
    <phoneticPr fontId="7"/>
  </si>
  <si>
    <t>13:30～</t>
    <phoneticPr fontId="7"/>
  </si>
  <si>
    <t>コマ（シール）の作成等の</t>
    <rPh sb="8" eb="10">
      <t>サクセイ</t>
    </rPh>
    <rPh sb="10" eb="11">
      <t>トウ</t>
    </rPh>
    <phoneticPr fontId="25"/>
  </si>
  <si>
    <t>事前準備</t>
    <rPh sb="0" eb="2">
      <t>ジゼン</t>
    </rPh>
    <rPh sb="2" eb="4">
      <t>ジュンビ</t>
    </rPh>
    <phoneticPr fontId="7"/>
  </si>
  <si>
    <t>※15時にアンケート</t>
    <rPh sb="3" eb="4">
      <t>ジ</t>
    </rPh>
    <phoneticPr fontId="7"/>
  </si>
  <si>
    <t>が集まる。</t>
    <rPh sb="1" eb="2">
      <t>アツ</t>
    </rPh>
    <phoneticPr fontId="7"/>
  </si>
  <si>
    <t>始業式以降はどうしても揃いにくくなると思いますので、</t>
    <rPh sb="0" eb="3">
      <t>シギョウシキ</t>
    </rPh>
    <rPh sb="3" eb="5">
      <t>イコウ</t>
    </rPh>
    <rPh sb="11" eb="12">
      <t>ソロ</t>
    </rPh>
    <rPh sb="19" eb="20">
      <t>オモ</t>
    </rPh>
    <phoneticPr fontId="25"/>
  </si>
  <si>
    <t>月</t>
    <rPh sb="0" eb="1">
      <t>ツキ</t>
    </rPh>
    <phoneticPr fontId="25"/>
  </si>
  <si>
    <t>名古屋市立汐路中学校</t>
    <rPh sb="0" eb="3">
      <t>ナゴヤ</t>
    </rPh>
    <rPh sb="3" eb="5">
      <t>シリツ</t>
    </rPh>
    <rPh sb="5" eb="7">
      <t>シオジ</t>
    </rPh>
    <rPh sb="7" eb="10">
      <t>チュウガッコウ</t>
    </rPh>
    <phoneticPr fontId="25"/>
  </si>
  <si>
    <t/>
  </si>
  <si>
    <t xml:space="preserve"> </t>
  </si>
  <si>
    <t>道</t>
  </si>
  <si>
    <t>学</t>
  </si>
  <si>
    <t>菅田</t>
    <rPh sb="0" eb="2">
      <t>スガタ</t>
    </rPh>
    <phoneticPr fontId="7"/>
  </si>
  <si>
    <t>松村</t>
    <rPh sb="0" eb="2">
      <t>マツムラ</t>
    </rPh>
    <phoneticPr fontId="7"/>
  </si>
  <si>
    <t>IJ</t>
  </si>
  <si>
    <t>2A</t>
  </si>
  <si>
    <t>先生方へ</t>
    <rPh sb="0" eb="3">
      <t>センセイガタ</t>
    </rPh>
    <phoneticPr fontId="7"/>
  </si>
  <si>
    <t>時間割（仮１）について</t>
    <rPh sb="0" eb="3">
      <t>ジカンワリ</t>
    </rPh>
    <rPh sb="4" eb="5">
      <t>カリ</t>
    </rPh>
    <phoneticPr fontId="7"/>
  </si>
  <si>
    <t>ご検討いただきますようお願いします。</t>
    <rPh sb="1" eb="3">
      <t>ケントウ</t>
    </rPh>
    <rPh sb="12" eb="13">
      <t>ネガ</t>
    </rPh>
    <phoneticPr fontId="7"/>
  </si>
  <si>
    <t>令和２年４月７日</t>
    <rPh sb="0" eb="2">
      <t>レイワ</t>
    </rPh>
    <rPh sb="3" eb="4">
      <t>ネン</t>
    </rPh>
    <rPh sb="5" eb="6">
      <t>ツキ</t>
    </rPh>
    <rPh sb="7" eb="8">
      <t>ニチ</t>
    </rPh>
    <phoneticPr fontId="7"/>
  </si>
  <si>
    <t>時間割係</t>
    <rPh sb="0" eb="3">
      <t>ジカンワリ</t>
    </rPh>
    <rPh sb="3" eb="4">
      <t>カカリ</t>
    </rPh>
    <phoneticPr fontId="7"/>
  </si>
  <si>
    <t>本年度の時間割第１案をお配りします。（裏面）</t>
    <rPh sb="0" eb="3">
      <t>ホンネンド</t>
    </rPh>
    <rPh sb="4" eb="7">
      <t>ジカンワリ</t>
    </rPh>
    <rPh sb="7" eb="8">
      <t>ダイ</t>
    </rPh>
    <rPh sb="9" eb="10">
      <t>アン</t>
    </rPh>
    <rPh sb="12" eb="13">
      <t>クバ</t>
    </rPh>
    <rPh sb="19" eb="21">
      <t>リメン</t>
    </rPh>
    <phoneticPr fontId="7"/>
  </si>
  <si>
    <t>（配付先→授業を担当する先生　※非常勤を除く）</t>
    <rPh sb="1" eb="4">
      <t>ハイフサキ</t>
    </rPh>
    <rPh sb="5" eb="7">
      <t>ジュギョウ</t>
    </rPh>
    <rPh sb="8" eb="10">
      <t>タントウ</t>
    </rPh>
    <rPh sb="12" eb="14">
      <t>センセイ</t>
    </rPh>
    <phoneticPr fontId="7"/>
  </si>
  <si>
    <t>春日井</t>
    <rPh sb="0" eb="3">
      <t>カスガイ</t>
    </rPh>
    <phoneticPr fontId="7"/>
  </si>
  <si>
    <t>IJ</t>
    <phoneticPr fontId="7"/>
  </si>
  <si>
    <t>※　(3AT)　→　TT授業　　　(3At)　→　TT授業&lt;補助&gt;　　　　　音楽の「音美」の(1CD)　→　X週は1C、Ｙ週は1D</t>
    <rPh sb="12" eb="14">
      <t>ジュギョウ</t>
    </rPh>
    <rPh sb="27" eb="29">
      <t>ジュギョウ</t>
    </rPh>
    <rPh sb="30" eb="32">
      <t>ホジョ</t>
    </rPh>
    <rPh sb="38" eb="40">
      <t>オンガク</t>
    </rPh>
    <rPh sb="42" eb="43">
      <t>オン</t>
    </rPh>
    <rPh sb="43" eb="44">
      <t>ビ</t>
    </rPh>
    <rPh sb="55" eb="56">
      <t>シュウ</t>
    </rPh>
    <rPh sb="61" eb="62">
      <t>シュウ</t>
    </rPh>
    <phoneticPr fontId="7"/>
  </si>
  <si>
    <t>4/9(木)までに　渡邉貴へ</t>
    <rPh sb="4" eb="5">
      <t>モク</t>
    </rPh>
    <rPh sb="10" eb="12">
      <t>ワタナベ</t>
    </rPh>
    <rPh sb="12" eb="13">
      <t>タカシ</t>
    </rPh>
    <phoneticPr fontId="7"/>
  </si>
  <si>
    <t>ver</t>
    <phoneticPr fontId="7"/>
  </si>
  <si>
    <t>2CT</t>
  </si>
  <si>
    <t>1Dt</t>
  </si>
  <si>
    <t>2Ct</t>
  </si>
  <si>
    <t>1DT</t>
  </si>
  <si>
    <t>1CDt</t>
  </si>
  <si>
    <t>1Bt</t>
  </si>
  <si>
    <t>1At</t>
  </si>
  <si>
    <t>1CＤT</t>
  </si>
  <si>
    <t>1BT</t>
  </si>
  <si>
    <t>1ＡT</t>
  </si>
  <si>
    <t>1E</t>
  </si>
  <si>
    <t>2B</t>
  </si>
  <si>
    <t>３D</t>
    <phoneticPr fontId="7"/>
  </si>
  <si>
    <t>３E</t>
    <phoneticPr fontId="7"/>
  </si>
  <si>
    <t>令和４年４月１３日</t>
    <rPh sb="0" eb="2">
      <t>レイワ</t>
    </rPh>
    <rPh sb="3" eb="4">
      <t>ネン</t>
    </rPh>
    <rPh sb="5" eb="6">
      <t>ツキ</t>
    </rPh>
    <rPh sb="8" eb="9">
      <t>ニチ</t>
    </rPh>
    <phoneticPr fontId="7"/>
  </si>
  <si>
    <t>仮時間割完成について</t>
    <rPh sb="0" eb="1">
      <t>カリ</t>
    </rPh>
    <rPh sb="1" eb="4">
      <t>ジカンワリ</t>
    </rPh>
    <rPh sb="4" eb="6">
      <t>カンセイ</t>
    </rPh>
    <phoneticPr fontId="7"/>
  </si>
  <si>
    <t>クラスの掲示用（別紙）もあるのでお使いください。</t>
    <rPh sb="4" eb="6">
      <t>ケイジ</t>
    </rPh>
    <rPh sb="6" eb="7">
      <t>ヨウ</t>
    </rPh>
    <rPh sb="8" eb="10">
      <t>ベッシ</t>
    </rPh>
    <rPh sb="17" eb="18">
      <t>ツカ</t>
    </rPh>
    <phoneticPr fontId="7"/>
  </si>
  <si>
    <t>時間割（仮②）について</t>
    <rPh sb="0" eb="3">
      <t>ジカンワリ</t>
    </rPh>
    <rPh sb="4" eb="5">
      <t>カリ</t>
    </rPh>
    <phoneticPr fontId="7"/>
  </si>
  <si>
    <t>要望を頂いた所は、変更しました。</t>
    <rPh sb="0" eb="2">
      <t>ヨウボウ</t>
    </rPh>
    <rPh sb="3" eb="4">
      <t>イタダ</t>
    </rPh>
    <rPh sb="6" eb="7">
      <t>トコロ</t>
    </rPh>
    <rPh sb="9" eb="11">
      <t>ヘンコウ</t>
    </rPh>
    <phoneticPr fontId="7"/>
  </si>
  <si>
    <t>本年度の仮時間割②をお配りします。（裏面）</t>
    <rPh sb="0" eb="3">
      <t>ホンネンド</t>
    </rPh>
    <rPh sb="4" eb="5">
      <t>カリ</t>
    </rPh>
    <rPh sb="5" eb="8">
      <t>ジカンワリ</t>
    </rPh>
    <rPh sb="11" eb="12">
      <t>クバ</t>
    </rPh>
    <rPh sb="18" eb="20">
      <t>リメン</t>
    </rPh>
    <phoneticPr fontId="7"/>
  </si>
  <si>
    <t>4/13(水)午後にはクラス掲示用も印刷します。</t>
    <phoneticPr fontId="7"/>
  </si>
  <si>
    <t xml:space="preserve">
</t>
    <phoneticPr fontId="7"/>
  </si>
  <si>
    <t>よろしくお願い致します。</t>
    <rPh sb="5" eb="6">
      <t>ネガ</t>
    </rPh>
    <rPh sb="7" eb="8">
      <t>イタ</t>
    </rPh>
    <phoneticPr fontId="7"/>
  </si>
  <si>
    <t>本年度の仮時間割をお配りします。</t>
    <rPh sb="0" eb="3">
      <t>ホンネンド</t>
    </rPh>
    <rPh sb="4" eb="5">
      <t>カリ</t>
    </rPh>
    <rPh sb="5" eb="8">
      <t>ジカンワリ</t>
    </rPh>
    <rPh sb="10" eb="11">
      <t>クバ</t>
    </rPh>
    <phoneticPr fontId="7"/>
  </si>
  <si>
    <t>もし、ご意見ご要望がございましたら、代案を添えて、</t>
    <rPh sb="4" eb="6">
      <t>イケン</t>
    </rPh>
    <rPh sb="7" eb="9">
      <t>ヨウボウ</t>
    </rPh>
    <rPh sb="18" eb="20">
      <t>ダイアン</t>
    </rPh>
    <rPh sb="21" eb="22">
      <t>ソ</t>
    </rPh>
    <phoneticPr fontId="7"/>
  </si>
  <si>
    <t>4/22(金)の１６時までに柿家までお願い致します</t>
    <phoneticPr fontId="7"/>
  </si>
  <si>
    <t>1E</t>
    <phoneticPr fontId="7"/>
  </si>
  <si>
    <t>2D</t>
    <phoneticPr fontId="7"/>
  </si>
  <si>
    <t>2E</t>
    <phoneticPr fontId="7"/>
  </si>
  <si>
    <t>朝日より</t>
    <rPh sb="0" eb="2">
      <t>アサヒ</t>
    </rPh>
    <phoneticPr fontId="25"/>
  </si>
  <si>
    <t>1A</t>
  </si>
  <si>
    <t>1A</t>
    <phoneticPr fontId="7"/>
  </si>
  <si>
    <t>1B</t>
  </si>
  <si>
    <t>1B</t>
    <phoneticPr fontId="7"/>
  </si>
  <si>
    <t>1C</t>
  </si>
  <si>
    <t>1C</t>
    <phoneticPr fontId="7"/>
  </si>
  <si>
    <t>1D</t>
  </si>
  <si>
    <t>1D</t>
    <phoneticPr fontId="7"/>
  </si>
  <si>
    <t>1F</t>
  </si>
  <si>
    <t>2A</t>
    <phoneticPr fontId="7"/>
  </si>
  <si>
    <t>2B</t>
    <phoneticPr fontId="7"/>
  </si>
  <si>
    <t>2C</t>
  </si>
  <si>
    <t>2C</t>
    <phoneticPr fontId="7"/>
  </si>
  <si>
    <t>2D</t>
  </si>
  <si>
    <t>2E</t>
  </si>
  <si>
    <t>3A</t>
    <phoneticPr fontId="7"/>
  </si>
  <si>
    <t>3B</t>
    <phoneticPr fontId="7"/>
  </si>
  <si>
    <t>3C</t>
    <phoneticPr fontId="7"/>
  </si>
  <si>
    <t>3D</t>
    <phoneticPr fontId="7"/>
  </si>
  <si>
    <t>3E</t>
    <phoneticPr fontId="7"/>
  </si>
  <si>
    <t>→</t>
    <phoneticPr fontId="7"/>
  </si>
  <si>
    <t>谷口</t>
    <rPh sb="0" eb="2">
      <t>タニグチ</t>
    </rPh>
    <phoneticPr fontId="7"/>
  </si>
  <si>
    <t>仲野</t>
    <rPh sb="0" eb="2">
      <t>ナカノ</t>
    </rPh>
    <phoneticPr fontId="7"/>
  </si>
  <si>
    <t>松田</t>
    <rPh sb="0" eb="2">
      <t>マツダ</t>
    </rPh>
    <phoneticPr fontId="7"/>
  </si>
  <si>
    <t>学</t>
    <phoneticPr fontId="7"/>
  </si>
  <si>
    <t>学</t>
    <rPh sb="0" eb="1">
      <t>マナ</t>
    </rPh>
    <phoneticPr fontId="7"/>
  </si>
  <si>
    <t>石垣</t>
    <rPh sb="0" eb="2">
      <t>イシガキ</t>
    </rPh>
    <phoneticPr fontId="7"/>
  </si>
  <si>
    <t>朝日</t>
    <rPh sb="0" eb="2">
      <t>アサヒ</t>
    </rPh>
    <phoneticPr fontId="7"/>
  </si>
  <si>
    <t>馬場</t>
    <rPh sb="0" eb="2">
      <t>ババ</t>
    </rPh>
    <phoneticPr fontId="7"/>
  </si>
  <si>
    <t>西脇</t>
    <rPh sb="0" eb="2">
      <t>ニシワキ</t>
    </rPh>
    <phoneticPr fontId="7"/>
  </si>
  <si>
    <t>石飛</t>
    <rPh sb="0" eb="2">
      <t>イシトビ</t>
    </rPh>
    <phoneticPr fontId="7"/>
  </si>
  <si>
    <t>大島</t>
    <rPh sb="0" eb="2">
      <t>オオシマ</t>
    </rPh>
    <phoneticPr fontId="7"/>
  </si>
  <si>
    <t>鈴木</t>
    <rPh sb="0" eb="2">
      <t>スズキ</t>
    </rPh>
    <phoneticPr fontId="7"/>
  </si>
  <si>
    <t>篠田</t>
    <rPh sb="0" eb="2">
      <t>シノダ</t>
    </rPh>
    <phoneticPr fontId="7"/>
  </si>
  <si>
    <t>AET１</t>
  </si>
  <si>
    <t>AET２</t>
  </si>
  <si>
    <t>（3AT）　＝　T・T授業（メイン）　　（3At）　＝　T・T授業（援助）</t>
    <rPh sb="11" eb="13">
      <t>ジュギョウ</t>
    </rPh>
    <rPh sb="31" eb="33">
      <t>ジュギョウ</t>
    </rPh>
    <rPh sb="34" eb="36">
      <t>エンジョ</t>
    </rPh>
    <phoneticPr fontId="7"/>
  </si>
  <si>
    <t>１Ｆ</t>
    <phoneticPr fontId="7"/>
  </si>
  <si>
    <t>2F</t>
    <phoneticPr fontId="7"/>
  </si>
  <si>
    <t>Ｉ・Ｊ</t>
    <phoneticPr fontId="7"/>
  </si>
  <si>
    <t>時間割表  （本時間割）</t>
    <rPh sb="7" eb="8">
      <t>ホン</t>
    </rPh>
    <rPh sb="8" eb="11">
      <t>ジカンワリ</t>
    </rPh>
    <phoneticPr fontId="7"/>
  </si>
  <si>
    <t>４月３日（木）１５時までに朝日机上の封筒まで</t>
    <rPh sb="1" eb="2">
      <t>ツキ</t>
    </rPh>
    <rPh sb="5" eb="6">
      <t>モク</t>
    </rPh>
    <rPh sb="13" eb="15">
      <t>アサヒ</t>
    </rPh>
    <rPh sb="15" eb="17">
      <t>キジョウ</t>
    </rPh>
    <rPh sb="18" eb="20">
      <t>フウトウ</t>
    </rPh>
    <phoneticPr fontId="25"/>
  </si>
  <si>
    <t>16:00～17:00</t>
    <phoneticPr fontId="7"/>
  </si>
  <si>
    <t>なんとか８（火）に形にすることを目指して頑張りたく、ご協力願います。</t>
    <rPh sb="6" eb="7">
      <t>カ</t>
    </rPh>
    <rPh sb="9" eb="10">
      <t>カタチ</t>
    </rPh>
    <rPh sb="16" eb="18">
      <t>メザ</t>
    </rPh>
    <rPh sb="20" eb="22">
      <t>ガンバ</t>
    </rPh>
    <rPh sb="27" eb="29">
      <t>キョウリョク</t>
    </rPh>
    <rPh sb="29" eb="30">
      <t>ネガ</t>
    </rPh>
    <phoneticPr fontId="25"/>
  </si>
  <si>
    <t>名倉</t>
    <rPh sb="0" eb="2">
      <t>ナグラ</t>
    </rPh>
    <phoneticPr fontId="7"/>
  </si>
  <si>
    <t>藤井</t>
    <rPh sb="0" eb="2">
      <t>フジイ</t>
    </rPh>
    <phoneticPr fontId="7"/>
  </si>
  <si>
    <t>安井</t>
    <rPh sb="0" eb="2">
      <t>ヤスイ</t>
    </rPh>
    <phoneticPr fontId="7"/>
  </si>
  <si>
    <t>幸島</t>
    <rPh sb="0" eb="2">
      <t>コウシマ</t>
    </rPh>
    <phoneticPr fontId="7"/>
  </si>
  <si>
    <t>山田</t>
    <rPh sb="0" eb="2">
      <t>ヤマダ</t>
    </rPh>
    <phoneticPr fontId="7"/>
  </si>
  <si>
    <t>佐野</t>
    <rPh sb="0" eb="2">
      <t>サノ</t>
    </rPh>
    <phoneticPr fontId="7"/>
  </si>
  <si>
    <t>令和８年度</t>
    <rPh sb="0" eb="2">
      <t>レイワ</t>
    </rPh>
    <rPh sb="3" eb="5">
      <t>ネンド</t>
    </rPh>
    <phoneticPr fontId="7"/>
  </si>
  <si>
    <t>保体</t>
    <rPh sb="0" eb="2">
      <t>ホタイ</t>
    </rPh>
    <phoneticPr fontId="7"/>
  </si>
  <si>
    <t>音</t>
    <rPh sb="0" eb="1">
      <t>オン</t>
    </rPh>
    <phoneticPr fontId="7"/>
  </si>
  <si>
    <t>音美</t>
    <rPh sb="0" eb="2">
      <t>オンビ</t>
    </rPh>
    <phoneticPr fontId="7"/>
  </si>
  <si>
    <t>美音</t>
    <rPh sb="0" eb="2">
      <t>ビオン</t>
    </rPh>
    <phoneticPr fontId="7"/>
  </si>
  <si>
    <t>美</t>
    <rPh sb="0" eb="1">
      <t>ビ</t>
    </rPh>
    <phoneticPr fontId="7"/>
  </si>
  <si>
    <t>技家</t>
    <rPh sb="0" eb="2">
      <t>ギカ</t>
    </rPh>
    <phoneticPr fontId="7"/>
  </si>
  <si>
    <t>家</t>
    <rPh sb="0" eb="1">
      <t>イエ</t>
    </rPh>
    <phoneticPr fontId="7"/>
  </si>
  <si>
    <t>技</t>
    <rPh sb="0" eb="1">
      <t>ワザ</t>
    </rPh>
    <phoneticPr fontId="7"/>
  </si>
  <si>
    <t>柿家</t>
    <rPh sb="0" eb="1">
      <t>カキ</t>
    </rPh>
    <rPh sb="1" eb="2">
      <t>イエ</t>
    </rPh>
    <phoneticPr fontId="7"/>
  </si>
  <si>
    <t>高橋咲</t>
    <rPh sb="0" eb="2">
      <t>タカハシ</t>
    </rPh>
    <rPh sb="2" eb="3">
      <t>サキ</t>
    </rPh>
    <phoneticPr fontId="7"/>
  </si>
  <si>
    <t>1F</t>
    <phoneticPr fontId="7"/>
  </si>
  <si>
    <t>浅田</t>
    <rPh sb="0" eb="2">
      <t>アサダ</t>
    </rPh>
    <phoneticPr fontId="7"/>
  </si>
  <si>
    <t>渡邉</t>
    <rPh sb="0" eb="2">
      <t>ワタナベ</t>
    </rPh>
    <phoneticPr fontId="7"/>
  </si>
  <si>
    <t>浅野</t>
    <rPh sb="0" eb="2">
      <t>アサノ</t>
    </rPh>
    <phoneticPr fontId="7"/>
  </si>
  <si>
    <t>酒井</t>
    <rPh sb="0" eb="2">
      <t>サカイ</t>
    </rPh>
    <phoneticPr fontId="7"/>
  </si>
  <si>
    <t>樽見</t>
    <rPh sb="0" eb="2">
      <t>タルミ</t>
    </rPh>
    <phoneticPr fontId="7"/>
  </si>
  <si>
    <t>高田</t>
    <rPh sb="0" eb="2">
      <t>タカダ</t>
    </rPh>
    <phoneticPr fontId="7"/>
  </si>
  <si>
    <t>高橋美</t>
    <rPh sb="0" eb="2">
      <t>タカハシ</t>
    </rPh>
    <rPh sb="2" eb="3">
      <t>ミ</t>
    </rPh>
    <phoneticPr fontId="7"/>
  </si>
  <si>
    <t>丹羽</t>
    <rPh sb="0" eb="2">
      <t>ニワ</t>
    </rPh>
    <phoneticPr fontId="7"/>
  </si>
  <si>
    <t>城</t>
    <rPh sb="0" eb="1">
      <t>シロ</t>
    </rPh>
    <phoneticPr fontId="7"/>
  </si>
  <si>
    <t>長谷川麻</t>
    <rPh sb="0" eb="3">
      <t>ハセガワ</t>
    </rPh>
    <rPh sb="3" eb="4">
      <t>マ</t>
    </rPh>
    <phoneticPr fontId="7"/>
  </si>
  <si>
    <t>野々村</t>
    <rPh sb="0" eb="3">
      <t>ノノムラ</t>
    </rPh>
    <phoneticPr fontId="7"/>
  </si>
  <si>
    <t>1EF</t>
    <phoneticPr fontId="7"/>
  </si>
  <si>
    <t>1AB</t>
    <phoneticPr fontId="7"/>
  </si>
  <si>
    <t>1CD</t>
    <phoneticPr fontId="7"/>
  </si>
  <si>
    <t>1FE</t>
    <phoneticPr fontId="7"/>
  </si>
  <si>
    <t>1BA</t>
    <phoneticPr fontId="7"/>
  </si>
  <si>
    <t>1DC</t>
    <phoneticPr fontId="7"/>
  </si>
  <si>
    <t>2AB</t>
    <phoneticPr fontId="7"/>
  </si>
  <si>
    <t>主</t>
    <rPh sb="0" eb="1">
      <t>シュ</t>
    </rPh>
    <phoneticPr fontId="7"/>
  </si>
  <si>
    <t>3BC</t>
    <phoneticPr fontId="7"/>
  </si>
  <si>
    <t>2DE</t>
    <phoneticPr fontId="7"/>
  </si>
  <si>
    <t>3DE</t>
    <phoneticPr fontId="7"/>
  </si>
  <si>
    <t>生</t>
    <rPh sb="0" eb="1">
      <t>ナマ</t>
    </rPh>
    <phoneticPr fontId="7"/>
  </si>
  <si>
    <t>3AB</t>
    <phoneticPr fontId="7"/>
  </si>
  <si>
    <t>英</t>
    <rPh sb="0" eb="1">
      <t>エイ</t>
    </rPh>
    <phoneticPr fontId="7"/>
  </si>
  <si>
    <t>さくら</t>
    <phoneticPr fontId="7"/>
  </si>
  <si>
    <t>1Ct</t>
    <phoneticPr fontId="7"/>
  </si>
  <si>
    <t>1CT</t>
    <phoneticPr fontId="7"/>
  </si>
  <si>
    <t>1Bt</t>
    <phoneticPr fontId="7"/>
  </si>
  <si>
    <t>1FT</t>
    <phoneticPr fontId="7"/>
  </si>
  <si>
    <t>1Ft</t>
    <phoneticPr fontId="7"/>
  </si>
  <si>
    <t>1At</t>
    <phoneticPr fontId="7"/>
  </si>
  <si>
    <t>1Et</t>
    <phoneticPr fontId="7"/>
  </si>
  <si>
    <t>1AT</t>
    <phoneticPr fontId="7"/>
  </si>
  <si>
    <t>1ET</t>
    <phoneticPr fontId="7"/>
  </si>
  <si>
    <t>1Dt</t>
    <phoneticPr fontId="7"/>
  </si>
  <si>
    <t>1DT</t>
    <phoneticPr fontId="7"/>
  </si>
  <si>
    <t>数</t>
    <rPh sb="0" eb="1">
      <t>スウ</t>
    </rPh>
    <phoneticPr fontId="7"/>
  </si>
  <si>
    <t>国</t>
    <rPh sb="0" eb="1">
      <t>コク</t>
    </rPh>
    <phoneticPr fontId="7"/>
  </si>
  <si>
    <t>社</t>
    <rPh sb="0" eb="1">
      <t>シャ</t>
    </rPh>
    <phoneticPr fontId="7"/>
  </si>
  <si>
    <t>理</t>
    <rPh sb="0" eb="1">
      <t>リ</t>
    </rPh>
    <phoneticPr fontId="7"/>
  </si>
  <si>
    <t>長谷川俊</t>
    <rPh sb="0" eb="3">
      <t>ハセガワ</t>
    </rPh>
    <rPh sb="3" eb="4">
      <t>トシ</t>
    </rPh>
    <phoneticPr fontId="7"/>
  </si>
  <si>
    <t>T2</t>
    <phoneticPr fontId="7"/>
  </si>
  <si>
    <t>作</t>
    <rPh sb="0" eb="1">
      <t>サク</t>
    </rPh>
    <phoneticPr fontId="7"/>
  </si>
  <si>
    <t>自</t>
    <rPh sb="0" eb="1">
      <t>ジ</t>
    </rPh>
    <phoneticPr fontId="7"/>
  </si>
  <si>
    <t>IJ技</t>
    <rPh sb="2" eb="3">
      <t>ワザ</t>
    </rPh>
    <phoneticPr fontId="7"/>
  </si>
  <si>
    <t>IJ家</t>
    <rPh sb="2" eb="3">
      <t>イエ</t>
    </rPh>
    <phoneticPr fontId="7"/>
  </si>
  <si>
    <t>IJ保体</t>
    <rPh sb="2" eb="4">
      <t>ホタイ</t>
    </rPh>
    <phoneticPr fontId="7"/>
  </si>
  <si>
    <t>IJ音</t>
    <rPh sb="2" eb="3">
      <t>オン</t>
    </rPh>
    <phoneticPr fontId="7"/>
  </si>
  <si>
    <t>IJ自</t>
    <rPh sb="2" eb="3">
      <t>ジ</t>
    </rPh>
    <phoneticPr fontId="7"/>
  </si>
  <si>
    <t>IJ数</t>
    <rPh sb="2" eb="3">
      <t>スウ</t>
    </rPh>
    <phoneticPr fontId="7"/>
  </si>
  <si>
    <t>IJ理</t>
    <rPh sb="2" eb="3">
      <t>リ</t>
    </rPh>
    <phoneticPr fontId="7"/>
  </si>
  <si>
    <t>IJ社</t>
    <rPh sb="2" eb="3">
      <t>シャ</t>
    </rPh>
    <phoneticPr fontId="7"/>
  </si>
  <si>
    <t>IJ英</t>
    <rPh sb="2" eb="3">
      <t>エイ</t>
    </rPh>
    <phoneticPr fontId="7"/>
  </si>
  <si>
    <t>IJ美</t>
    <rPh sb="2" eb="3">
      <t>ビ</t>
    </rPh>
    <phoneticPr fontId="7"/>
  </si>
  <si>
    <t>IJ国</t>
    <rPh sb="2" eb="3">
      <t>コク</t>
    </rPh>
    <phoneticPr fontId="7"/>
  </si>
  <si>
    <t>IJ作</t>
    <rPh sb="2" eb="3">
      <t>サク</t>
    </rPh>
    <phoneticPr fontId="7"/>
  </si>
  <si>
    <t>国Ⅰ</t>
    <rPh sb="0" eb="1">
      <t>コク</t>
    </rPh>
    <phoneticPr fontId="7"/>
  </si>
  <si>
    <t>国Ⅱ</t>
    <rPh sb="0" eb="1">
      <t>コク</t>
    </rPh>
    <phoneticPr fontId="7"/>
  </si>
  <si>
    <t>1BT</t>
    <phoneticPr fontId="7"/>
  </si>
  <si>
    <t>作</t>
    <rPh sb="0" eb="1">
      <t>ツク</t>
    </rPh>
    <phoneticPr fontId="7"/>
  </si>
  <si>
    <t>初</t>
    <rPh sb="0" eb="1">
      <t>ショ</t>
    </rPh>
    <phoneticPr fontId="7"/>
  </si>
  <si>
    <t>待機</t>
    <rPh sb="0" eb="2">
      <t>タイキ</t>
    </rPh>
    <phoneticPr fontId="7"/>
  </si>
  <si>
    <t>　教科担任別時間割（第２案）</t>
    <rPh sb="10" eb="11">
      <t>ダイ</t>
    </rPh>
    <rPh sb="12" eb="13">
      <t>アン</t>
    </rPh>
    <phoneticPr fontId="7"/>
  </si>
  <si>
    <t>髙橋咲</t>
    <rPh sb="0" eb="2">
      <t>タカハシ</t>
    </rPh>
    <rPh sb="2" eb="3">
      <t>サキ</t>
    </rPh>
    <phoneticPr fontId="7"/>
  </si>
  <si>
    <t>髙田</t>
    <rPh sb="0" eb="1">
      <t>タカ</t>
    </rPh>
    <rPh sb="1" eb="2">
      <t>ダ</t>
    </rPh>
    <phoneticPr fontId="7"/>
  </si>
  <si>
    <t>　教科担任別時間割（本時間割）</t>
    <rPh sb="10" eb="14">
      <t>ホンジカンワリ</t>
    </rPh>
    <phoneticPr fontId="7"/>
  </si>
  <si>
    <t>　クラス別時間割（本時間割）</t>
    <rPh sb="9" eb="13">
      <t>ホンジカンワリ</t>
    </rPh>
    <phoneticPr fontId="7"/>
  </si>
  <si>
    <t>時間割（本）</t>
    <rPh sb="0" eb="3">
      <t>ジカンワリ</t>
    </rPh>
    <rPh sb="4" eb="5">
      <t>ホン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</si>
</sst>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aaa\)"/>
    <numFmt numFmtId="177" formatCode="#"/>
    <numFmt numFmtId="178" formatCode="yyyy/m/d;@"/>
    <numFmt numFmtId="179" formatCode="yyyy&quot;年&quot;m&quot;月&quot;d&quot;日&quot;;@"/>
  </numFmts>
  <fonts count="4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13"/>
      <name val="ＭＳ Ｐゴシック"/>
      <family val="3"/>
      <charset val="128"/>
    </font>
    <font>
      <sz val="10"/>
      <name val="ＭＳ Ｐゴシック"/>
      <family val="3"/>
      <charset val="128"/>
    </font>
    <font>
      <sz val="14"/>
      <name val="ＭＳ Ｐゴシック"/>
      <family val="3"/>
      <charset val="128"/>
    </font>
    <font>
      <sz val="18"/>
      <name val="ＭＳ Ｐゴシック"/>
      <family val="3"/>
      <charset val="128"/>
    </font>
    <font>
      <sz val="8"/>
      <name val="ＭＳ Ｐゴシック"/>
      <family val="3"/>
      <charset val="128"/>
    </font>
    <font>
      <sz val="14"/>
      <color indexed="9"/>
      <name val="ＭＳ Ｐゴシック"/>
      <family val="3"/>
      <charset val="128"/>
    </font>
    <font>
      <b/>
      <sz val="16"/>
      <name val="ＭＳ Ｐゴシック"/>
      <family val="3"/>
      <charset val="128"/>
    </font>
    <font>
      <sz val="12"/>
      <name val="ＭＳ Ｐゴシック"/>
      <family val="3"/>
      <charset val="128"/>
    </font>
    <font>
      <sz val="12"/>
      <color indexed="13"/>
      <name val="ＭＳ Ｐゴシック"/>
      <family val="3"/>
      <charset val="128"/>
    </font>
    <font>
      <sz val="16"/>
      <name val="ＭＳ Ｐゴシック"/>
      <family val="3"/>
      <charset val="128"/>
    </font>
    <font>
      <sz val="48"/>
      <name val="ＭＳ Ｐゴシック"/>
      <family val="3"/>
      <charset val="128"/>
    </font>
    <font>
      <sz val="48"/>
      <color indexed="9"/>
      <name val="ＭＳ Ｐゴシック"/>
      <family val="3"/>
      <charset val="128"/>
    </font>
    <font>
      <sz val="9"/>
      <color indexed="81"/>
      <name val="ＭＳ Ｐゴシック"/>
      <family val="3"/>
      <charset val="128"/>
    </font>
    <font>
      <b/>
      <sz val="20"/>
      <color indexed="81"/>
      <name val="ＭＳ Ｐゴシック"/>
      <family val="3"/>
      <charset val="128"/>
    </font>
    <font>
      <b/>
      <sz val="24"/>
      <name val="ＭＳ Ｐゴシック"/>
      <family val="3"/>
      <charset val="128"/>
    </font>
    <font>
      <b/>
      <sz val="18"/>
      <name val="ＭＳ Ｐゴシック"/>
      <family val="3"/>
      <charset val="128"/>
    </font>
    <font>
      <u/>
      <sz val="11"/>
      <color theme="1"/>
      <name val="HG丸ｺﾞｼｯｸM-PRO"/>
      <family val="3"/>
      <charset val="128"/>
    </font>
    <font>
      <sz val="6"/>
      <name val="ＭＳ Ｐゴシック"/>
      <family val="2"/>
      <charset val="128"/>
      <scheme val="minor"/>
    </font>
    <font>
      <b/>
      <u/>
      <sz val="14"/>
      <color theme="1"/>
      <name val="HG丸ｺﾞｼｯｸM-PRO"/>
      <family val="3"/>
      <charset val="128"/>
    </font>
    <font>
      <sz val="11"/>
      <color theme="1"/>
      <name val="HG丸ｺﾞｼｯｸM-PRO"/>
      <family val="3"/>
      <charset val="128"/>
    </font>
    <font>
      <sz val="10"/>
      <color theme="1"/>
      <name val="HG丸ｺﾞｼｯｸM-PRO"/>
      <family val="3"/>
      <charset val="128"/>
    </font>
    <font>
      <sz val="11"/>
      <color theme="1"/>
      <name val="ＭＳ Ｐ明朝"/>
      <family val="1"/>
      <charset val="128"/>
    </font>
    <font>
      <sz val="14"/>
      <color theme="1"/>
      <name val="HGS創英角ｺﾞｼｯｸUB"/>
      <family val="3"/>
      <charset val="128"/>
    </font>
    <font>
      <sz val="11"/>
      <color theme="1"/>
      <name val="HGP創英角ｺﾞｼｯｸUB"/>
      <family val="3"/>
      <charset val="128"/>
    </font>
    <font>
      <sz val="11"/>
      <color theme="1"/>
      <name val="HG創英角ｺﾞｼｯｸUB"/>
      <family val="3"/>
      <charset val="128"/>
    </font>
    <font>
      <u/>
      <sz val="16"/>
      <color theme="1"/>
      <name val="HGS創英角ｺﾞｼｯｸUB"/>
      <family val="3"/>
      <charset val="128"/>
    </font>
    <font>
      <sz val="11"/>
      <color theme="1"/>
      <name val="游ゴシック"/>
      <family val="3"/>
      <charset val="128"/>
    </font>
    <font>
      <sz val="12"/>
      <color theme="1"/>
      <name val="HG創英角ｺﾞｼｯｸUB"/>
      <family val="3"/>
      <charset val="128"/>
    </font>
    <font>
      <sz val="14"/>
      <name val="HG丸ｺﾞｼｯｸM-PRO"/>
      <family val="3"/>
      <charset val="128"/>
    </font>
    <font>
      <b/>
      <u/>
      <sz val="16"/>
      <name val="HG丸ｺﾞｼｯｸM-PRO"/>
      <family val="3"/>
      <charset val="128"/>
    </font>
    <font>
      <b/>
      <sz val="16"/>
      <name val="HG丸ｺﾞｼｯｸM-PRO"/>
      <family val="3"/>
      <charset val="128"/>
    </font>
    <font>
      <sz val="16"/>
      <color theme="1"/>
      <name val="ＭＳ Ｐ明朝"/>
      <family val="1"/>
      <charset val="128"/>
    </font>
    <font>
      <sz val="16"/>
      <color theme="1"/>
      <name val="HGS創英角ｺﾞｼｯｸUB"/>
      <family val="3"/>
      <charset val="128"/>
    </font>
    <font>
      <sz val="11"/>
      <name val="HGS創英角ﾎﾟｯﾌﾟ体"/>
      <family val="3"/>
      <charset val="128"/>
    </font>
  </fonts>
  <fills count="16">
    <fill>
      <patternFill patternType="none"/>
    </fill>
    <fill>
      <patternFill patternType="gray125"/>
    </fill>
    <fill>
      <patternFill patternType="solid">
        <fgColor indexed="15"/>
        <bgColor indexed="64"/>
      </patternFill>
    </fill>
    <fill>
      <patternFill patternType="solid">
        <fgColor indexed="23"/>
        <bgColor indexed="64"/>
      </patternFill>
    </fill>
    <fill>
      <patternFill patternType="solid">
        <fgColor indexed="40"/>
        <bgColor indexed="64"/>
      </patternFill>
    </fill>
    <fill>
      <patternFill patternType="solid">
        <fgColor indexed="9"/>
        <bgColor indexed="64"/>
      </patternFill>
    </fill>
    <fill>
      <patternFill patternType="solid">
        <fgColor indexed="65"/>
        <bgColor indexed="64"/>
      </patternFill>
    </fill>
    <fill>
      <patternFill patternType="solid">
        <fgColor theme="0" tint="-0.499984740745262"/>
        <bgColor indexed="64"/>
      </patternFill>
    </fill>
    <fill>
      <patternFill patternType="solid">
        <fgColor rgb="FF92D050"/>
        <bgColor indexed="64"/>
      </patternFill>
    </fill>
    <fill>
      <patternFill patternType="solid">
        <fgColor rgb="FF00B0F0"/>
        <bgColor indexed="64"/>
      </patternFill>
    </fill>
    <fill>
      <gradientFill>
        <stop position="0">
          <color rgb="FFFF66FF"/>
        </stop>
        <stop position="1">
          <color rgb="FFFFC000"/>
        </stop>
      </gradientFill>
    </fill>
    <fill>
      <gradientFill>
        <stop position="0">
          <color rgb="FFFFC000"/>
        </stop>
        <stop position="1">
          <color rgb="FFFF66FF"/>
        </stop>
      </gradientFill>
    </fill>
    <fill>
      <patternFill patternType="solid">
        <fgColor rgb="FFFF66FF"/>
        <bgColor indexed="64"/>
      </patternFill>
    </fill>
    <fill>
      <patternFill patternType="solid">
        <fgColor rgb="FFFFC000"/>
        <bgColor indexed="64"/>
      </patternFill>
    </fill>
    <fill>
      <patternFill patternType="solid">
        <fgColor rgb="FFFFFF00"/>
        <bgColor indexed="64"/>
      </patternFill>
    </fill>
    <fill>
      <patternFill patternType="solid">
        <fgColor theme="0"/>
        <bgColor auto="1"/>
      </patternFill>
    </fill>
  </fills>
  <borders count="123">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thick">
        <color indexed="64"/>
      </bottom>
      <diagonal/>
    </border>
    <border>
      <left/>
      <right/>
      <top/>
      <bottom style="thick">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double">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style="double">
        <color indexed="64"/>
      </left>
      <right style="hair">
        <color indexed="64"/>
      </right>
      <top style="thin">
        <color indexed="64"/>
      </top>
      <bottom style="double">
        <color indexed="64"/>
      </bottom>
      <diagonal/>
    </border>
    <border>
      <left style="hair">
        <color indexed="64"/>
      </left>
      <right style="double">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top style="thin">
        <color indexed="64"/>
      </top>
      <bottom style="thin">
        <color indexed="64"/>
      </bottom>
      <diagonal/>
    </border>
    <border>
      <left style="double">
        <color indexed="64"/>
      </left>
      <right style="hair">
        <color indexed="64"/>
      </right>
      <top style="thin">
        <color indexed="64"/>
      </top>
      <bottom style="thin">
        <color indexed="64"/>
      </bottom>
      <diagonal/>
    </border>
    <border>
      <left style="double">
        <color indexed="64"/>
      </left>
      <right style="hair">
        <color indexed="64"/>
      </right>
      <top/>
      <bottom style="double">
        <color indexed="64"/>
      </bottom>
      <diagonal/>
    </border>
    <border>
      <left style="double">
        <color indexed="64"/>
      </left>
      <right style="hair">
        <color indexed="64"/>
      </right>
      <top/>
      <bottom/>
      <diagonal/>
    </border>
    <border>
      <left style="hair">
        <color indexed="64"/>
      </left>
      <right style="double">
        <color indexed="64"/>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top style="double">
        <color indexed="64"/>
      </top>
      <bottom style="thin">
        <color indexed="64"/>
      </bottom>
      <diagonal/>
    </border>
    <border>
      <left style="double">
        <color indexed="64"/>
      </left>
      <right style="hair">
        <color indexed="64"/>
      </right>
      <top style="double">
        <color indexed="64"/>
      </top>
      <bottom/>
      <diagonal/>
    </border>
    <border>
      <left style="double">
        <color indexed="64"/>
      </left>
      <right style="hair">
        <color indexed="64"/>
      </right>
      <top style="double">
        <color indexed="64"/>
      </top>
      <bottom style="thin">
        <color indexed="64"/>
      </bottom>
      <diagonal/>
    </border>
    <border>
      <left style="double">
        <color indexed="64"/>
      </left>
      <right style="hair">
        <color indexed="64"/>
      </right>
      <top/>
      <bottom style="thin">
        <color indexed="64"/>
      </bottom>
      <diagonal/>
    </border>
    <border>
      <left style="hair">
        <color indexed="64"/>
      </left>
      <right style="double">
        <color indexed="64"/>
      </right>
      <top/>
      <bottom style="thin">
        <color indexed="64"/>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style="double">
        <color indexed="64"/>
      </left>
      <right style="hair">
        <color indexed="64"/>
      </right>
      <top style="thin">
        <color indexed="64"/>
      </top>
      <bottom/>
      <diagonal/>
    </border>
    <border>
      <left style="hair">
        <color indexed="64"/>
      </left>
      <right style="thin">
        <color indexed="64"/>
      </right>
      <top/>
      <bottom/>
      <diagonal/>
    </border>
    <border>
      <left style="hair">
        <color indexed="64"/>
      </left>
      <right style="hair">
        <color indexed="64"/>
      </right>
      <top/>
      <bottom/>
      <diagonal/>
    </border>
    <border>
      <left/>
      <right style="hair">
        <color indexed="64"/>
      </right>
      <top/>
      <bottom/>
      <diagonal/>
    </border>
    <border>
      <left style="thin">
        <color indexed="64"/>
      </left>
      <right style="hair">
        <color indexed="64"/>
      </right>
      <top/>
      <bottom/>
      <diagonal/>
    </border>
    <border>
      <left style="hair">
        <color indexed="64"/>
      </left>
      <right/>
      <top/>
      <bottom/>
      <diagonal/>
    </border>
    <border>
      <left/>
      <right style="thin">
        <color indexed="64"/>
      </right>
      <top/>
      <bottom style="double">
        <color indexed="64"/>
      </bottom>
      <diagonal/>
    </border>
    <border>
      <left style="thin">
        <color indexed="64"/>
      </left>
      <right/>
      <top/>
      <bottom style="double">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top style="thin">
        <color indexed="64"/>
      </top>
      <bottom style="double">
        <color indexed="64"/>
      </bottom>
      <diagonal/>
    </border>
    <border>
      <left style="double">
        <color indexed="64"/>
      </left>
      <right/>
      <top style="double">
        <color indexed="64"/>
      </top>
      <bottom style="thin">
        <color indexed="64"/>
      </bottom>
      <diagonal/>
    </border>
    <border>
      <left style="hair">
        <color indexed="64"/>
      </left>
      <right style="double">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thin">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style="hair">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top style="thin">
        <color indexed="64"/>
      </top>
      <bottom style="double">
        <color indexed="64"/>
      </bottom>
      <diagonal/>
    </border>
    <border>
      <left style="double">
        <color indexed="64"/>
      </left>
      <right/>
      <top style="thin">
        <color indexed="64"/>
      </top>
      <bottom style="thin">
        <color indexed="64"/>
      </bottom>
      <diagonal/>
    </border>
    <border>
      <left/>
      <right/>
      <top style="double">
        <color indexed="64"/>
      </top>
      <bottom style="thin">
        <color indexed="64"/>
      </bottom>
      <diagonal/>
    </border>
    <border>
      <left style="hair">
        <color indexed="64"/>
      </left>
      <right style="double">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top style="thin">
        <color indexed="64"/>
      </top>
      <bottom/>
      <diagonal/>
    </border>
    <border>
      <left style="double">
        <color indexed="64"/>
      </left>
      <right/>
      <top style="thin">
        <color indexed="64"/>
      </top>
      <bottom/>
      <diagonal/>
    </border>
    <border>
      <left/>
      <right style="hair">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hair">
        <color indexed="64"/>
      </left>
      <right style="double">
        <color indexed="64"/>
      </right>
      <top/>
      <bottom/>
      <diagonal/>
    </border>
  </borders>
  <cellStyleXfs count="3">
    <xf numFmtId="0" fontId="0" fillId="0" borderId="0"/>
    <xf numFmtId="0" fontId="5" fillId="0" borderId="0">
      <alignment vertical="center"/>
    </xf>
    <xf numFmtId="0" fontId="2" fillId="0" borderId="0">
      <alignment vertical="center"/>
    </xf>
  </cellStyleXfs>
  <cellXfs count="352">
    <xf numFmtId="0" fontId="0" fillId="0" borderId="0" xfId="0"/>
    <xf numFmtId="0" fontId="0" fillId="0" borderId="0" xfId="0" applyAlignment="1">
      <alignment horizontal="center"/>
    </xf>
    <xf numFmtId="0" fontId="8" fillId="0" borderId="0" xfId="0" applyFont="1"/>
    <xf numFmtId="0" fontId="8" fillId="2" borderId="0" xfId="0" applyFont="1" applyFill="1"/>
    <xf numFmtId="0" fontId="0" fillId="2" borderId="0" xfId="0" applyFill="1"/>
    <xf numFmtId="0" fontId="0" fillId="2" borderId="0" xfId="0" applyFill="1" applyAlignment="1">
      <alignment horizontal="center"/>
    </xf>
    <xf numFmtId="0" fontId="10" fillId="0" borderId="0" xfId="0" applyFont="1" applyAlignment="1">
      <alignment horizontal="center"/>
    </xf>
    <xf numFmtId="0" fontId="10" fillId="0" borderId="1" xfId="0" applyFont="1" applyBorder="1" applyAlignment="1">
      <alignment horizontal="center" vertical="center"/>
    </xf>
    <xf numFmtId="0" fontId="10" fillId="3" borderId="1" xfId="0" applyFont="1" applyFill="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3" borderId="5" xfId="0" applyFont="1" applyFill="1" applyBorder="1" applyAlignment="1">
      <alignment horizontal="center" vertical="center"/>
    </xf>
    <xf numFmtId="0" fontId="10" fillId="0" borderId="6" xfId="0" applyFont="1" applyBorder="1" applyAlignment="1">
      <alignment horizontal="center" vertical="center"/>
    </xf>
    <xf numFmtId="0" fontId="9" fillId="0" borderId="0" xfId="0" applyFont="1" applyAlignment="1">
      <alignment horizontal="center"/>
    </xf>
    <xf numFmtId="0" fontId="11" fillId="0" borderId="0" xfId="0" applyFont="1" applyAlignment="1">
      <alignment horizont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9" fillId="2" borderId="0" xfId="0" applyFont="1" applyFill="1" applyAlignment="1">
      <alignment horizontal="center"/>
    </xf>
    <xf numFmtId="0" fontId="12" fillId="0" borderId="0" xfId="0" applyFont="1" applyAlignment="1">
      <alignment horizontal="center" vertical="center"/>
    </xf>
    <xf numFmtId="0" fontId="9" fillId="3" borderId="5" xfId="0" applyFont="1" applyFill="1" applyBorder="1" applyAlignment="1">
      <alignment horizontal="center" vertical="center"/>
    </xf>
    <xf numFmtId="0" fontId="10" fillId="0" borderId="0" xfId="0" applyFont="1"/>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1" fillId="0" borderId="0" xfId="0" applyFont="1"/>
    <xf numFmtId="0" fontId="13" fillId="0" borderId="0" xfId="0" applyFont="1"/>
    <xf numFmtId="0" fontId="13" fillId="0" borderId="0" xfId="0" applyFont="1" applyAlignment="1">
      <alignment horizontal="center" vertical="center"/>
    </xf>
    <xf numFmtId="0" fontId="15" fillId="2" borderId="0" xfId="0" applyFont="1" applyFill="1" applyAlignment="1">
      <alignment horizontal="center"/>
    </xf>
    <xf numFmtId="0" fontId="16" fillId="2" borderId="0" xfId="0" applyFont="1" applyFill="1"/>
    <xf numFmtId="0" fontId="15" fillId="0" borderId="0" xfId="0" applyFont="1" applyAlignment="1">
      <alignment horizontal="center"/>
    </xf>
    <xf numFmtId="0" fontId="10" fillId="3" borderId="9" xfId="0" applyFont="1" applyFill="1" applyBorder="1" applyAlignment="1">
      <alignment horizontal="center" vertical="center"/>
    </xf>
    <xf numFmtId="0" fontId="15" fillId="0" borderId="5" xfId="0" applyFont="1" applyBorder="1" applyAlignment="1">
      <alignment horizontal="center" vertical="center"/>
    </xf>
    <xf numFmtId="0" fontId="15" fillId="0" borderId="3" xfId="0" applyFont="1" applyBorder="1" applyAlignment="1">
      <alignment horizontal="center" vertical="center"/>
    </xf>
    <xf numFmtId="0" fontId="10"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6" xfId="0" applyFont="1" applyBorder="1" applyAlignment="1">
      <alignment horizontal="center" vertical="center"/>
    </xf>
    <xf numFmtId="0" fontId="17" fillId="0" borderId="0" xfId="0" applyFont="1"/>
    <xf numFmtId="0" fontId="8" fillId="2" borderId="0" xfId="0" applyFont="1" applyFill="1" applyAlignment="1">
      <alignment horizont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21" xfId="0" applyFont="1" applyBorder="1" applyAlignment="1">
      <alignment horizontal="center" vertical="center"/>
    </xf>
    <xf numFmtId="0" fontId="0" fillId="4" borderId="0" xfId="0" applyFill="1"/>
    <xf numFmtId="0" fontId="14" fillId="0" borderId="0" xfId="0" applyFont="1" applyAlignment="1">
      <alignment horizontal="left"/>
    </xf>
    <xf numFmtId="0" fontId="0" fillId="0" borderId="0" xfId="0" applyAlignment="1">
      <alignment horizontal="left"/>
    </xf>
    <xf numFmtId="0" fontId="19" fillId="0" borderId="22" xfId="0" applyFont="1" applyBorder="1" applyAlignment="1">
      <alignment horizontal="center" vertical="center"/>
    </xf>
    <xf numFmtId="0" fontId="9" fillId="3" borderId="1" xfId="0" applyFont="1" applyFill="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4" xfId="0" applyFont="1" applyBorder="1" applyAlignment="1">
      <alignment horizontal="center" vertical="center"/>
    </xf>
    <xf numFmtId="0" fontId="9" fillId="3" borderId="4" xfId="0" applyFont="1" applyFill="1" applyBorder="1" applyAlignment="1">
      <alignment horizontal="center" vertical="center"/>
    </xf>
    <xf numFmtId="0" fontId="9" fillId="0" borderId="6" xfId="0" applyFont="1" applyBorder="1" applyAlignment="1">
      <alignment horizontal="center" vertical="center"/>
    </xf>
    <xf numFmtId="0" fontId="9" fillId="0" borderId="25" xfId="0" applyFont="1" applyBorder="1" applyAlignment="1">
      <alignment horizontal="center" vertical="center"/>
    </xf>
    <xf numFmtId="0" fontId="9" fillId="0" borderId="12" xfId="0" applyFont="1" applyBorder="1" applyAlignment="1">
      <alignment horizontal="center" vertical="center"/>
    </xf>
    <xf numFmtId="0" fontId="9" fillId="3" borderId="12" xfId="0" applyFont="1" applyFill="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9" xfId="0" applyFont="1" applyBorder="1" applyAlignment="1">
      <alignment horizontal="center" vertical="center"/>
    </xf>
    <xf numFmtId="0" fontId="9" fillId="3" borderId="9" xfId="0" applyFont="1" applyFill="1" applyBorder="1" applyAlignment="1">
      <alignment horizontal="center" vertical="center"/>
    </xf>
    <xf numFmtId="0" fontId="9" fillId="0" borderId="8" xfId="0" applyFont="1" applyBorder="1" applyAlignment="1">
      <alignment horizontal="center" vertical="center"/>
    </xf>
    <xf numFmtId="0" fontId="22" fillId="0" borderId="0" xfId="0" applyFont="1" applyAlignment="1">
      <alignment wrapText="1"/>
    </xf>
    <xf numFmtId="0" fontId="10" fillId="0" borderId="0" xfId="0" applyFont="1" applyAlignment="1">
      <alignment horizontal="left"/>
    </xf>
    <xf numFmtId="0" fontId="9" fillId="0" borderId="3" xfId="0" applyFont="1" applyBorder="1" applyAlignment="1">
      <alignment horizontal="center" vertical="center" shrinkToFit="1"/>
    </xf>
    <xf numFmtId="0" fontId="9" fillId="3" borderId="27" xfId="0" applyFont="1" applyFill="1" applyBorder="1" applyAlignment="1">
      <alignment horizontal="center" vertical="center" shrinkToFit="1"/>
    </xf>
    <xf numFmtId="0" fontId="9" fillId="3" borderId="3" xfId="0" applyFont="1" applyFill="1" applyBorder="1" applyAlignment="1">
      <alignment horizontal="center" vertical="center" shrinkToFit="1"/>
    </xf>
    <xf numFmtId="0" fontId="9" fillId="0" borderId="30" xfId="0" applyFont="1" applyBorder="1" applyAlignment="1">
      <alignment horizontal="center" vertical="center" shrinkToFit="1"/>
    </xf>
    <xf numFmtId="0" fontId="9" fillId="3" borderId="29" xfId="0" applyFont="1" applyFill="1" applyBorder="1" applyAlignment="1">
      <alignment horizontal="center" vertical="center" shrinkToFit="1"/>
    </xf>
    <xf numFmtId="0" fontId="9" fillId="0" borderId="7" xfId="0" applyFont="1" applyBorder="1" applyAlignment="1">
      <alignment horizontal="center" vertical="center" shrinkToFit="1"/>
    </xf>
    <xf numFmtId="0" fontId="9" fillId="0" borderId="5" xfId="0" applyFont="1" applyBorder="1" applyAlignment="1">
      <alignment horizontal="center" vertical="center" shrinkToFit="1"/>
    </xf>
    <xf numFmtId="0" fontId="9" fillId="3" borderId="5" xfId="0" applyFont="1" applyFill="1" applyBorder="1" applyAlignment="1">
      <alignment horizontal="center" vertical="center" shrinkToFit="1"/>
    </xf>
    <xf numFmtId="0" fontId="10" fillId="0" borderId="26" xfId="0" applyFont="1" applyBorder="1" applyAlignment="1">
      <alignment horizontal="center" vertical="center" shrinkToFit="1"/>
    </xf>
    <xf numFmtId="0" fontId="10" fillId="0" borderId="27" xfId="0" applyFont="1" applyBorder="1" applyAlignment="1">
      <alignment horizontal="center" vertical="center" shrinkToFit="1"/>
    </xf>
    <xf numFmtId="0" fontId="10" fillId="3" borderId="27" xfId="0" applyFont="1" applyFill="1" applyBorder="1" applyAlignment="1">
      <alignment horizontal="center" vertical="center" shrinkToFit="1"/>
    </xf>
    <xf numFmtId="0" fontId="10" fillId="0" borderId="28" xfId="0" applyFont="1" applyBorder="1" applyAlignment="1">
      <alignment horizontal="center" vertical="center" shrinkToFit="1"/>
    </xf>
    <xf numFmtId="0" fontId="10" fillId="0" borderId="30" xfId="0" applyFont="1" applyBorder="1" applyAlignment="1">
      <alignment horizontal="center" vertical="center" shrinkToFit="1"/>
    </xf>
    <xf numFmtId="0" fontId="10" fillId="0" borderId="3" xfId="0" applyFont="1" applyBorder="1" applyAlignment="1">
      <alignment horizontal="center" vertical="center" shrinkToFit="1"/>
    </xf>
    <xf numFmtId="0" fontId="10" fillId="3" borderId="3" xfId="0" applyFont="1" applyFill="1" applyBorder="1" applyAlignment="1">
      <alignment horizontal="center" vertical="center" shrinkToFit="1"/>
    </xf>
    <xf numFmtId="0" fontId="10" fillId="0" borderId="29" xfId="0" applyFont="1" applyBorder="1" applyAlignment="1">
      <alignment horizontal="center" vertical="center" shrinkToFit="1"/>
    </xf>
    <xf numFmtId="0" fontId="10" fillId="3" borderId="30" xfId="0" applyFont="1" applyFill="1" applyBorder="1" applyAlignment="1">
      <alignment horizontal="center" vertical="center" shrinkToFit="1"/>
    </xf>
    <xf numFmtId="0" fontId="10" fillId="5" borderId="3" xfId="0" applyFont="1" applyFill="1" applyBorder="1" applyAlignment="1">
      <alignment horizontal="center" vertical="center" shrinkToFit="1"/>
    </xf>
    <xf numFmtId="0" fontId="10" fillId="3" borderId="29" xfId="0" applyFont="1" applyFill="1" applyBorder="1" applyAlignment="1">
      <alignment horizontal="center" vertical="center" shrinkToFit="1"/>
    </xf>
    <xf numFmtId="0" fontId="10" fillId="0" borderId="5" xfId="0" applyFont="1" applyBorder="1" applyAlignment="1">
      <alignment horizontal="center" vertical="center" shrinkToFit="1"/>
    </xf>
    <xf numFmtId="0" fontId="10" fillId="3" borderId="5" xfId="0" applyFont="1" applyFill="1" applyBorder="1" applyAlignment="1">
      <alignment horizontal="center" vertical="center" shrinkToFit="1"/>
    </xf>
    <xf numFmtId="0" fontId="10" fillId="0" borderId="10" xfId="0" applyFont="1" applyBorder="1" applyAlignment="1">
      <alignment horizontal="center" vertical="center" shrinkToFit="1"/>
    </xf>
    <xf numFmtId="0" fontId="18" fillId="6" borderId="26" xfId="0" applyFont="1" applyFill="1" applyBorder="1" applyAlignment="1">
      <alignment horizontal="center" vertical="center" shrinkToFit="1"/>
    </xf>
    <xf numFmtId="0" fontId="18" fillId="6" borderId="27" xfId="0" applyFont="1" applyFill="1" applyBorder="1" applyAlignment="1">
      <alignment horizontal="center" vertical="center" shrinkToFit="1"/>
    </xf>
    <xf numFmtId="0" fontId="18" fillId="6" borderId="31" xfId="0" applyFont="1" applyFill="1" applyBorder="1" applyAlignment="1">
      <alignment horizontal="center" vertical="center" shrinkToFit="1"/>
    </xf>
    <xf numFmtId="0" fontId="18" fillId="6" borderId="30" xfId="0" applyFont="1" applyFill="1" applyBorder="1" applyAlignment="1">
      <alignment horizontal="center" vertical="center" shrinkToFit="1"/>
    </xf>
    <xf numFmtId="0" fontId="18" fillId="6" borderId="3" xfId="0" applyFont="1" applyFill="1" applyBorder="1" applyAlignment="1">
      <alignment horizontal="center" vertical="center" shrinkToFit="1"/>
    </xf>
    <xf numFmtId="0" fontId="18" fillId="6" borderId="32" xfId="0" applyFont="1" applyFill="1" applyBorder="1" applyAlignment="1">
      <alignment horizontal="center" vertical="center" shrinkToFit="1"/>
    </xf>
    <xf numFmtId="0" fontId="18" fillId="6" borderId="33" xfId="0" applyFont="1" applyFill="1" applyBorder="1" applyAlignment="1">
      <alignment horizontal="center" vertical="center" shrinkToFit="1"/>
    </xf>
    <xf numFmtId="0" fontId="18" fillId="6" borderId="34" xfId="0" applyFont="1" applyFill="1" applyBorder="1" applyAlignment="1">
      <alignment horizontal="center" vertical="center" shrinkToFit="1"/>
    </xf>
    <xf numFmtId="0" fontId="18" fillId="6" borderId="35" xfId="0" applyFont="1" applyFill="1" applyBorder="1" applyAlignment="1">
      <alignment horizontal="center" vertical="center" shrinkToFit="1"/>
    </xf>
    <xf numFmtId="0" fontId="0" fillId="0" borderId="36" xfId="0" applyBorder="1" applyAlignment="1">
      <alignment horizontal="right"/>
    </xf>
    <xf numFmtId="0" fontId="0" fillId="0" borderId="0" xfId="0" applyAlignment="1">
      <alignment horizontal="right"/>
    </xf>
    <xf numFmtId="0" fontId="0" fillId="0" borderId="36" xfId="0" applyBorder="1" applyAlignment="1">
      <alignment horizontal="right" vertical="center"/>
    </xf>
    <xf numFmtId="0" fontId="0" fillId="0" borderId="0" xfId="0" applyAlignment="1">
      <alignment horizontal="right" vertical="center"/>
    </xf>
    <xf numFmtId="0" fontId="9" fillId="0" borderId="36" xfId="0" applyFont="1" applyBorder="1" applyAlignment="1">
      <alignment horizontal="center" vertical="center"/>
    </xf>
    <xf numFmtId="0" fontId="9" fillId="0" borderId="0" xfId="0" applyFont="1" applyAlignment="1">
      <alignment horizontal="center" vertical="center"/>
    </xf>
    <xf numFmtId="56" fontId="9" fillId="0" borderId="36" xfId="0" applyNumberFormat="1" applyFon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right" vertical="center"/>
    </xf>
    <xf numFmtId="0" fontId="24" fillId="0" borderId="0" xfId="1" applyFont="1">
      <alignment vertical="center"/>
    </xf>
    <xf numFmtId="0" fontId="5" fillId="0" borderId="0" xfId="1">
      <alignment vertical="center"/>
    </xf>
    <xf numFmtId="0" fontId="27" fillId="0" borderId="0" xfId="1" applyFont="1" applyAlignment="1">
      <alignment horizontal="centerContinuous" vertical="center"/>
    </xf>
    <xf numFmtId="0" fontId="27" fillId="0" borderId="0" xfId="1" applyFont="1">
      <alignment vertical="center"/>
    </xf>
    <xf numFmtId="0" fontId="27" fillId="0" borderId="46" xfId="1" applyFont="1" applyBorder="1">
      <alignment vertical="center"/>
    </xf>
    <xf numFmtId="0" fontId="27" fillId="0" borderId="47" xfId="1" applyFont="1" applyBorder="1">
      <alignment vertical="center"/>
    </xf>
    <xf numFmtId="0" fontId="27" fillId="0" borderId="48" xfId="1" applyFont="1" applyBorder="1">
      <alignment vertical="center"/>
    </xf>
    <xf numFmtId="0" fontId="27" fillId="0" borderId="49" xfId="1" applyFont="1" applyBorder="1">
      <alignment vertical="center"/>
    </xf>
    <xf numFmtId="0" fontId="27" fillId="0" borderId="50" xfId="1" applyFont="1" applyBorder="1">
      <alignment vertical="center"/>
    </xf>
    <xf numFmtId="0" fontId="27" fillId="0" borderId="28" xfId="1" applyFont="1" applyBorder="1">
      <alignment vertical="center"/>
    </xf>
    <xf numFmtId="0" fontId="27" fillId="0" borderId="51" xfId="1" applyFont="1" applyBorder="1">
      <alignment vertical="center"/>
    </xf>
    <xf numFmtId="0" fontId="27" fillId="0" borderId="26" xfId="1" applyFont="1" applyBorder="1">
      <alignment vertical="center"/>
    </xf>
    <xf numFmtId="0" fontId="5" fillId="0" borderId="51" xfId="1" applyBorder="1">
      <alignment vertical="center"/>
    </xf>
    <xf numFmtId="0" fontId="5" fillId="0" borderId="46" xfId="1" applyBorder="1">
      <alignment vertical="center"/>
    </xf>
    <xf numFmtId="0" fontId="5" fillId="0" borderId="47" xfId="1" applyBorder="1">
      <alignment vertical="center"/>
    </xf>
    <xf numFmtId="0" fontId="5" fillId="0" borderId="48" xfId="1" applyBorder="1">
      <alignment vertical="center"/>
    </xf>
    <xf numFmtId="0" fontId="5" fillId="0" borderId="49" xfId="1" applyBorder="1">
      <alignment vertical="center"/>
    </xf>
    <xf numFmtId="0" fontId="5" fillId="0" borderId="50" xfId="1" applyBorder="1">
      <alignment vertical="center"/>
    </xf>
    <xf numFmtId="0" fontId="5" fillId="0" borderId="28" xfId="1" applyBorder="1">
      <alignment vertical="center"/>
    </xf>
    <xf numFmtId="0" fontId="5" fillId="0" borderId="26" xfId="1" applyBorder="1">
      <alignment vertical="center"/>
    </xf>
    <xf numFmtId="0" fontId="5" fillId="0" borderId="29" xfId="1" applyBorder="1">
      <alignment vertical="center"/>
    </xf>
    <xf numFmtId="0" fontId="5" fillId="0" borderId="52" xfId="1" applyBorder="1">
      <alignment vertical="center"/>
    </xf>
    <xf numFmtId="0" fontId="5" fillId="0" borderId="30" xfId="1" applyBorder="1">
      <alignment vertical="center"/>
    </xf>
    <xf numFmtId="0" fontId="3" fillId="0" borderId="0" xfId="1" applyFont="1">
      <alignment vertical="center"/>
    </xf>
    <xf numFmtId="0" fontId="24" fillId="0" borderId="0" xfId="0" applyFont="1" applyAlignment="1">
      <alignment vertical="center"/>
    </xf>
    <xf numFmtId="0" fontId="0" fillId="0" borderId="0" xfId="0" applyAlignment="1">
      <alignment vertical="center"/>
    </xf>
    <xf numFmtId="0" fontId="26" fillId="0" borderId="0" xfId="0" applyFont="1" applyAlignment="1">
      <alignment horizontal="centerContinuous" vertical="center"/>
    </xf>
    <xf numFmtId="0" fontId="27" fillId="0" borderId="0" xfId="0" applyFont="1" applyAlignment="1">
      <alignment horizontal="centerContinuous" vertical="center"/>
    </xf>
    <xf numFmtId="0" fontId="27" fillId="0" borderId="0" xfId="0" applyFont="1" applyAlignment="1">
      <alignment vertical="center"/>
    </xf>
    <xf numFmtId="0" fontId="27" fillId="0" borderId="29" xfId="0" applyFont="1" applyBorder="1" applyAlignment="1">
      <alignment vertical="center"/>
    </xf>
    <xf numFmtId="0" fontId="27" fillId="0" borderId="52" xfId="0" applyFont="1" applyBorder="1" applyAlignment="1">
      <alignment vertical="center"/>
    </xf>
    <xf numFmtId="0" fontId="27" fillId="0" borderId="30" xfId="0" applyFont="1" applyBorder="1" applyAlignment="1">
      <alignment vertical="center"/>
    </xf>
    <xf numFmtId="176" fontId="28" fillId="0" borderId="46" xfId="0" applyNumberFormat="1" applyFont="1" applyBorder="1" applyAlignment="1">
      <alignment horizontal="centerContinuous" vertical="center"/>
    </xf>
    <xf numFmtId="176" fontId="28" fillId="0" borderId="47" xfId="0" applyNumberFormat="1" applyFont="1" applyBorder="1" applyAlignment="1">
      <alignment horizontal="centerContinuous" vertical="center"/>
    </xf>
    <xf numFmtId="176" fontId="28" fillId="0" borderId="48" xfId="0" applyNumberFormat="1" applyFont="1" applyBorder="1" applyAlignment="1">
      <alignment horizontal="centerContinuous" vertical="center"/>
    </xf>
    <xf numFmtId="0" fontId="27" fillId="0" borderId="46" xfId="0" applyFont="1" applyBorder="1" applyAlignment="1">
      <alignment vertical="center"/>
    </xf>
    <xf numFmtId="0" fontId="27" fillId="0" borderId="47" xfId="0" applyFont="1" applyBorder="1" applyAlignment="1">
      <alignment vertical="center"/>
    </xf>
    <xf numFmtId="0" fontId="27" fillId="0" borderId="48" xfId="0" applyFont="1" applyBorder="1" applyAlignment="1">
      <alignment vertical="center"/>
    </xf>
    <xf numFmtId="176" fontId="28" fillId="0" borderId="49" xfId="0" applyNumberFormat="1" applyFont="1" applyBorder="1" applyAlignment="1">
      <alignment horizontal="centerContinuous" vertical="center"/>
    </xf>
    <xf numFmtId="176" fontId="28" fillId="0" borderId="0" xfId="0" applyNumberFormat="1" applyFont="1" applyAlignment="1">
      <alignment horizontal="centerContinuous" vertical="center"/>
    </xf>
    <xf numFmtId="176" fontId="28" fillId="0" borderId="50" xfId="0" applyNumberFormat="1" applyFont="1" applyBorder="1" applyAlignment="1">
      <alignment horizontal="centerContinuous" vertical="center"/>
    </xf>
    <xf numFmtId="0" fontId="27" fillId="0" borderId="49" xfId="0" applyFont="1" applyBorder="1" applyAlignment="1">
      <alignment vertical="center"/>
    </xf>
    <xf numFmtId="0" fontId="27" fillId="0" borderId="50" xfId="0" applyFont="1" applyBorder="1" applyAlignment="1">
      <alignment vertical="center"/>
    </xf>
    <xf numFmtId="176" fontId="28" fillId="0" borderId="28" xfId="0" applyNumberFormat="1" applyFont="1" applyBorder="1" applyAlignment="1">
      <alignment horizontal="centerContinuous" vertical="center"/>
    </xf>
    <xf numFmtId="176" fontId="28" fillId="0" borderId="51" xfId="0" applyNumberFormat="1" applyFont="1" applyBorder="1" applyAlignment="1">
      <alignment horizontal="centerContinuous" vertical="center"/>
    </xf>
    <xf numFmtId="176" fontId="28" fillId="0" borderId="26" xfId="0" applyNumberFormat="1" applyFont="1" applyBorder="1" applyAlignment="1">
      <alignment horizontal="centerContinuous" vertical="center"/>
    </xf>
    <xf numFmtId="0" fontId="27" fillId="0" borderId="28" xfId="0" applyFont="1" applyBorder="1" applyAlignment="1">
      <alignment vertical="center"/>
    </xf>
    <xf numFmtId="0" fontId="27" fillId="0" borderId="51" xfId="0" applyFont="1" applyBorder="1" applyAlignment="1">
      <alignment vertical="center"/>
    </xf>
    <xf numFmtId="0" fontId="27" fillId="0" borderId="26" xfId="0" applyFont="1" applyBorder="1" applyAlignment="1">
      <alignment vertical="center"/>
    </xf>
    <xf numFmtId="0" fontId="26" fillId="0" borderId="0" xfId="1" applyFont="1" applyAlignment="1">
      <alignment horizontal="centerContinuous" vertical="center"/>
    </xf>
    <xf numFmtId="0" fontId="4" fillId="0" borderId="0" xfId="1" applyFont="1">
      <alignment vertical="center"/>
    </xf>
    <xf numFmtId="0" fontId="0" fillId="0" borderId="54" xfId="0" applyBorder="1" applyAlignment="1">
      <alignment horizontal="right"/>
    </xf>
    <xf numFmtId="0" fontId="0" fillId="0" borderId="55" xfId="0" applyBorder="1" applyAlignment="1">
      <alignment horizontal="right"/>
    </xf>
    <xf numFmtId="0" fontId="29" fillId="0" borderId="0" xfId="2" applyFont="1">
      <alignment vertical="center"/>
    </xf>
    <xf numFmtId="0" fontId="29" fillId="0" borderId="0" xfId="2" applyFont="1" applyAlignment="1">
      <alignment horizontal="center" vertical="center" shrinkToFit="1"/>
    </xf>
    <xf numFmtId="0" fontId="29" fillId="0" borderId="0" xfId="2" applyFont="1" applyAlignment="1">
      <alignment horizontal="center" vertical="center"/>
    </xf>
    <xf numFmtId="0" fontId="30" fillId="0" borderId="0" xfId="2" applyFont="1">
      <alignment vertical="center"/>
    </xf>
    <xf numFmtId="0" fontId="31" fillId="0" borderId="59" xfId="2" applyFont="1" applyBorder="1" applyAlignment="1">
      <alignment horizontal="center" vertical="center" shrinkToFit="1"/>
    </xf>
    <xf numFmtId="0" fontId="31" fillId="0" borderId="62" xfId="2" applyFont="1" applyBorder="1" applyAlignment="1">
      <alignment horizontal="center" vertical="center" shrinkToFit="1"/>
    </xf>
    <xf numFmtId="0" fontId="31" fillId="0" borderId="66" xfId="2" applyFont="1" applyBorder="1" applyAlignment="1">
      <alignment horizontal="center" vertical="center" shrinkToFit="1"/>
    </xf>
    <xf numFmtId="0" fontId="31" fillId="0" borderId="72" xfId="2" applyFont="1" applyBorder="1" applyAlignment="1">
      <alignment horizontal="center" vertical="center" shrinkToFit="1"/>
    </xf>
    <xf numFmtId="0" fontId="31" fillId="0" borderId="73" xfId="2" applyFont="1" applyBorder="1" applyAlignment="1">
      <alignment horizontal="center" vertical="center" shrinkToFit="1"/>
    </xf>
    <xf numFmtId="0" fontId="31" fillId="0" borderId="74" xfId="2" applyFont="1" applyBorder="1" applyAlignment="1">
      <alignment horizontal="center" vertical="center" shrinkToFit="1"/>
    </xf>
    <xf numFmtId="0" fontId="31" fillId="0" borderId="68" xfId="2" applyFont="1" applyBorder="1" applyAlignment="1">
      <alignment horizontal="center" vertical="center" shrinkToFit="1"/>
    </xf>
    <xf numFmtId="0" fontId="31" fillId="0" borderId="78" xfId="2" applyFont="1" applyBorder="1" applyAlignment="1">
      <alignment horizontal="center" vertical="center" shrinkToFit="1"/>
    </xf>
    <xf numFmtId="0" fontId="31" fillId="0" borderId="79" xfId="2" applyFont="1" applyBorder="1" applyAlignment="1">
      <alignment horizontal="center" vertical="center" shrinkToFit="1"/>
    </xf>
    <xf numFmtId="0" fontId="31" fillId="0" borderId="80" xfId="2" applyFont="1" applyBorder="1" applyAlignment="1">
      <alignment horizontal="center" vertical="center" shrinkToFit="1"/>
    </xf>
    <xf numFmtId="0" fontId="31" fillId="0" borderId="84" xfId="2" applyFont="1" applyBorder="1" applyAlignment="1">
      <alignment horizontal="center" vertical="center" shrinkToFit="1"/>
    </xf>
    <xf numFmtId="0" fontId="31" fillId="0" borderId="87" xfId="2" applyFont="1" applyBorder="1" applyAlignment="1">
      <alignment horizontal="center" vertical="center" shrinkToFit="1"/>
    </xf>
    <xf numFmtId="0" fontId="31" fillId="0" borderId="88" xfId="2" applyFont="1" applyBorder="1" applyAlignment="1">
      <alignment horizontal="center" vertical="center" shrinkToFit="1"/>
    </xf>
    <xf numFmtId="0" fontId="31" fillId="0" borderId="89" xfId="2" applyFont="1" applyBorder="1" applyAlignment="1">
      <alignment horizontal="center" vertical="center" shrinkToFit="1"/>
    </xf>
    <xf numFmtId="0" fontId="31" fillId="0" borderId="90" xfId="2" applyFont="1" applyBorder="1" applyAlignment="1">
      <alignment horizontal="center" vertical="center" shrinkToFit="1"/>
    </xf>
    <xf numFmtId="0" fontId="31" fillId="0" borderId="91" xfId="2" applyFont="1" applyBorder="1" applyAlignment="1">
      <alignment horizontal="center" vertical="center" shrinkToFit="1"/>
    </xf>
    <xf numFmtId="0" fontId="31" fillId="0" borderId="92" xfId="2" applyFont="1" applyBorder="1" applyAlignment="1">
      <alignment horizontal="center" vertical="center" shrinkToFit="1"/>
    </xf>
    <xf numFmtId="0" fontId="29" fillId="0" borderId="93" xfId="2" applyFont="1" applyBorder="1" applyAlignment="1">
      <alignment horizontal="center" vertical="center"/>
    </xf>
    <xf numFmtId="0" fontId="29" fillId="0" borderId="94" xfId="2" applyFont="1" applyBorder="1">
      <alignment vertical="center"/>
    </xf>
    <xf numFmtId="0" fontId="32" fillId="0" borderId="95" xfId="2" applyFont="1" applyBorder="1" applyAlignment="1">
      <alignment horizontal="centerContinuous" vertical="center" shrinkToFit="1"/>
    </xf>
    <xf numFmtId="0" fontId="32" fillId="0" borderId="96" xfId="2" applyFont="1" applyBorder="1" applyAlignment="1">
      <alignment horizontal="centerContinuous" vertical="center" shrinkToFit="1"/>
    </xf>
    <xf numFmtId="0" fontId="32" fillId="0" borderId="97" xfId="2" applyFont="1" applyBorder="1" applyAlignment="1">
      <alignment horizontal="centerContinuous" vertical="center" shrinkToFit="1"/>
    </xf>
    <xf numFmtId="0" fontId="29" fillId="0" borderId="48" xfId="2" applyFont="1" applyBorder="1" applyAlignment="1">
      <alignment horizontal="center" vertical="center"/>
    </xf>
    <xf numFmtId="0" fontId="29" fillId="0" borderId="46" xfId="2" applyFont="1" applyBorder="1">
      <alignment vertical="center"/>
    </xf>
    <xf numFmtId="0" fontId="31" fillId="0" borderId="105" xfId="2" applyFont="1" applyBorder="1" applyAlignment="1">
      <alignment horizontal="centerContinuous" vertical="center"/>
    </xf>
    <xf numFmtId="0" fontId="31" fillId="0" borderId="106" xfId="2" applyFont="1" applyBorder="1" applyAlignment="1">
      <alignment horizontal="centerContinuous" vertical="center"/>
    </xf>
    <xf numFmtId="0" fontId="31" fillId="0" borderId="107" xfId="2" applyFont="1" applyBorder="1" applyAlignment="1">
      <alignment horizontal="centerContinuous" vertical="center"/>
    </xf>
    <xf numFmtId="0" fontId="31" fillId="0" borderId="98" xfId="2" applyFont="1" applyBorder="1" applyAlignment="1">
      <alignment horizontal="centerContinuous" vertical="center"/>
    </xf>
    <xf numFmtId="0" fontId="31" fillId="0" borderId="52" xfId="2" applyFont="1" applyBorder="1" applyAlignment="1">
      <alignment horizontal="centerContinuous" vertical="center"/>
    </xf>
    <xf numFmtId="0" fontId="31" fillId="0" borderId="108" xfId="2" applyFont="1" applyBorder="1" applyAlignment="1">
      <alignment horizontal="centerContinuous" vertical="center"/>
    </xf>
    <xf numFmtId="0" fontId="31" fillId="0" borderId="109" xfId="2" applyFont="1" applyBorder="1" applyAlignment="1">
      <alignment horizontal="centerContinuous" vertical="center"/>
    </xf>
    <xf numFmtId="0" fontId="31" fillId="0" borderId="99" xfId="2" applyFont="1" applyBorder="1" applyAlignment="1">
      <alignment horizontal="centerContinuous" vertical="center"/>
    </xf>
    <xf numFmtId="0" fontId="31" fillId="0" borderId="47" xfId="2" applyFont="1" applyBorder="1" applyAlignment="1">
      <alignment horizontal="centerContinuous" vertical="center"/>
    </xf>
    <xf numFmtId="0" fontId="31" fillId="0" borderId="115" xfId="2" applyFont="1" applyBorder="1" applyAlignment="1">
      <alignment horizontal="centerContinuous" vertical="center"/>
    </xf>
    <xf numFmtId="0" fontId="29" fillId="0" borderId="49" xfId="2" applyFont="1" applyBorder="1" applyAlignment="1">
      <alignment horizontal="center" vertical="center"/>
    </xf>
    <xf numFmtId="0" fontId="29" fillId="0" borderId="47" xfId="2" applyFont="1" applyBorder="1" applyAlignment="1">
      <alignment horizontal="center" vertical="center"/>
    </xf>
    <xf numFmtId="0" fontId="29" fillId="0" borderId="46" xfId="2" applyFont="1" applyBorder="1" applyAlignment="1">
      <alignment horizontal="center" vertical="center"/>
    </xf>
    <xf numFmtId="49" fontId="29" fillId="0" borderId="0" xfId="2" applyNumberFormat="1" applyFont="1">
      <alignment vertical="center"/>
    </xf>
    <xf numFmtId="49" fontId="29" fillId="0" borderId="0" xfId="2" applyNumberFormat="1" applyFont="1" applyAlignment="1">
      <alignment horizontal="center" vertical="center" shrinkToFit="1"/>
    </xf>
    <xf numFmtId="49" fontId="30" fillId="0" borderId="0" xfId="2" applyNumberFormat="1" applyFont="1" applyAlignment="1">
      <alignment horizontal="left" vertical="center"/>
    </xf>
    <xf numFmtId="0" fontId="31" fillId="0" borderId="113" xfId="2" applyFont="1" applyBorder="1" applyAlignment="1">
      <alignment horizontal="center" vertical="center" shrinkToFit="1"/>
    </xf>
    <xf numFmtId="177" fontId="34" fillId="0" borderId="70" xfId="2" applyNumberFormat="1" applyFont="1" applyBorder="1" applyAlignment="1">
      <alignment horizontal="center" vertical="center" shrinkToFit="1"/>
    </xf>
    <xf numFmtId="177" fontId="34" fillId="0" borderId="69" xfId="2" applyNumberFormat="1" applyFont="1" applyBorder="1" applyAlignment="1">
      <alignment horizontal="center" vertical="center" shrinkToFit="1"/>
    </xf>
    <xf numFmtId="177" fontId="34" fillId="0" borderId="77" xfId="2" applyNumberFormat="1" applyFont="1" applyBorder="1" applyAlignment="1">
      <alignment horizontal="center" vertical="center" shrinkToFit="1"/>
    </xf>
    <xf numFmtId="177" fontId="34" fillId="0" borderId="68" xfId="2" applyNumberFormat="1" applyFont="1" applyBorder="1" applyAlignment="1">
      <alignment horizontal="center" vertical="center" shrinkToFit="1"/>
    </xf>
    <xf numFmtId="177" fontId="34" fillId="0" borderId="76" xfId="2" applyNumberFormat="1" applyFont="1" applyBorder="1" applyAlignment="1">
      <alignment horizontal="center" vertical="center" shrinkToFit="1"/>
    </xf>
    <xf numFmtId="177" fontId="34" fillId="0" borderId="75" xfId="2" applyNumberFormat="1" applyFont="1" applyBorder="1" applyAlignment="1">
      <alignment horizontal="center" vertical="center" shrinkToFit="1"/>
    </xf>
    <xf numFmtId="177" fontId="34" fillId="0" borderId="67" xfId="2" applyNumberFormat="1" applyFont="1" applyBorder="1" applyAlignment="1">
      <alignment horizontal="center" vertical="center" shrinkToFit="1"/>
    </xf>
    <xf numFmtId="177" fontId="34" fillId="0" borderId="64" xfId="2" applyNumberFormat="1" applyFont="1" applyBorder="1" applyAlignment="1">
      <alignment horizontal="center" vertical="center" shrinkToFit="1"/>
    </xf>
    <xf numFmtId="177" fontId="34" fillId="0" borderId="71" xfId="2" applyNumberFormat="1" applyFont="1" applyBorder="1" applyAlignment="1">
      <alignment horizontal="center" vertical="center" shrinkToFit="1"/>
    </xf>
    <xf numFmtId="177" fontId="34" fillId="0" borderId="66" xfId="2" applyNumberFormat="1" applyFont="1" applyBorder="1" applyAlignment="1">
      <alignment horizontal="center" vertical="center" shrinkToFit="1"/>
    </xf>
    <xf numFmtId="177" fontId="34" fillId="0" borderId="65" xfId="2" applyNumberFormat="1" applyFont="1" applyBorder="1" applyAlignment="1">
      <alignment horizontal="center" vertical="center" shrinkToFit="1"/>
    </xf>
    <xf numFmtId="177" fontId="34" fillId="0" borderId="63" xfId="2" applyNumberFormat="1" applyFont="1" applyBorder="1" applyAlignment="1">
      <alignment horizontal="center" vertical="center" shrinkToFit="1"/>
    </xf>
    <xf numFmtId="177" fontId="34" fillId="0" borderId="85" xfId="2" applyNumberFormat="1" applyFont="1" applyBorder="1" applyAlignment="1">
      <alignment horizontal="center" vertical="center" shrinkToFit="1"/>
    </xf>
    <xf numFmtId="177" fontId="34" fillId="0" borderId="82" xfId="2" applyNumberFormat="1" applyFont="1" applyBorder="1" applyAlignment="1">
      <alignment horizontal="center" vertical="center" shrinkToFit="1"/>
    </xf>
    <xf numFmtId="177" fontId="34" fillId="0" borderId="86" xfId="2" applyNumberFormat="1" applyFont="1" applyBorder="1" applyAlignment="1">
      <alignment horizontal="center" vertical="center" shrinkToFit="1"/>
    </xf>
    <xf numFmtId="177" fontId="34" fillId="0" borderId="84" xfId="2" applyNumberFormat="1" applyFont="1" applyBorder="1" applyAlignment="1">
      <alignment horizontal="center" vertical="center" shrinkToFit="1"/>
    </xf>
    <xf numFmtId="177" fontId="34" fillId="0" borderId="83" xfId="2" applyNumberFormat="1" applyFont="1" applyBorder="1" applyAlignment="1">
      <alignment horizontal="center" vertical="center" shrinkToFit="1"/>
    </xf>
    <xf numFmtId="177" fontId="34" fillId="0" borderId="81" xfId="2" applyNumberFormat="1" applyFont="1" applyBorder="1" applyAlignment="1">
      <alignment horizontal="center" vertical="center" shrinkToFit="1"/>
    </xf>
    <xf numFmtId="177" fontId="34" fillId="0" borderId="112" xfId="2" applyNumberFormat="1" applyFont="1" applyBorder="1" applyAlignment="1">
      <alignment horizontal="center" vertical="center" shrinkToFit="1"/>
    </xf>
    <xf numFmtId="177" fontId="34" fillId="0" borderId="111" xfId="2" applyNumberFormat="1" applyFont="1" applyBorder="1" applyAlignment="1">
      <alignment horizontal="center" vertical="center" shrinkToFit="1"/>
    </xf>
    <xf numFmtId="177" fontId="34" fillId="0" borderId="114" xfId="2" applyNumberFormat="1" applyFont="1" applyBorder="1" applyAlignment="1">
      <alignment horizontal="center" vertical="center" shrinkToFit="1"/>
    </xf>
    <xf numFmtId="177" fontId="34" fillId="0" borderId="113" xfId="2" applyNumberFormat="1" applyFont="1" applyBorder="1" applyAlignment="1">
      <alignment horizontal="center" vertical="center" shrinkToFit="1"/>
    </xf>
    <xf numFmtId="177" fontId="34" fillId="0" borderId="116" xfId="2" applyNumberFormat="1" applyFont="1" applyBorder="1" applyAlignment="1">
      <alignment horizontal="center" vertical="center" shrinkToFit="1"/>
    </xf>
    <xf numFmtId="177" fontId="34" fillId="0" borderId="110" xfId="2" applyNumberFormat="1" applyFont="1" applyBorder="1" applyAlignment="1">
      <alignment horizontal="center" vertical="center" shrinkToFit="1"/>
    </xf>
    <xf numFmtId="177" fontId="34" fillId="0" borderId="60" xfId="2" applyNumberFormat="1" applyFont="1" applyBorder="1" applyAlignment="1">
      <alignment horizontal="center" vertical="center" shrinkToFit="1"/>
    </xf>
    <xf numFmtId="177" fontId="34" fillId="0" borderId="57" xfId="2" applyNumberFormat="1" applyFont="1" applyBorder="1" applyAlignment="1">
      <alignment horizontal="center" vertical="center" shrinkToFit="1"/>
    </xf>
    <xf numFmtId="177" fontId="34" fillId="0" borderId="61" xfId="2" applyNumberFormat="1" applyFont="1" applyBorder="1" applyAlignment="1">
      <alignment horizontal="center" vertical="center" shrinkToFit="1"/>
    </xf>
    <xf numFmtId="177" fontId="34" fillId="0" borderId="59" xfId="2" applyNumberFormat="1" applyFont="1" applyBorder="1" applyAlignment="1">
      <alignment horizontal="center" vertical="center" shrinkToFit="1"/>
    </xf>
    <xf numFmtId="177" fontId="34" fillId="0" borderId="58" xfId="2" applyNumberFormat="1" applyFont="1" applyBorder="1" applyAlignment="1">
      <alignment horizontal="center" vertical="center" shrinkToFit="1"/>
    </xf>
    <xf numFmtId="177" fontId="34" fillId="0" borderId="56" xfId="2" applyNumberFormat="1" applyFont="1" applyBorder="1" applyAlignment="1">
      <alignment horizontal="center" vertical="center" shrinkToFit="1"/>
    </xf>
    <xf numFmtId="0" fontId="34" fillId="0" borderId="70" xfId="2" applyFont="1" applyBorder="1" applyAlignment="1">
      <alignment horizontal="center" vertical="center" shrinkToFit="1"/>
    </xf>
    <xf numFmtId="0" fontId="34" fillId="0" borderId="69" xfId="2" applyFont="1" applyBorder="1" applyAlignment="1">
      <alignment horizontal="center" vertical="center" shrinkToFit="1"/>
    </xf>
    <xf numFmtId="0" fontId="34" fillId="0" borderId="77" xfId="2" applyFont="1" applyBorder="1" applyAlignment="1">
      <alignment horizontal="center" vertical="center" shrinkToFit="1"/>
    </xf>
    <xf numFmtId="0" fontId="34" fillId="0" borderId="68" xfId="2" applyFont="1" applyBorder="1" applyAlignment="1">
      <alignment horizontal="center" vertical="center" shrinkToFit="1"/>
    </xf>
    <xf numFmtId="0" fontId="34" fillId="0" borderId="75" xfId="2" applyFont="1" applyBorder="1" applyAlignment="1">
      <alignment horizontal="center" vertical="center" shrinkToFit="1"/>
    </xf>
    <xf numFmtId="0" fontId="34" fillId="0" borderId="67" xfId="2" applyFont="1" applyBorder="1" applyAlignment="1">
      <alignment horizontal="center" vertical="center" shrinkToFit="1"/>
    </xf>
    <xf numFmtId="0" fontId="34" fillId="0" borderId="64" xfId="2" applyFont="1" applyBorder="1" applyAlignment="1">
      <alignment horizontal="center" vertical="center" shrinkToFit="1"/>
    </xf>
    <xf numFmtId="0" fontId="34" fillId="0" borderId="71" xfId="2" applyFont="1" applyBorder="1" applyAlignment="1">
      <alignment horizontal="center" vertical="center" shrinkToFit="1"/>
    </xf>
    <xf numFmtId="0" fontId="34" fillId="0" borderId="66" xfId="2" applyFont="1" applyBorder="1" applyAlignment="1">
      <alignment horizontal="center" vertical="center" shrinkToFit="1"/>
    </xf>
    <xf numFmtId="0" fontId="34" fillId="0" borderId="63" xfId="2" applyFont="1" applyBorder="1" applyAlignment="1">
      <alignment horizontal="center" vertical="center" shrinkToFit="1"/>
    </xf>
    <xf numFmtId="0" fontId="34" fillId="0" borderId="112" xfId="2" applyFont="1" applyBorder="1" applyAlignment="1">
      <alignment horizontal="center" vertical="center" shrinkToFit="1"/>
    </xf>
    <xf numFmtId="0" fontId="34" fillId="0" borderId="111" xfId="2" applyFont="1" applyBorder="1" applyAlignment="1">
      <alignment horizontal="center" vertical="center" shrinkToFit="1"/>
    </xf>
    <xf numFmtId="0" fontId="34" fillId="0" borderId="114" xfId="2" applyFont="1" applyBorder="1" applyAlignment="1">
      <alignment horizontal="center" vertical="center" shrinkToFit="1"/>
    </xf>
    <xf numFmtId="0" fontId="34" fillId="0" borderId="113" xfId="2" applyFont="1" applyBorder="1" applyAlignment="1">
      <alignment horizontal="center" vertical="center" shrinkToFit="1"/>
    </xf>
    <xf numFmtId="0" fontId="34" fillId="0" borderId="110" xfId="2" applyFont="1" applyBorder="1" applyAlignment="1">
      <alignment horizontal="center" vertical="center" shrinkToFit="1"/>
    </xf>
    <xf numFmtId="0" fontId="34" fillId="0" borderId="60" xfId="2" applyFont="1" applyBorder="1" applyAlignment="1">
      <alignment horizontal="center" vertical="center" shrinkToFit="1"/>
    </xf>
    <xf numFmtId="0" fontId="34" fillId="0" borderId="57" xfId="2" applyFont="1" applyBorder="1" applyAlignment="1">
      <alignment horizontal="center" vertical="center" shrinkToFit="1"/>
    </xf>
    <xf numFmtId="0" fontId="34" fillId="0" borderId="61" xfId="2" applyFont="1" applyBorder="1" applyAlignment="1">
      <alignment horizontal="center" vertical="center" shrinkToFit="1"/>
    </xf>
    <xf numFmtId="0" fontId="34" fillId="0" borderId="59" xfId="2" applyFont="1" applyBorder="1" applyAlignment="1">
      <alignment horizontal="center" vertical="center" shrinkToFit="1"/>
    </xf>
    <xf numFmtId="0" fontId="34" fillId="0" borderId="56" xfId="2" applyFont="1" applyBorder="1" applyAlignment="1">
      <alignment horizontal="center" vertical="center" shrinkToFit="1"/>
    </xf>
    <xf numFmtId="0" fontId="34" fillId="0" borderId="102" xfId="2" applyFont="1" applyBorder="1" applyAlignment="1">
      <alignment horizontal="center" vertical="center" shrinkToFit="1"/>
    </xf>
    <xf numFmtId="0" fontId="34" fillId="0" borderId="101" xfId="2" applyFont="1" applyBorder="1" applyAlignment="1">
      <alignment horizontal="center" vertical="center" shrinkToFit="1"/>
    </xf>
    <xf numFmtId="0" fontId="34" fillId="0" borderId="104" xfId="2" applyFont="1" applyBorder="1" applyAlignment="1">
      <alignment horizontal="center" vertical="center" shrinkToFit="1"/>
    </xf>
    <xf numFmtId="0" fontId="34" fillId="0" borderId="103" xfId="2" applyFont="1" applyBorder="1" applyAlignment="1">
      <alignment horizontal="center" vertical="center" shrinkToFit="1"/>
    </xf>
    <xf numFmtId="0" fontId="34" fillId="0" borderId="100" xfId="2" applyFont="1" applyBorder="1" applyAlignment="1">
      <alignment horizontal="center" vertical="center" shrinkToFit="1"/>
    </xf>
    <xf numFmtId="0" fontId="35" fillId="0" borderId="0" xfId="2" applyFont="1">
      <alignment vertical="center"/>
    </xf>
    <xf numFmtId="49" fontId="36" fillId="0" borderId="0" xfId="0" applyNumberFormat="1" applyFont="1"/>
    <xf numFmtId="49" fontId="36" fillId="0" borderId="0" xfId="0" applyNumberFormat="1" applyFont="1" applyAlignment="1">
      <alignment horizontal="right"/>
    </xf>
    <xf numFmtId="49" fontId="37" fillId="0" borderId="0" xfId="0" applyNumberFormat="1" applyFont="1"/>
    <xf numFmtId="49" fontId="38" fillId="0" borderId="0" xfId="0" applyNumberFormat="1" applyFont="1"/>
    <xf numFmtId="0" fontId="23" fillId="0" borderId="0" xfId="0" applyFont="1"/>
    <xf numFmtId="0" fontId="33" fillId="0" borderId="0" xfId="2" applyFont="1" applyAlignment="1">
      <alignment horizontal="left" vertical="center"/>
    </xf>
    <xf numFmtId="0" fontId="40" fillId="0" borderId="0" xfId="2" applyFont="1">
      <alignment vertical="center"/>
    </xf>
    <xf numFmtId="0" fontId="31" fillId="0" borderId="26" xfId="2" applyFont="1" applyBorder="1" applyAlignment="1">
      <alignment horizontal="center" vertical="center" shrinkToFit="1"/>
    </xf>
    <xf numFmtId="0" fontId="31" fillId="0" borderId="30" xfId="2" applyFont="1" applyBorder="1" applyAlignment="1">
      <alignment horizontal="center" vertical="center" shrinkToFit="1"/>
    </xf>
    <xf numFmtId="49" fontId="36" fillId="0" borderId="0" xfId="0" applyNumberFormat="1" applyFont="1" applyAlignment="1">
      <alignment wrapText="1"/>
    </xf>
    <xf numFmtId="0" fontId="9" fillId="7" borderId="3" xfId="0" applyFont="1" applyFill="1" applyBorder="1" applyAlignment="1">
      <alignment horizontal="center" vertical="center" shrinkToFit="1"/>
    </xf>
    <xf numFmtId="0" fontId="10" fillId="7" borderId="27" xfId="0" applyFont="1" applyFill="1" applyBorder="1" applyAlignment="1">
      <alignment horizontal="center" vertical="center" shrinkToFit="1"/>
    </xf>
    <xf numFmtId="0" fontId="10" fillId="7" borderId="3" xfId="0" applyFont="1" applyFill="1" applyBorder="1" applyAlignment="1">
      <alignment horizontal="center" vertical="center" shrinkToFit="1"/>
    </xf>
    <xf numFmtId="0" fontId="10" fillId="7" borderId="5" xfId="0" applyFont="1" applyFill="1" applyBorder="1" applyAlignment="1">
      <alignment horizontal="center" vertical="center" shrinkToFit="1"/>
    </xf>
    <xf numFmtId="0" fontId="1" fillId="0" borderId="0" xfId="1" applyFont="1">
      <alignment vertical="center"/>
    </xf>
    <xf numFmtId="0" fontId="41" fillId="0" borderId="0" xfId="0" applyFont="1"/>
    <xf numFmtId="0" fontId="9" fillId="0" borderId="117" xfId="0" applyFont="1" applyBorder="1" applyAlignment="1">
      <alignment horizontal="center" vertical="center"/>
    </xf>
    <xf numFmtId="0" fontId="41" fillId="0" borderId="0" xfId="0" applyFont="1" applyAlignment="1">
      <alignment vertical="center"/>
    </xf>
    <xf numFmtId="0" fontId="9" fillId="3" borderId="10" xfId="0" applyFont="1" applyFill="1" applyBorder="1" applyAlignment="1">
      <alignment horizontal="center" vertical="center" shrinkToFit="1"/>
    </xf>
    <xf numFmtId="0" fontId="9" fillId="3" borderId="52" xfId="0" applyFont="1" applyFill="1" applyBorder="1" applyAlignment="1">
      <alignment horizontal="center" vertical="center" shrinkToFit="1"/>
    </xf>
    <xf numFmtId="0" fontId="9" fillId="7" borderId="30" xfId="0" applyFont="1" applyFill="1" applyBorder="1" applyAlignment="1">
      <alignment horizontal="center" vertical="center" shrinkToFit="1"/>
    </xf>
    <xf numFmtId="0" fontId="9" fillId="3" borderId="119" xfId="0" applyFont="1" applyFill="1" applyBorder="1" applyAlignment="1">
      <alignment horizontal="center" vertical="center" shrinkToFit="1"/>
    </xf>
    <xf numFmtId="0" fontId="9" fillId="0" borderId="46" xfId="0" applyFont="1" applyBorder="1" applyAlignment="1">
      <alignment horizontal="center" vertical="center"/>
    </xf>
    <xf numFmtId="0" fontId="9" fillId="3" borderId="50" xfId="0" applyFont="1" applyFill="1" applyBorder="1" applyAlignment="1">
      <alignment horizontal="center" vertical="center" shrinkToFit="1"/>
    </xf>
    <xf numFmtId="0" fontId="9" fillId="3" borderId="118" xfId="0" applyFont="1" applyFill="1" applyBorder="1" applyAlignment="1">
      <alignment horizontal="center" vertical="center" shrinkToFit="1"/>
    </xf>
    <xf numFmtId="0" fontId="9" fillId="3" borderId="26" xfId="0" applyFont="1" applyFill="1" applyBorder="1" applyAlignment="1">
      <alignment horizontal="center" vertical="center" shrinkToFit="1"/>
    </xf>
    <xf numFmtId="0" fontId="9" fillId="0" borderId="4" xfId="0" applyFont="1" applyBorder="1" applyAlignment="1">
      <alignment horizontal="center" vertical="center" shrinkToFit="1"/>
    </xf>
    <xf numFmtId="0" fontId="9" fillId="3" borderId="120" xfId="0" applyFont="1" applyFill="1" applyBorder="1" applyAlignment="1">
      <alignment horizontal="center" vertical="center" shrinkToFit="1"/>
    </xf>
    <xf numFmtId="0" fontId="9" fillId="0" borderId="6" xfId="0" applyFont="1" applyBorder="1" applyAlignment="1">
      <alignment horizontal="center" vertical="center" shrinkToFit="1"/>
    </xf>
    <xf numFmtId="0" fontId="9" fillId="0" borderId="117" xfId="0" applyFont="1" applyBorder="1" applyAlignment="1">
      <alignment horizontal="center" vertical="center" shrinkToFit="1"/>
    </xf>
    <xf numFmtId="0" fontId="9" fillId="7" borderId="5" xfId="0" applyFont="1" applyFill="1" applyBorder="1" applyAlignment="1">
      <alignment horizontal="center" vertical="center"/>
    </xf>
    <xf numFmtId="0" fontId="10" fillId="9" borderId="3" xfId="0" applyFont="1" applyFill="1" applyBorder="1" applyAlignment="1">
      <alignment horizontal="center" vertical="center" shrinkToFit="1"/>
    </xf>
    <xf numFmtId="0" fontId="10" fillId="9" borderId="30" xfId="0" applyFont="1" applyFill="1" applyBorder="1" applyAlignment="1">
      <alignment horizontal="center" vertical="center" shrinkToFit="1"/>
    </xf>
    <xf numFmtId="0" fontId="10" fillId="9" borderId="27" xfId="0" applyFont="1" applyFill="1" applyBorder="1" applyAlignment="1">
      <alignment horizontal="center" vertical="center" shrinkToFit="1"/>
    </xf>
    <xf numFmtId="0" fontId="10" fillId="10" borderId="3"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10" fillId="12" borderId="27" xfId="0" applyFont="1" applyFill="1" applyBorder="1" applyAlignment="1">
      <alignment horizontal="center" vertical="center" shrinkToFit="1"/>
    </xf>
    <xf numFmtId="0" fontId="10" fillId="12" borderId="30" xfId="0" applyFont="1" applyFill="1" applyBorder="1" applyAlignment="1">
      <alignment horizontal="center" vertical="center" shrinkToFit="1"/>
    </xf>
    <xf numFmtId="0" fontId="10" fillId="12" borderId="3" xfId="0" applyFont="1" applyFill="1" applyBorder="1" applyAlignment="1">
      <alignment horizontal="center" vertical="center" shrinkToFit="1"/>
    </xf>
    <xf numFmtId="0" fontId="10" fillId="13" borderId="3" xfId="0" applyFont="1" applyFill="1" applyBorder="1" applyAlignment="1">
      <alignment horizontal="center" vertical="center" shrinkToFit="1"/>
    </xf>
    <xf numFmtId="0" fontId="10" fillId="13" borderId="27" xfId="0" applyFont="1" applyFill="1" applyBorder="1" applyAlignment="1">
      <alignment horizontal="center" vertical="center" shrinkToFit="1"/>
    </xf>
    <xf numFmtId="0" fontId="10" fillId="8" borderId="3" xfId="0" applyFont="1" applyFill="1" applyBorder="1" applyAlignment="1">
      <alignment horizontal="center" vertical="center" shrinkToFit="1"/>
    </xf>
    <xf numFmtId="0" fontId="10" fillId="8" borderId="27" xfId="0" applyFont="1" applyFill="1" applyBorder="1" applyAlignment="1">
      <alignment horizontal="center" vertical="center" shrinkToFit="1"/>
    </xf>
    <xf numFmtId="0" fontId="10" fillId="8" borderId="7" xfId="0" applyFont="1" applyFill="1" applyBorder="1" applyAlignment="1">
      <alignment horizontal="center" vertical="center" shrinkToFit="1"/>
    </xf>
    <xf numFmtId="0" fontId="10" fillId="8" borderId="5" xfId="0" applyFont="1" applyFill="1" applyBorder="1" applyAlignment="1">
      <alignment horizontal="center" vertical="center" shrinkToFit="1"/>
    </xf>
    <xf numFmtId="0" fontId="9" fillId="7" borderId="27" xfId="0" applyFont="1" applyFill="1" applyBorder="1" applyAlignment="1">
      <alignment horizontal="center" vertical="center" shrinkToFit="1"/>
    </xf>
    <xf numFmtId="0" fontId="9" fillId="7" borderId="118" xfId="0" applyFont="1" applyFill="1" applyBorder="1" applyAlignment="1">
      <alignment horizontal="center" vertical="center" shrinkToFit="1"/>
    </xf>
    <xf numFmtId="0" fontId="9" fillId="7" borderId="117" xfId="0" applyFont="1" applyFill="1" applyBorder="1" applyAlignment="1">
      <alignment horizontal="center" vertical="center" shrinkToFit="1"/>
    </xf>
    <xf numFmtId="0" fontId="10" fillId="0" borderId="14" xfId="0" applyFont="1" applyBorder="1" applyAlignment="1">
      <alignment horizontal="center" vertical="center"/>
    </xf>
    <xf numFmtId="0" fontId="9" fillId="0" borderId="29" xfId="0" applyFont="1" applyBorder="1" applyAlignment="1">
      <alignment horizontal="center" vertical="center" shrinkToFit="1"/>
    </xf>
    <xf numFmtId="0" fontId="10" fillId="9" borderId="5" xfId="0" applyFont="1" applyFill="1" applyBorder="1" applyAlignment="1">
      <alignment horizontal="center" vertical="center" shrinkToFit="1"/>
    </xf>
    <xf numFmtId="0" fontId="9" fillId="14" borderId="3" xfId="0" applyFont="1" applyFill="1" applyBorder="1" applyAlignment="1">
      <alignment horizontal="center" vertical="center" shrinkToFit="1"/>
    </xf>
    <xf numFmtId="177" fontId="34" fillId="0" borderId="91" xfId="2" applyNumberFormat="1" applyFont="1" applyBorder="1" applyAlignment="1">
      <alignment horizontal="center" vertical="center" shrinkToFit="1"/>
    </xf>
    <xf numFmtId="177" fontId="34" fillId="0" borderId="89" xfId="2" applyNumberFormat="1" applyFont="1" applyBorder="1" applyAlignment="1">
      <alignment horizontal="center" vertical="center" shrinkToFit="1"/>
    </xf>
    <xf numFmtId="177" fontId="34" fillId="0" borderId="92" xfId="2" applyNumberFormat="1" applyFont="1" applyBorder="1" applyAlignment="1">
      <alignment horizontal="center" vertical="center" shrinkToFit="1"/>
    </xf>
    <xf numFmtId="177" fontId="34" fillId="0" borderId="88" xfId="2" applyNumberFormat="1" applyFont="1" applyBorder="1" applyAlignment="1">
      <alignment horizontal="center" vertical="center" shrinkToFit="1"/>
    </xf>
    <xf numFmtId="177" fontId="34" fillId="0" borderId="90" xfId="2" applyNumberFormat="1" applyFont="1" applyBorder="1" applyAlignment="1">
      <alignment horizontal="center" vertical="center" shrinkToFit="1"/>
    </xf>
    <xf numFmtId="177" fontId="34" fillId="0" borderId="122" xfId="2" applyNumberFormat="1" applyFont="1" applyBorder="1" applyAlignment="1">
      <alignment horizontal="center" vertical="center" shrinkToFit="1"/>
    </xf>
    <xf numFmtId="0" fontId="9" fillId="0" borderId="48" xfId="0" applyFont="1" applyBorder="1" applyAlignment="1">
      <alignment horizontal="center" vertical="center"/>
    </xf>
    <xf numFmtId="0" fontId="9" fillId="14" borderId="30" xfId="0" applyFont="1" applyFill="1" applyBorder="1" applyAlignment="1">
      <alignment horizontal="center" vertical="center" shrinkToFit="1"/>
    </xf>
    <xf numFmtId="0" fontId="9" fillId="0" borderId="121" xfId="0" applyFont="1" applyBorder="1" applyAlignment="1">
      <alignment horizontal="center" vertical="center"/>
    </xf>
    <xf numFmtId="0" fontId="10" fillId="15" borderId="3" xfId="0" applyFont="1" applyFill="1" applyBorder="1" applyAlignment="1">
      <alignment horizontal="center" vertical="center" shrinkToFit="1"/>
    </xf>
    <xf numFmtId="0" fontId="11" fillId="0" borderId="0" xfId="0" applyFont="1" applyAlignment="1">
      <alignment horizontal="center" shrinkToFit="1"/>
    </xf>
    <xf numFmtId="0" fontId="11" fillId="0" borderId="0" xfId="0" applyFont="1" applyAlignment="1">
      <alignment horizontal="center"/>
    </xf>
    <xf numFmtId="14" fontId="0" fillId="0" borderId="53" xfId="0" applyNumberFormat="1" applyBorder="1" applyAlignment="1">
      <alignment horizontal="center"/>
    </xf>
    <xf numFmtId="0" fontId="0" fillId="0" borderId="54" xfId="0" applyBorder="1" applyAlignment="1">
      <alignment horizontal="center"/>
    </xf>
    <xf numFmtId="56" fontId="0" fillId="0" borderId="36" xfId="0" applyNumberFormat="1" applyBorder="1" applyAlignment="1">
      <alignment horizontal="center"/>
    </xf>
    <xf numFmtId="0" fontId="9" fillId="0" borderId="39" xfId="0" applyFont="1" applyBorder="1" applyAlignment="1">
      <alignment horizontal="center" vertical="center"/>
    </xf>
    <xf numFmtId="0" fontId="9" fillId="0" borderId="40" xfId="0" applyFont="1" applyBorder="1" applyAlignment="1">
      <alignment horizontal="center" vertical="center"/>
    </xf>
    <xf numFmtId="0" fontId="9" fillId="0" borderId="37" xfId="0" applyFont="1" applyBorder="1" applyAlignment="1">
      <alignment horizontal="center" vertical="center"/>
    </xf>
    <xf numFmtId="0" fontId="9" fillId="0" borderId="38"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1" xfId="0" applyFont="1" applyBorder="1" applyAlignment="1">
      <alignment horizontal="center" vertical="center"/>
    </xf>
    <xf numFmtId="0" fontId="9" fillId="0" borderId="41" xfId="0" applyFont="1" applyBorder="1" applyAlignment="1">
      <alignment horizontal="center" vertical="center"/>
    </xf>
    <xf numFmtId="178" fontId="23" fillId="0" borderId="0" xfId="0" applyNumberFormat="1" applyFont="1" applyAlignment="1">
      <alignment horizontal="center"/>
    </xf>
    <xf numFmtId="0" fontId="10" fillId="0" borderId="45" xfId="0" applyFont="1" applyBorder="1" applyAlignment="1">
      <alignment horizontal="center" vertical="center"/>
    </xf>
    <xf numFmtId="0" fontId="10" fillId="0" borderId="8" xfId="0" applyFont="1" applyBorder="1" applyAlignment="1">
      <alignment horizontal="center" vertical="center"/>
    </xf>
    <xf numFmtId="0" fontId="6" fillId="0" borderId="45" xfId="0" applyFont="1" applyBorder="1" applyAlignment="1">
      <alignment horizontal="center" vertical="center"/>
    </xf>
    <xf numFmtId="0" fontId="6" fillId="0" borderId="8" xfId="0" applyFont="1" applyBorder="1" applyAlignment="1">
      <alignment horizontal="center" vertical="center"/>
    </xf>
    <xf numFmtId="0" fontId="10" fillId="0" borderId="1" xfId="0" applyFont="1" applyBorder="1" applyAlignment="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4" xfId="0" applyFont="1" applyBorder="1" applyAlignment="1">
      <alignment horizontal="center" vertical="center"/>
    </xf>
    <xf numFmtId="49" fontId="40" fillId="0" borderId="0" xfId="2" applyNumberFormat="1" applyFont="1" applyAlignment="1">
      <alignment horizontal="left" vertical="center" shrinkToFit="1"/>
    </xf>
    <xf numFmtId="179" fontId="39" fillId="0" borderId="0" xfId="2" applyNumberFormat="1" applyFont="1" applyAlignment="1">
      <alignment horizontal="center" vertical="center"/>
    </xf>
    <xf numFmtId="0" fontId="18" fillId="0" borderId="0" xfId="0" applyFont="1" applyAlignment="1">
      <alignment horizontal="center" vertical="center"/>
    </xf>
    <xf numFmtId="49" fontId="36" fillId="0" borderId="0" xfId="0" applyNumberFormat="1" applyFont="1" applyAlignment="1">
      <alignment horizontal="left"/>
    </xf>
  </cellXfs>
  <cellStyles count="3">
    <cellStyle name="標準" xfId="0" builtinId="0"/>
    <cellStyle name="標準 2" xfId="1" xr:uid="{00000000-0005-0000-0000-000001000000}"/>
    <cellStyle name="標準 3" xfId="2" xr:uid="{00000000-0005-0000-0000-000002000000}"/>
  </cellStyles>
  <dxfs count="248">
    <dxf>
      <fill>
        <patternFill>
          <bgColor rgb="FFFF66FF"/>
        </patternFill>
      </fill>
    </dxf>
    <dxf>
      <fill>
        <patternFill>
          <bgColor rgb="FF92D050"/>
        </patternFill>
      </fill>
    </dxf>
    <dxf>
      <fill>
        <patternFill>
          <bgColor theme="9" tint="0.39994506668294322"/>
        </patternFill>
      </fill>
    </dxf>
    <dxf>
      <fill>
        <patternFill>
          <bgColor rgb="FF00B0F0"/>
        </patternFill>
      </fill>
    </dxf>
    <dxf>
      <fill>
        <patternFill>
          <bgColor rgb="FF00B0F0"/>
        </patternFill>
      </fill>
    </dxf>
    <dxf>
      <fill>
        <patternFill>
          <bgColor rgb="FFFF7C80"/>
        </patternFill>
      </fill>
    </dxf>
    <dxf>
      <fill>
        <patternFill>
          <bgColor rgb="FFFF7C80"/>
        </patternFill>
      </fill>
    </dxf>
    <dxf>
      <fill>
        <patternFill>
          <bgColor rgb="FF00B0F0"/>
        </patternFill>
      </fill>
    </dxf>
    <dxf>
      <fill>
        <patternFill>
          <bgColor rgb="FF92D050"/>
        </patternFill>
      </fill>
    </dxf>
    <dxf>
      <fill>
        <patternFill>
          <bgColor rgb="FF92D050"/>
        </patternFill>
      </fill>
    </dxf>
    <dxf>
      <fill>
        <patternFill>
          <bgColor theme="8" tint="0.39994506668294322"/>
        </patternFill>
      </fill>
    </dxf>
    <dxf>
      <fill>
        <patternFill>
          <bgColor theme="9" tint="0.39994506668294322"/>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theme="8" tint="0.39994506668294322"/>
        </patternFill>
      </fill>
    </dxf>
    <dxf>
      <fill>
        <patternFill>
          <bgColor theme="9" tint="0.39994506668294322"/>
        </patternFill>
      </fill>
    </dxf>
    <dxf>
      <fill>
        <patternFill>
          <bgColor rgb="FFFF7C80"/>
        </patternFill>
      </fill>
    </dxf>
    <dxf>
      <fill>
        <patternFill>
          <bgColor rgb="FF92D050"/>
        </patternFill>
      </fill>
    </dxf>
    <dxf>
      <fill>
        <patternFill>
          <bgColor rgb="FF00B0F0"/>
        </patternFill>
      </fill>
    </dxf>
    <dxf>
      <fill>
        <patternFill>
          <bgColor rgb="FF00B0F0"/>
        </patternFill>
      </fill>
    </dxf>
    <dxf>
      <fill>
        <patternFill>
          <bgColor rgb="FFFF7C80"/>
        </patternFill>
      </fill>
    </dxf>
    <dxf>
      <fill>
        <patternFill>
          <bgColor rgb="FF00B0F0"/>
        </patternFill>
      </fill>
    </dxf>
    <dxf>
      <fill>
        <patternFill>
          <bgColor rgb="FF92D050"/>
        </patternFill>
      </fill>
    </dxf>
    <dxf>
      <fill>
        <patternFill>
          <bgColor rgb="FFFFFF00"/>
        </patternFill>
      </fill>
    </dxf>
    <dxf>
      <fill>
        <patternFill>
          <bgColor rgb="FFFF66FF"/>
        </patternFill>
      </fill>
    </dxf>
    <dxf>
      <fill>
        <patternFill>
          <bgColor rgb="FFFF7C80"/>
        </patternFill>
      </fill>
    </dxf>
    <dxf>
      <fill>
        <patternFill>
          <bgColor rgb="FF00B0F0"/>
        </patternFill>
      </fill>
    </dxf>
    <dxf>
      <fill>
        <patternFill>
          <bgColor theme="9" tint="0.39994506668294322"/>
        </patternFill>
      </fill>
    </dxf>
    <dxf>
      <fill>
        <patternFill>
          <bgColor rgb="FFFF66FF"/>
        </patternFill>
      </fill>
    </dxf>
    <dxf>
      <fill>
        <patternFill>
          <bgColor rgb="FF92D050"/>
        </patternFill>
      </fill>
    </dxf>
    <dxf>
      <fill>
        <patternFill>
          <bgColor rgb="FF92D050"/>
        </patternFill>
      </fill>
    </dxf>
    <dxf>
      <fill>
        <patternFill>
          <bgColor theme="9" tint="0.39994506668294322"/>
        </patternFill>
      </fill>
    </dxf>
    <dxf>
      <fill>
        <patternFill>
          <bgColor theme="8" tint="0.39994506668294322"/>
        </patternFill>
      </fill>
    </dxf>
    <dxf>
      <fill>
        <patternFill>
          <bgColor rgb="FF00B0F0"/>
        </patternFill>
      </fill>
    </dxf>
    <dxf>
      <fill>
        <patternFill>
          <bgColor rgb="FFFF66FF"/>
        </patternFill>
      </fill>
    </dxf>
    <dxf>
      <fill>
        <patternFill>
          <bgColor rgb="FFFF7C80"/>
        </patternFill>
      </fill>
    </dxf>
    <dxf>
      <fill>
        <patternFill>
          <bgColor rgb="FF92D050"/>
        </patternFill>
      </fill>
    </dxf>
    <dxf>
      <fill>
        <patternFill>
          <bgColor rgb="FFFFFF00"/>
        </patternFill>
      </fill>
    </dxf>
    <dxf>
      <fill>
        <patternFill>
          <bgColor rgb="FF92D050"/>
        </patternFill>
      </fill>
    </dxf>
    <dxf>
      <fill>
        <patternFill>
          <bgColor theme="9" tint="0.39994506668294322"/>
        </patternFill>
      </fill>
    </dxf>
    <dxf>
      <fill>
        <patternFill>
          <bgColor theme="8" tint="0.39994506668294322"/>
        </patternFill>
      </fill>
    </dxf>
    <dxf>
      <fill>
        <patternFill>
          <bgColor rgb="FFFF7C80"/>
        </patternFill>
      </fill>
    </dxf>
    <dxf>
      <fill>
        <patternFill>
          <bgColor rgb="FFFF7C80"/>
        </patternFill>
      </fill>
    </dxf>
    <dxf>
      <fill>
        <patternFill>
          <bgColor rgb="FF00B0F0"/>
        </patternFill>
      </fill>
    </dxf>
    <dxf>
      <fill>
        <patternFill>
          <bgColor rgb="FF00B0F0"/>
        </patternFill>
      </fill>
    </dxf>
    <dxf>
      <fill>
        <patternFill>
          <bgColor rgb="FF92D050"/>
        </patternFill>
      </fill>
    </dxf>
    <dxf>
      <fill>
        <patternFill>
          <bgColor rgb="FFFF66FF"/>
        </patternFill>
      </fill>
    </dxf>
    <dxf>
      <fill>
        <patternFill>
          <bgColor rgb="FFFFFF00"/>
        </patternFill>
      </fill>
    </dxf>
    <dxf>
      <fill>
        <patternFill>
          <bgColor rgb="FFFF66FF"/>
        </patternFill>
      </fill>
    </dxf>
    <dxf>
      <fill>
        <patternFill>
          <bgColor rgb="FFFFFF00"/>
        </patternFill>
      </fill>
    </dxf>
    <dxf>
      <fill>
        <patternFill>
          <bgColor rgb="FF92D050"/>
        </patternFill>
      </fill>
    </dxf>
    <dxf>
      <fill>
        <patternFill>
          <bgColor rgb="FF00B0F0"/>
        </patternFill>
      </fill>
    </dxf>
    <dxf>
      <fill>
        <patternFill>
          <bgColor rgb="FFFF7C80"/>
        </patternFill>
      </fill>
    </dxf>
    <dxf>
      <fill>
        <patternFill>
          <bgColor theme="8" tint="0.39994506668294322"/>
        </patternFill>
      </fill>
    </dxf>
    <dxf>
      <fill>
        <patternFill>
          <bgColor theme="9" tint="0.39994506668294322"/>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rgb="FFFF66FF"/>
        </patternFill>
      </fill>
    </dxf>
    <dxf>
      <fill>
        <patternFill>
          <bgColor rgb="FFFFFF00"/>
        </patternFill>
      </fill>
    </dxf>
    <dxf>
      <fill>
        <patternFill>
          <bgColor theme="9" tint="0.39994506668294322"/>
        </patternFill>
      </fill>
    </dxf>
    <dxf>
      <fill>
        <patternFill>
          <bgColor theme="8" tint="0.39994506668294322"/>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theme="8" tint="0.39994506668294322"/>
        </patternFill>
      </fill>
    </dxf>
    <dxf>
      <fill>
        <patternFill>
          <bgColor rgb="FFFF7C80"/>
        </patternFill>
      </fill>
    </dxf>
    <dxf>
      <fill>
        <patternFill>
          <bgColor rgb="FF92D050"/>
        </patternFill>
      </fill>
    </dxf>
    <dxf>
      <fill>
        <patternFill>
          <bgColor rgb="FF00B0F0"/>
        </patternFill>
      </fill>
    </dxf>
    <dxf>
      <fill>
        <patternFill>
          <bgColor rgb="FF00B0F0"/>
        </patternFill>
      </fill>
    </dxf>
    <dxf>
      <fill>
        <patternFill>
          <bgColor rgb="FFFF7C80"/>
        </patternFill>
      </fill>
    </dxf>
    <dxf>
      <fill>
        <patternFill>
          <bgColor rgb="FFFFFF00"/>
        </patternFill>
      </fill>
    </dxf>
    <dxf>
      <fill>
        <patternFill>
          <bgColor rgb="FFFF66FF"/>
        </patternFill>
      </fill>
    </dxf>
    <dxf>
      <fill>
        <patternFill>
          <bgColor rgb="FFFF7C80"/>
        </patternFill>
      </fill>
    </dxf>
    <dxf>
      <fill>
        <patternFill>
          <bgColor rgb="FF00B0F0"/>
        </patternFill>
      </fill>
    </dxf>
    <dxf>
      <fill>
        <patternFill>
          <bgColor rgb="FF92D050"/>
        </patternFill>
      </fill>
    </dxf>
    <dxf>
      <fill>
        <patternFill>
          <bgColor rgb="FFFF66FF"/>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7C80"/>
        </patternFill>
      </fill>
    </dxf>
    <dxf>
      <fill>
        <patternFill>
          <bgColor rgb="FFFFFF00"/>
        </patternFill>
      </fill>
    </dxf>
    <dxf>
      <fill>
        <patternFill>
          <bgColor rgb="FFFF66FF"/>
        </patternFill>
      </fill>
    </dxf>
    <dxf>
      <fill>
        <patternFill>
          <bgColor rgb="FF00B0F0"/>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rgb="FFFF7C80"/>
        </patternFill>
      </fill>
    </dxf>
    <dxf>
      <fill>
        <patternFill>
          <bgColor rgb="FFFF66FF"/>
        </patternFill>
      </fill>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7C80"/>
        </patternFill>
      </fill>
    </dxf>
    <dxf>
      <fill>
        <patternFill>
          <bgColor rgb="FFFFFF00"/>
        </patternFill>
      </fill>
    </dxf>
    <dxf>
      <fill>
        <patternFill>
          <bgColor rgb="FFFFFF00"/>
        </patternFill>
      </fill>
    </dxf>
    <dxf>
      <fill>
        <patternFill>
          <bgColor rgb="FF92D050"/>
        </patternFill>
      </fill>
    </dxf>
    <dxf>
      <fill>
        <patternFill>
          <bgColor rgb="FF00B0F0"/>
        </patternFill>
      </fill>
    </dxf>
    <dxf>
      <fill>
        <patternFill>
          <bgColor rgb="FFFF7C80"/>
        </patternFill>
      </fill>
    </dxf>
    <dxf>
      <fill>
        <patternFill>
          <bgColor rgb="FF92D050"/>
        </patternFill>
      </fill>
    </dxf>
    <dxf>
      <fill>
        <patternFill>
          <bgColor rgb="FF00B0F0"/>
        </patternFill>
      </fill>
    </dxf>
    <dxf>
      <fill>
        <patternFill>
          <bgColor rgb="FFFF7C80"/>
        </patternFill>
      </fill>
    </dxf>
    <dxf>
      <fill>
        <patternFill>
          <bgColor rgb="FF92D050"/>
        </patternFill>
      </fill>
    </dxf>
    <dxf>
      <fill>
        <patternFill>
          <bgColor rgb="FF00B0F0"/>
        </patternFill>
      </fill>
    </dxf>
    <dxf>
      <fill>
        <patternFill>
          <bgColor rgb="FFFF7C80"/>
        </patternFill>
      </fill>
    </dxf>
    <dxf>
      <fill>
        <patternFill>
          <bgColor rgb="FF92D050"/>
        </patternFill>
      </fill>
    </dxf>
    <dxf>
      <fill>
        <patternFill>
          <bgColor rgb="FF00B0F0"/>
        </patternFill>
      </fill>
    </dxf>
    <dxf>
      <fill>
        <patternFill>
          <bgColor rgb="FFFF66FF"/>
        </patternFill>
      </fill>
    </dxf>
    <dxf>
      <fill>
        <patternFill>
          <bgColor rgb="FFFFFF00"/>
        </patternFill>
      </fill>
    </dxf>
    <dxf>
      <fill>
        <patternFill>
          <bgColor theme="7" tint="0.59996337778862885"/>
        </patternFill>
      </fill>
    </dxf>
    <dxf>
      <fill>
        <patternFill>
          <bgColor rgb="FFFF7C80"/>
        </patternFill>
      </fill>
    </dxf>
    <dxf>
      <fill>
        <patternFill>
          <bgColor rgb="FFFF7C80"/>
        </patternFill>
      </fill>
    </dxf>
    <dxf>
      <fill>
        <patternFill>
          <bgColor rgb="FF00B0F0"/>
        </patternFill>
      </fill>
    </dxf>
    <dxf>
      <fill>
        <patternFill>
          <bgColor rgb="FF92D050"/>
        </patternFill>
      </fill>
    </dxf>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92D050"/>
        </patternFill>
      </fill>
    </dxf>
    <dxf>
      <fill>
        <patternFill>
          <bgColor theme="9" tint="0.39994506668294322"/>
        </patternFill>
      </fill>
    </dxf>
    <dxf>
      <fill>
        <patternFill>
          <bgColor rgb="FF00B0F0"/>
        </patternFill>
      </fill>
    </dxf>
    <dxf>
      <fill>
        <patternFill>
          <bgColor rgb="FF00B0F0"/>
        </patternFill>
      </fill>
    </dxf>
    <dxf>
      <fill>
        <patternFill>
          <bgColor rgb="FFFF7C80"/>
        </patternFill>
      </fill>
    </dxf>
    <dxf>
      <fill>
        <patternFill>
          <bgColor rgb="FFFF7C80"/>
        </patternFill>
      </fill>
    </dxf>
    <dxf>
      <fill>
        <patternFill>
          <bgColor rgb="FF00B0F0"/>
        </patternFill>
      </fill>
    </dxf>
    <dxf>
      <fill>
        <patternFill>
          <bgColor rgb="FF92D050"/>
        </patternFill>
      </fill>
    </dxf>
    <dxf>
      <fill>
        <patternFill>
          <bgColor rgb="FF92D050"/>
        </patternFill>
      </fill>
    </dxf>
    <dxf>
      <fill>
        <patternFill>
          <bgColor theme="8" tint="0.39994506668294322"/>
        </patternFill>
      </fill>
    </dxf>
    <dxf>
      <fill>
        <patternFill>
          <bgColor theme="9" tint="0.39994506668294322"/>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theme="8" tint="0.39994506668294322"/>
        </patternFill>
      </fill>
    </dxf>
    <dxf>
      <fill>
        <patternFill>
          <bgColor theme="9" tint="0.39994506668294322"/>
        </patternFill>
      </fill>
    </dxf>
    <dxf>
      <fill>
        <patternFill>
          <bgColor rgb="FFFF7C80"/>
        </patternFill>
      </fill>
    </dxf>
    <dxf>
      <fill>
        <patternFill>
          <bgColor rgb="FF92D050"/>
        </patternFill>
      </fill>
    </dxf>
    <dxf>
      <fill>
        <patternFill>
          <bgColor rgb="FF00B0F0"/>
        </patternFill>
      </fill>
    </dxf>
    <dxf>
      <fill>
        <patternFill>
          <bgColor rgb="FF00B0F0"/>
        </patternFill>
      </fill>
    </dxf>
    <dxf>
      <fill>
        <patternFill>
          <bgColor rgb="FFFF7C80"/>
        </patternFill>
      </fill>
    </dxf>
    <dxf>
      <fill>
        <patternFill>
          <bgColor rgb="FF00B0F0"/>
        </patternFill>
      </fill>
    </dxf>
    <dxf>
      <fill>
        <patternFill>
          <bgColor rgb="FF92D050"/>
        </patternFill>
      </fill>
    </dxf>
    <dxf>
      <fill>
        <patternFill>
          <bgColor rgb="FFFFFF00"/>
        </patternFill>
      </fill>
    </dxf>
    <dxf>
      <fill>
        <patternFill>
          <bgColor rgb="FFFF66FF"/>
        </patternFill>
      </fill>
    </dxf>
    <dxf>
      <fill>
        <patternFill>
          <bgColor rgb="FFFF7C80"/>
        </patternFill>
      </fill>
    </dxf>
    <dxf>
      <fill>
        <patternFill>
          <bgColor rgb="FF00B0F0"/>
        </patternFill>
      </fill>
    </dxf>
    <dxf>
      <fill>
        <patternFill>
          <bgColor theme="9" tint="0.39994506668294322"/>
        </patternFill>
      </fill>
    </dxf>
    <dxf>
      <fill>
        <patternFill>
          <bgColor rgb="FFFF66FF"/>
        </patternFill>
      </fill>
    </dxf>
    <dxf>
      <fill>
        <patternFill>
          <bgColor rgb="FF92D050"/>
        </patternFill>
      </fill>
    </dxf>
    <dxf>
      <fill>
        <patternFill>
          <bgColor rgb="FF92D050"/>
        </patternFill>
      </fill>
    </dxf>
    <dxf>
      <fill>
        <patternFill>
          <bgColor theme="9" tint="0.39994506668294322"/>
        </patternFill>
      </fill>
    </dxf>
    <dxf>
      <fill>
        <patternFill>
          <bgColor theme="8" tint="0.39994506668294322"/>
        </patternFill>
      </fill>
    </dxf>
    <dxf>
      <fill>
        <patternFill>
          <bgColor rgb="FF00B0F0"/>
        </patternFill>
      </fill>
    </dxf>
    <dxf>
      <fill>
        <patternFill>
          <bgColor rgb="FFFF66FF"/>
        </patternFill>
      </fill>
    </dxf>
    <dxf>
      <fill>
        <patternFill>
          <bgColor rgb="FFFF7C80"/>
        </patternFill>
      </fill>
    </dxf>
    <dxf>
      <fill>
        <patternFill>
          <bgColor rgb="FF92D050"/>
        </patternFill>
      </fill>
    </dxf>
    <dxf>
      <fill>
        <patternFill>
          <bgColor rgb="FFFFFF00"/>
        </patternFill>
      </fill>
    </dxf>
    <dxf>
      <fill>
        <patternFill>
          <bgColor rgb="FF92D050"/>
        </patternFill>
      </fill>
    </dxf>
    <dxf>
      <fill>
        <patternFill>
          <bgColor theme="9" tint="0.39994506668294322"/>
        </patternFill>
      </fill>
    </dxf>
    <dxf>
      <fill>
        <patternFill>
          <bgColor theme="8" tint="0.39994506668294322"/>
        </patternFill>
      </fill>
    </dxf>
    <dxf>
      <fill>
        <patternFill>
          <bgColor rgb="FFFF7C80"/>
        </patternFill>
      </fill>
    </dxf>
    <dxf>
      <fill>
        <patternFill>
          <bgColor rgb="FFFF7C80"/>
        </patternFill>
      </fill>
    </dxf>
    <dxf>
      <fill>
        <patternFill>
          <bgColor rgb="FF00B0F0"/>
        </patternFill>
      </fill>
    </dxf>
    <dxf>
      <fill>
        <patternFill>
          <bgColor rgb="FF00B0F0"/>
        </patternFill>
      </fill>
    </dxf>
    <dxf>
      <fill>
        <patternFill>
          <bgColor rgb="FF92D050"/>
        </patternFill>
      </fill>
    </dxf>
    <dxf>
      <fill>
        <patternFill>
          <bgColor rgb="FFFF66FF"/>
        </patternFill>
      </fill>
    </dxf>
    <dxf>
      <fill>
        <patternFill>
          <bgColor rgb="FFFFFF00"/>
        </patternFill>
      </fill>
    </dxf>
    <dxf>
      <fill>
        <patternFill>
          <bgColor rgb="FFFF66FF"/>
        </patternFill>
      </fill>
    </dxf>
    <dxf>
      <fill>
        <patternFill>
          <bgColor rgb="FFFFFF00"/>
        </patternFill>
      </fill>
    </dxf>
    <dxf>
      <fill>
        <patternFill>
          <bgColor rgb="FF92D050"/>
        </patternFill>
      </fill>
    </dxf>
    <dxf>
      <fill>
        <patternFill>
          <bgColor rgb="FF00B0F0"/>
        </patternFill>
      </fill>
    </dxf>
    <dxf>
      <fill>
        <patternFill>
          <bgColor rgb="FFFF7C80"/>
        </patternFill>
      </fill>
    </dxf>
    <dxf>
      <fill>
        <patternFill>
          <bgColor theme="8" tint="0.39994506668294322"/>
        </patternFill>
      </fill>
    </dxf>
    <dxf>
      <fill>
        <patternFill>
          <bgColor theme="9" tint="0.39994506668294322"/>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rgb="FFFF66FF"/>
        </patternFill>
      </fill>
    </dxf>
    <dxf>
      <fill>
        <patternFill>
          <bgColor rgb="FFFFFF00"/>
        </patternFill>
      </fill>
    </dxf>
    <dxf>
      <fill>
        <patternFill>
          <bgColor theme="9" tint="0.39994506668294322"/>
        </patternFill>
      </fill>
    </dxf>
    <dxf>
      <fill>
        <patternFill>
          <bgColor theme="8" tint="0.39994506668294322"/>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theme="8" tint="0.39994506668294322"/>
        </patternFill>
      </fill>
    </dxf>
    <dxf>
      <fill>
        <patternFill>
          <bgColor rgb="FFFF7C80"/>
        </patternFill>
      </fill>
    </dxf>
    <dxf>
      <fill>
        <patternFill>
          <bgColor rgb="FF92D050"/>
        </patternFill>
      </fill>
    </dxf>
    <dxf>
      <fill>
        <patternFill>
          <bgColor rgb="FF00B0F0"/>
        </patternFill>
      </fill>
    </dxf>
    <dxf>
      <fill>
        <patternFill>
          <bgColor rgb="FF00B0F0"/>
        </patternFill>
      </fill>
    </dxf>
    <dxf>
      <fill>
        <patternFill>
          <bgColor rgb="FFFF7C80"/>
        </patternFill>
      </fill>
    </dxf>
    <dxf>
      <fill>
        <patternFill>
          <bgColor rgb="FFFFFF00"/>
        </patternFill>
      </fill>
    </dxf>
    <dxf>
      <fill>
        <patternFill>
          <bgColor rgb="FFFF66FF"/>
        </patternFill>
      </fill>
    </dxf>
    <dxf>
      <fill>
        <patternFill>
          <bgColor rgb="FFFF7C80"/>
        </patternFill>
      </fill>
    </dxf>
    <dxf>
      <fill>
        <patternFill>
          <bgColor rgb="FF00B0F0"/>
        </patternFill>
      </fill>
    </dxf>
    <dxf>
      <fill>
        <patternFill>
          <bgColor rgb="FF92D050"/>
        </patternFill>
      </fill>
    </dxf>
    <dxf>
      <fill>
        <patternFill>
          <bgColor rgb="FFFF66FF"/>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FF7C80"/>
        </patternFill>
      </fill>
    </dxf>
    <dxf>
      <fill>
        <patternFill>
          <bgColor rgb="FFFFFF00"/>
        </patternFill>
      </fill>
    </dxf>
    <dxf>
      <fill>
        <patternFill>
          <bgColor rgb="FFFF66FF"/>
        </patternFill>
      </fill>
    </dxf>
    <dxf>
      <fill>
        <patternFill>
          <bgColor rgb="FF00B0F0"/>
        </patternFill>
      </fill>
    </dxf>
    <dxf>
      <fill>
        <patternFill>
          <bgColor rgb="FF92D050"/>
        </patternFill>
      </fill>
    </dxf>
    <dxf>
      <fill>
        <patternFill>
          <bgColor rgb="FFFF7C80"/>
        </patternFill>
      </fill>
    </dxf>
    <dxf>
      <fill>
        <patternFill>
          <bgColor rgb="FF00B0F0"/>
        </patternFill>
      </fill>
    </dxf>
    <dxf>
      <fill>
        <patternFill>
          <bgColor rgb="FF92D050"/>
        </patternFill>
      </fill>
    </dxf>
    <dxf>
      <fill>
        <patternFill>
          <bgColor rgb="FFFF7C80"/>
        </patternFill>
      </fill>
    </dxf>
    <dxf>
      <fill>
        <patternFill>
          <bgColor rgb="FFFF66FF"/>
        </patternFill>
      </fill>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7C80"/>
        </patternFill>
      </fill>
    </dxf>
    <dxf>
      <fill>
        <patternFill>
          <bgColor rgb="FFFFFF00"/>
        </patternFill>
      </fill>
    </dxf>
    <dxf>
      <fill>
        <patternFill>
          <bgColor rgb="FFFFFF00"/>
        </patternFill>
      </fill>
    </dxf>
    <dxf>
      <fill>
        <patternFill>
          <bgColor rgb="FF92D050"/>
        </patternFill>
      </fill>
    </dxf>
    <dxf>
      <fill>
        <patternFill>
          <bgColor rgb="FF00B0F0"/>
        </patternFill>
      </fill>
    </dxf>
    <dxf>
      <fill>
        <patternFill>
          <bgColor rgb="FFFF7C80"/>
        </patternFill>
      </fill>
    </dxf>
    <dxf>
      <fill>
        <patternFill>
          <bgColor rgb="FF92D050"/>
        </patternFill>
      </fill>
    </dxf>
    <dxf>
      <fill>
        <patternFill>
          <bgColor rgb="FF00B0F0"/>
        </patternFill>
      </fill>
    </dxf>
    <dxf>
      <fill>
        <patternFill>
          <bgColor rgb="FFFF7C80"/>
        </patternFill>
      </fill>
    </dxf>
    <dxf>
      <fill>
        <patternFill>
          <bgColor rgb="FF92D050"/>
        </patternFill>
      </fill>
    </dxf>
    <dxf>
      <fill>
        <patternFill>
          <bgColor rgb="FF00B0F0"/>
        </patternFill>
      </fill>
    </dxf>
    <dxf>
      <fill>
        <patternFill>
          <bgColor rgb="FFFF7C80"/>
        </patternFill>
      </fill>
    </dxf>
    <dxf>
      <fill>
        <patternFill>
          <bgColor rgb="FF92D050"/>
        </patternFill>
      </fill>
    </dxf>
    <dxf>
      <fill>
        <patternFill>
          <bgColor rgb="FF00B0F0"/>
        </patternFill>
      </fill>
    </dxf>
    <dxf>
      <fill>
        <patternFill>
          <bgColor rgb="FFFF66FF"/>
        </patternFill>
      </fill>
    </dxf>
    <dxf>
      <fill>
        <patternFill>
          <bgColor rgb="FFFFFF00"/>
        </patternFill>
      </fill>
    </dxf>
    <dxf>
      <fill>
        <patternFill>
          <bgColor theme="7" tint="0.59996337778862885"/>
        </patternFill>
      </fill>
    </dxf>
    <dxf>
      <fill>
        <patternFill>
          <bgColor rgb="FFFF7C80"/>
        </patternFill>
      </fill>
    </dxf>
    <dxf>
      <fill>
        <patternFill>
          <bgColor rgb="FFFF7C80"/>
        </patternFill>
      </fill>
    </dxf>
    <dxf>
      <fill>
        <patternFill>
          <bgColor rgb="FF00B0F0"/>
        </patternFill>
      </fill>
    </dxf>
    <dxf>
      <fill>
        <patternFill>
          <bgColor rgb="FF92D050"/>
        </patternFill>
      </fill>
    </dxf>
    <dxf>
      <fill>
        <patternFill>
          <bgColor rgb="FFFF66FF"/>
        </patternFill>
      </fill>
    </dxf>
    <dxf>
      <fill>
        <patternFill>
          <bgColor rgb="FFFF66FF"/>
        </patternFill>
      </fill>
    </dxf>
    <dxf>
      <fill>
        <patternFill>
          <bgColor rgb="FFFF66FF"/>
        </patternFill>
      </fill>
    </dxf>
  </dxfs>
  <tableStyles count="0" defaultTableStyle="TableStyleMedium9" defaultPivotStyle="PivotStyleLight16"/>
  <colors>
    <mruColors>
      <color rgb="FFFF66FF"/>
      <color rgb="FFFF7C80"/>
      <color rgb="FFFF3399"/>
      <color rgb="FFFF9999"/>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B9A9-60DD-465B-B5DE-AA88BDB769EA}">
  <sheetPr>
    <tabColor rgb="FFFFFF00"/>
  </sheetPr>
  <dimension ref="A1:CE57"/>
  <sheetViews>
    <sheetView showGridLines="0" tabSelected="1" zoomScale="80" zoomScaleNormal="80" zoomScaleSheetLayoutView="100" workbookViewId="0">
      <pane xSplit="3" ySplit="6" topLeftCell="D32" activePane="bottomRight" state="frozen"/>
      <selection pane="topRight" activeCell="D1" sqref="D1"/>
      <selection pane="bottomLeft" activeCell="A7" sqref="A7"/>
      <selection pane="bottomRight" activeCell="AO49" sqref="AO49"/>
    </sheetView>
  </sheetViews>
  <sheetFormatPr defaultRowHeight="14" x14ac:dyDescent="0.2"/>
  <cols>
    <col min="1" max="1" width="3.6328125" customWidth="1"/>
    <col min="2" max="2" width="4.6328125" style="1" customWidth="1"/>
    <col min="3" max="3" width="7.6328125" style="1" customWidth="1"/>
    <col min="4" max="9" width="5.08984375" style="1" customWidth="1"/>
    <col min="10" max="10" width="1.6328125" style="1" customWidth="1"/>
    <col min="11" max="16" width="5.08984375" style="1" customWidth="1"/>
    <col min="17" max="17" width="1.6328125" style="1" customWidth="1"/>
    <col min="18" max="23" width="5.08984375" style="1" customWidth="1"/>
    <col min="24" max="24" width="1.6328125" style="1" customWidth="1"/>
    <col min="25" max="28" width="5.08984375" style="1" customWidth="1"/>
    <col min="29" max="29" width="5.08984375" style="33" customWidth="1"/>
    <col min="30" max="30" width="5.08984375" style="1" customWidth="1"/>
    <col min="31" max="31" width="1.6328125" style="1" customWidth="1"/>
    <col min="32" max="37" width="5.08984375" style="1" customWidth="1"/>
    <col min="38" max="38" width="7.6328125" style="1" customWidth="1"/>
    <col min="43" max="68" width="4.6328125" customWidth="1"/>
  </cols>
  <sheetData>
    <row r="1" spans="1:83" x14ac:dyDescent="0.2">
      <c r="A1" s="4"/>
      <c r="B1" s="5"/>
      <c r="C1" s="5"/>
      <c r="D1" s="5"/>
      <c r="E1" s="5"/>
      <c r="F1" s="5"/>
      <c r="G1" s="5"/>
      <c r="H1" s="5"/>
      <c r="I1" s="5"/>
      <c r="J1" s="5"/>
      <c r="K1" s="5"/>
      <c r="L1" s="5"/>
      <c r="M1" s="5"/>
      <c r="N1" s="5"/>
      <c r="O1" s="5"/>
      <c r="P1" s="5"/>
      <c r="Q1" s="5"/>
      <c r="R1" s="5"/>
      <c r="S1" s="5"/>
      <c r="T1" s="5"/>
      <c r="U1" s="5"/>
      <c r="V1" s="5"/>
      <c r="W1" s="5"/>
      <c r="X1" s="5"/>
      <c r="Y1" s="5"/>
      <c r="Z1" s="5"/>
      <c r="AA1" s="5"/>
      <c r="AB1" s="5"/>
      <c r="AC1" s="31"/>
      <c r="AD1" s="5"/>
      <c r="AE1" s="5"/>
      <c r="AF1" s="5"/>
      <c r="AG1" s="5"/>
      <c r="AH1" s="5"/>
      <c r="AI1" s="5"/>
      <c r="AJ1" s="5"/>
      <c r="AK1" s="5"/>
      <c r="AL1" s="5"/>
      <c r="AM1" s="4"/>
    </row>
    <row r="2" spans="1:83" ht="14.5" thickBot="1" x14ac:dyDescent="0.25">
      <c r="A2" s="3">
        <v>1</v>
      </c>
      <c r="B2" s="41">
        <v>2</v>
      </c>
      <c r="C2" s="3">
        <v>3</v>
      </c>
      <c r="D2" s="3">
        <v>4</v>
      </c>
      <c r="E2" s="3">
        <v>5</v>
      </c>
      <c r="F2" s="3">
        <v>6</v>
      </c>
      <c r="G2" s="3">
        <v>7</v>
      </c>
      <c r="H2" s="3">
        <v>8</v>
      </c>
      <c r="I2" s="3">
        <v>9</v>
      </c>
      <c r="J2" s="3">
        <v>10</v>
      </c>
      <c r="K2" s="3">
        <v>11</v>
      </c>
      <c r="L2" s="3">
        <v>12</v>
      </c>
      <c r="M2" s="3">
        <v>13</v>
      </c>
      <c r="N2" s="3">
        <v>14</v>
      </c>
      <c r="O2" s="3">
        <v>15</v>
      </c>
      <c r="P2" s="3">
        <v>16</v>
      </c>
      <c r="Q2" s="3">
        <v>17</v>
      </c>
      <c r="R2" s="3">
        <v>18</v>
      </c>
      <c r="S2" s="3">
        <v>19</v>
      </c>
      <c r="T2" s="3">
        <v>20</v>
      </c>
      <c r="U2" s="3">
        <v>21</v>
      </c>
      <c r="V2" s="3">
        <v>22</v>
      </c>
      <c r="W2" s="3">
        <v>23</v>
      </c>
      <c r="X2" s="3">
        <v>24</v>
      </c>
      <c r="Y2" s="3">
        <v>25</v>
      </c>
      <c r="Z2" s="3">
        <v>26</v>
      </c>
      <c r="AA2" s="3">
        <v>27</v>
      </c>
      <c r="AB2" s="3">
        <v>28</v>
      </c>
      <c r="AC2" s="32">
        <v>29</v>
      </c>
      <c r="AD2" s="3">
        <v>30</v>
      </c>
      <c r="AE2" s="3">
        <v>31</v>
      </c>
      <c r="AF2" s="3">
        <v>32</v>
      </c>
      <c r="AG2" s="3">
        <v>33</v>
      </c>
      <c r="AH2" s="3">
        <v>34</v>
      </c>
      <c r="AI2" s="3">
        <v>35</v>
      </c>
      <c r="AJ2" s="3">
        <v>36</v>
      </c>
      <c r="AK2" s="3">
        <v>37</v>
      </c>
      <c r="AL2" s="3"/>
      <c r="AM2" s="4"/>
    </row>
    <row r="3" spans="1:83" ht="19.5" thickBot="1" x14ac:dyDescent="0.35">
      <c r="A3" s="3"/>
      <c r="B3" s="50" t="s">
        <v>201</v>
      </c>
      <c r="E3" s="50" t="s">
        <v>279</v>
      </c>
      <c r="O3" s="278"/>
      <c r="W3" s="101"/>
      <c r="X3" s="101"/>
      <c r="Y3" s="101"/>
      <c r="Z3" s="101"/>
      <c r="AA3" s="101"/>
      <c r="AB3" s="101"/>
      <c r="AC3" s="101"/>
      <c r="AD3" s="327">
        <f ca="1">TODAY()</f>
        <v>46253</v>
      </c>
      <c r="AE3" s="328"/>
      <c r="AF3" s="328"/>
      <c r="AG3" s="160" t="s">
        <v>120</v>
      </c>
      <c r="AH3" s="161"/>
      <c r="AI3" s="101"/>
      <c r="AJ3" s="101"/>
      <c r="AK3" s="101"/>
      <c r="AM3" s="4"/>
    </row>
    <row r="4" spans="1:83" ht="20.25" customHeight="1" thickBot="1" x14ac:dyDescent="0.3">
      <c r="A4" s="3"/>
      <c r="C4" s="68"/>
      <c r="D4" s="6"/>
      <c r="E4" s="6"/>
      <c r="F4" s="6"/>
      <c r="G4" s="6"/>
      <c r="K4" s="329"/>
      <c r="L4" s="329"/>
      <c r="N4" s="280"/>
      <c r="V4" s="100"/>
      <c r="W4" s="100"/>
      <c r="X4" s="100"/>
      <c r="Y4" s="100"/>
      <c r="Z4" s="100"/>
      <c r="AA4" s="100"/>
      <c r="AB4" s="100"/>
      <c r="AC4" s="100"/>
      <c r="AD4" s="100"/>
      <c r="AE4" s="100"/>
      <c r="AF4" s="100"/>
      <c r="AG4" s="100"/>
      <c r="AH4" s="100"/>
      <c r="AI4" s="100"/>
      <c r="AJ4" s="100"/>
      <c r="AK4" s="100"/>
      <c r="AM4" s="4"/>
    </row>
    <row r="5" spans="1:83" ht="15" customHeight="1" x14ac:dyDescent="0.2">
      <c r="A5" s="3"/>
      <c r="B5" s="330" t="s">
        <v>0</v>
      </c>
      <c r="C5" s="332"/>
      <c r="D5" s="334" t="s">
        <v>2</v>
      </c>
      <c r="E5" s="334"/>
      <c r="F5" s="334"/>
      <c r="G5" s="334"/>
      <c r="H5" s="334"/>
      <c r="I5" s="335"/>
      <c r="J5" s="53"/>
      <c r="K5" s="336" t="s">
        <v>4</v>
      </c>
      <c r="L5" s="336"/>
      <c r="M5" s="336"/>
      <c r="N5" s="336"/>
      <c r="O5" s="336"/>
      <c r="P5" s="336"/>
      <c r="Q5" s="53"/>
      <c r="R5" s="336" t="s">
        <v>6</v>
      </c>
      <c r="S5" s="336"/>
      <c r="T5" s="336"/>
      <c r="U5" s="336"/>
      <c r="V5" s="336"/>
      <c r="W5" s="336"/>
      <c r="X5" s="53"/>
      <c r="Y5" s="336" t="s">
        <v>8</v>
      </c>
      <c r="Z5" s="336"/>
      <c r="AA5" s="336"/>
      <c r="AB5" s="336"/>
      <c r="AC5" s="336"/>
      <c r="AD5" s="336"/>
      <c r="AE5" s="53"/>
      <c r="AF5" s="336" t="s">
        <v>10</v>
      </c>
      <c r="AG5" s="336"/>
      <c r="AH5" s="336"/>
      <c r="AI5" s="336"/>
      <c r="AJ5" s="336"/>
      <c r="AK5" s="337"/>
      <c r="AL5" s="54"/>
      <c r="AM5" s="4"/>
    </row>
    <row r="6" spans="1:83" ht="15" customHeight="1" thickBot="1" x14ac:dyDescent="0.25">
      <c r="A6" s="3"/>
      <c r="B6" s="331"/>
      <c r="C6" s="333"/>
      <c r="D6" s="321">
        <v>1</v>
      </c>
      <c r="E6" s="279">
        <v>2</v>
      </c>
      <c r="F6" s="279">
        <v>3</v>
      </c>
      <c r="G6" s="279">
        <v>4</v>
      </c>
      <c r="H6" s="279">
        <v>5</v>
      </c>
      <c r="I6" s="279">
        <v>6</v>
      </c>
      <c r="J6" s="22"/>
      <c r="K6" s="279">
        <v>1</v>
      </c>
      <c r="L6" s="279">
        <v>2</v>
      </c>
      <c r="M6" s="279">
        <v>3</v>
      </c>
      <c r="N6" s="279">
        <v>4</v>
      </c>
      <c r="O6" s="279">
        <v>5</v>
      </c>
      <c r="P6" s="279">
        <v>6</v>
      </c>
      <c r="Q6" s="22"/>
      <c r="R6" s="279">
        <v>1</v>
      </c>
      <c r="S6" s="279">
        <v>2</v>
      </c>
      <c r="T6" s="279">
        <v>3</v>
      </c>
      <c r="U6" s="279">
        <v>4</v>
      </c>
      <c r="V6" s="279">
        <v>5</v>
      </c>
      <c r="W6" s="279">
        <v>6</v>
      </c>
      <c r="X6" s="22"/>
      <c r="Y6" s="279">
        <v>1</v>
      </c>
      <c r="Z6" s="279">
        <v>2</v>
      </c>
      <c r="AA6" s="279">
        <v>3</v>
      </c>
      <c r="AB6" s="279">
        <v>4</v>
      </c>
      <c r="AC6" s="279">
        <v>5</v>
      </c>
      <c r="AD6" s="293">
        <v>6</v>
      </c>
      <c r="AE6" s="22"/>
      <c r="AF6" s="279">
        <v>1</v>
      </c>
      <c r="AG6" s="279">
        <v>2</v>
      </c>
      <c r="AH6" s="279">
        <v>3</v>
      </c>
      <c r="AI6" s="279">
        <v>4</v>
      </c>
      <c r="AJ6" s="279">
        <v>5</v>
      </c>
      <c r="AK6" s="285">
        <v>6</v>
      </c>
      <c r="AL6" s="55" t="s">
        <v>1</v>
      </c>
      <c r="AM6" s="4"/>
    </row>
    <row r="7" spans="1:83" ht="16.5" customHeight="1" x14ac:dyDescent="0.2">
      <c r="A7" s="3">
        <v>1</v>
      </c>
      <c r="B7" s="59" t="s">
        <v>152</v>
      </c>
      <c r="C7" s="56" t="s">
        <v>210</v>
      </c>
      <c r="D7" s="72"/>
      <c r="E7" s="69" t="s">
        <v>166</v>
      </c>
      <c r="F7" s="69" t="s">
        <v>231</v>
      </c>
      <c r="G7" s="69"/>
      <c r="H7" s="69" t="s">
        <v>152</v>
      </c>
      <c r="I7" s="69" t="s">
        <v>103</v>
      </c>
      <c r="J7" s="273"/>
      <c r="K7" s="69"/>
      <c r="L7" s="69"/>
      <c r="M7" s="69" t="s">
        <v>275</v>
      </c>
      <c r="N7" s="69" t="s">
        <v>154</v>
      </c>
      <c r="O7" s="69" t="s">
        <v>166</v>
      </c>
      <c r="P7" s="69"/>
      <c r="Q7" s="273" t="s">
        <v>101</v>
      </c>
      <c r="R7" s="69" t="s">
        <v>152</v>
      </c>
      <c r="S7" s="69"/>
      <c r="T7" s="69" t="s">
        <v>156</v>
      </c>
      <c r="U7" s="69" t="s">
        <v>154</v>
      </c>
      <c r="V7" s="69"/>
      <c r="W7" s="69" t="s">
        <v>104</v>
      </c>
      <c r="X7" s="273"/>
      <c r="Y7" s="69" t="s">
        <v>166</v>
      </c>
      <c r="Z7" s="69"/>
      <c r="AA7" s="69" t="s">
        <v>235</v>
      </c>
      <c r="AB7" s="69" t="s">
        <v>156</v>
      </c>
      <c r="AC7" s="69" t="s">
        <v>154</v>
      </c>
      <c r="AD7" s="273" t="s">
        <v>101</v>
      </c>
      <c r="AE7" s="273" t="s">
        <v>101</v>
      </c>
      <c r="AF7" s="69" t="s">
        <v>152</v>
      </c>
      <c r="AG7" s="69"/>
      <c r="AH7" s="69"/>
      <c r="AI7" s="69" t="s">
        <v>166</v>
      </c>
      <c r="AJ7" s="69" t="s">
        <v>156</v>
      </c>
      <c r="AK7" s="289" t="s">
        <v>30</v>
      </c>
      <c r="AL7" s="63" t="str">
        <f t="shared" ref="AL7:AL50" si="0">IF(C7="","",C7)</f>
        <v>柿家</v>
      </c>
      <c r="AM7" s="4"/>
      <c r="CE7" t="str">
        <f>ASC(AR7)</f>
        <v/>
      </c>
    </row>
    <row r="8" spans="1:83" ht="16.5" customHeight="1" x14ac:dyDescent="0.2">
      <c r="A8" s="3">
        <v>2</v>
      </c>
      <c r="B8" s="60" t="s">
        <v>154</v>
      </c>
      <c r="C8" s="56" t="s">
        <v>177</v>
      </c>
      <c r="D8" s="72"/>
      <c r="E8" s="69"/>
      <c r="F8" s="69" t="s">
        <v>170</v>
      </c>
      <c r="G8" s="69" t="s">
        <v>169</v>
      </c>
      <c r="H8" s="69" t="s">
        <v>166</v>
      </c>
      <c r="I8" s="69" t="s">
        <v>103</v>
      </c>
      <c r="J8" s="273"/>
      <c r="K8" s="69"/>
      <c r="L8" s="69" t="s">
        <v>227</v>
      </c>
      <c r="M8" s="69"/>
      <c r="N8" s="69"/>
      <c r="O8" s="69" t="s">
        <v>156</v>
      </c>
      <c r="P8" s="69" t="s">
        <v>158</v>
      </c>
      <c r="Q8" s="273" t="s">
        <v>101</v>
      </c>
      <c r="R8" s="69" t="s">
        <v>229</v>
      </c>
      <c r="S8" s="69" t="s">
        <v>228</v>
      </c>
      <c r="T8" s="69"/>
      <c r="U8" s="69" t="s">
        <v>167</v>
      </c>
      <c r="V8" s="69" t="s">
        <v>168</v>
      </c>
      <c r="W8" s="69" t="s">
        <v>104</v>
      </c>
      <c r="X8" s="273"/>
      <c r="Y8" s="69" t="s">
        <v>152</v>
      </c>
      <c r="Z8" s="69"/>
      <c r="AA8" s="69" t="s">
        <v>154</v>
      </c>
      <c r="AB8" s="69" t="s">
        <v>147</v>
      </c>
      <c r="AC8" s="69"/>
      <c r="AD8" s="273" t="s">
        <v>101</v>
      </c>
      <c r="AE8" s="273" t="s">
        <v>101</v>
      </c>
      <c r="AF8" s="69" t="s">
        <v>275</v>
      </c>
      <c r="AG8" s="69" t="s">
        <v>275</v>
      </c>
      <c r="AH8" s="69" t="s">
        <v>275</v>
      </c>
      <c r="AI8" s="69"/>
      <c r="AJ8" s="69" t="s">
        <v>212</v>
      </c>
      <c r="AK8" s="289" t="s">
        <v>30</v>
      </c>
      <c r="AL8" s="64" t="str">
        <f t="shared" si="0"/>
        <v>石垣</v>
      </c>
      <c r="AM8" s="4"/>
    </row>
    <row r="9" spans="1:83" ht="16.5" customHeight="1" x14ac:dyDescent="0.2">
      <c r="A9" s="3">
        <v>3</v>
      </c>
      <c r="B9" s="60" t="s">
        <v>156</v>
      </c>
      <c r="C9" s="56" t="s">
        <v>181</v>
      </c>
      <c r="D9" s="72" t="s">
        <v>156</v>
      </c>
      <c r="E9" s="69" t="s">
        <v>212</v>
      </c>
      <c r="F9" s="69" t="s">
        <v>231</v>
      </c>
      <c r="G9" s="69"/>
      <c r="H9" s="69" t="s">
        <v>154</v>
      </c>
      <c r="I9" s="69" t="s">
        <v>103</v>
      </c>
      <c r="J9" s="273"/>
      <c r="K9" s="69" t="s">
        <v>212</v>
      </c>
      <c r="L9" s="69"/>
      <c r="M9" s="69" t="s">
        <v>240</v>
      </c>
      <c r="N9" s="69"/>
      <c r="O9" s="69" t="s">
        <v>248</v>
      </c>
      <c r="P9" s="69"/>
      <c r="Q9" s="273" t="s">
        <v>101</v>
      </c>
      <c r="R9" s="69"/>
      <c r="S9" s="69"/>
      <c r="T9" s="69" t="s">
        <v>272</v>
      </c>
      <c r="U9" s="69"/>
      <c r="V9" s="69" t="s">
        <v>156</v>
      </c>
      <c r="W9" s="69" t="s">
        <v>104</v>
      </c>
      <c r="X9" s="273"/>
      <c r="Y9" s="69" t="s">
        <v>155</v>
      </c>
      <c r="Z9" s="69" t="s">
        <v>153</v>
      </c>
      <c r="AA9" s="69" t="s">
        <v>159</v>
      </c>
      <c r="AB9" s="69"/>
      <c r="AC9" s="69"/>
      <c r="AD9" s="273" t="s">
        <v>101</v>
      </c>
      <c r="AE9" s="273" t="s">
        <v>101</v>
      </c>
      <c r="AF9" s="69" t="s">
        <v>154</v>
      </c>
      <c r="AG9" s="69" t="s">
        <v>242</v>
      </c>
      <c r="AH9" s="69"/>
      <c r="AI9" s="69" t="s">
        <v>244</v>
      </c>
      <c r="AJ9" s="69" t="s">
        <v>245</v>
      </c>
      <c r="AK9" s="289" t="s">
        <v>30</v>
      </c>
      <c r="AL9" s="64" t="str">
        <f t="shared" si="0"/>
        <v>石飛</v>
      </c>
      <c r="AM9" s="4"/>
    </row>
    <row r="10" spans="1:83" ht="16.5" customHeight="1" x14ac:dyDescent="0.2">
      <c r="A10" s="3">
        <v>4</v>
      </c>
      <c r="B10" s="60" t="s">
        <v>156</v>
      </c>
      <c r="C10" s="56" t="s">
        <v>277</v>
      </c>
      <c r="D10" s="72" t="s">
        <v>152</v>
      </c>
      <c r="E10" s="69"/>
      <c r="F10" s="69" t="s">
        <v>156</v>
      </c>
      <c r="G10" s="69" t="s">
        <v>147</v>
      </c>
      <c r="H10" s="69"/>
      <c r="I10" s="69" t="s">
        <v>103</v>
      </c>
      <c r="J10" s="273"/>
      <c r="K10" s="69"/>
      <c r="L10" s="69" t="s">
        <v>117</v>
      </c>
      <c r="M10" s="69" t="s">
        <v>147</v>
      </c>
      <c r="N10" s="69"/>
      <c r="O10" s="69"/>
      <c r="P10" s="69" t="s">
        <v>156</v>
      </c>
      <c r="Q10" s="273" t="s">
        <v>101</v>
      </c>
      <c r="R10" s="69" t="s">
        <v>147</v>
      </c>
      <c r="S10" s="69" t="s">
        <v>156</v>
      </c>
      <c r="T10" s="69" t="s">
        <v>152</v>
      </c>
      <c r="U10" s="69"/>
      <c r="V10" s="69"/>
      <c r="W10" s="69" t="s">
        <v>104</v>
      </c>
      <c r="X10" s="273"/>
      <c r="Y10" s="69" t="s">
        <v>117</v>
      </c>
      <c r="Z10" s="69" t="s">
        <v>156</v>
      </c>
      <c r="AA10" s="69"/>
      <c r="AB10" s="69"/>
      <c r="AC10" s="69" t="s">
        <v>152</v>
      </c>
      <c r="AD10" s="273" t="s">
        <v>101</v>
      </c>
      <c r="AE10" s="273" t="s">
        <v>101</v>
      </c>
      <c r="AF10" s="69" t="s">
        <v>147</v>
      </c>
      <c r="AG10" s="69" t="s">
        <v>152</v>
      </c>
      <c r="AH10" s="69" t="s">
        <v>274</v>
      </c>
      <c r="AI10" s="69" t="s">
        <v>274</v>
      </c>
      <c r="AJ10" s="69"/>
      <c r="AK10" s="289" t="s">
        <v>30</v>
      </c>
      <c r="AL10" s="64" t="str">
        <f t="shared" si="0"/>
        <v>髙橋咲</v>
      </c>
      <c r="AM10" s="4"/>
    </row>
    <row r="11" spans="1:83" ht="16.5" customHeight="1" x14ac:dyDescent="0.2">
      <c r="A11" s="3">
        <v>5</v>
      </c>
      <c r="B11" s="60" t="s">
        <v>158</v>
      </c>
      <c r="C11" s="56" t="s">
        <v>179</v>
      </c>
      <c r="D11" s="72" t="s">
        <v>147</v>
      </c>
      <c r="E11" s="69"/>
      <c r="F11" s="69" t="s">
        <v>158</v>
      </c>
      <c r="G11" s="69" t="s">
        <v>212</v>
      </c>
      <c r="H11" s="69"/>
      <c r="I11" s="69" t="s">
        <v>103</v>
      </c>
      <c r="J11" s="273"/>
      <c r="K11" s="69" t="s">
        <v>158</v>
      </c>
      <c r="L11" s="69"/>
      <c r="M11" s="69"/>
      <c r="N11" s="69" t="s">
        <v>152</v>
      </c>
      <c r="O11" s="69" t="s">
        <v>212</v>
      </c>
      <c r="P11" s="69" t="s">
        <v>147</v>
      </c>
      <c r="Q11" s="273" t="s">
        <v>101</v>
      </c>
      <c r="R11" s="69" t="s">
        <v>212</v>
      </c>
      <c r="S11" s="69" t="s">
        <v>158</v>
      </c>
      <c r="T11" s="69"/>
      <c r="U11" s="69" t="s">
        <v>152</v>
      </c>
      <c r="V11" s="69" t="s">
        <v>117</v>
      </c>
      <c r="W11" s="69" t="s">
        <v>104</v>
      </c>
      <c r="X11" s="273"/>
      <c r="Y11" s="69" t="s">
        <v>158</v>
      </c>
      <c r="Z11" s="69" t="s">
        <v>152</v>
      </c>
      <c r="AA11" s="69"/>
      <c r="AB11" s="69" t="s">
        <v>212</v>
      </c>
      <c r="AC11" s="69" t="s">
        <v>147</v>
      </c>
      <c r="AD11" s="273" t="s">
        <v>101</v>
      </c>
      <c r="AE11" s="273" t="s">
        <v>101</v>
      </c>
      <c r="AF11" s="69"/>
      <c r="AG11" s="69"/>
      <c r="AH11" s="69" t="s">
        <v>147</v>
      </c>
      <c r="AI11" s="69"/>
      <c r="AJ11" s="69" t="s">
        <v>152</v>
      </c>
      <c r="AK11" s="289" t="s">
        <v>30</v>
      </c>
      <c r="AL11" s="64" t="str">
        <f t="shared" si="0"/>
        <v>馬場</v>
      </c>
      <c r="AM11" s="4"/>
    </row>
    <row r="12" spans="1:83" ht="16.5" customHeight="1" x14ac:dyDescent="0.2">
      <c r="A12" s="3">
        <v>6</v>
      </c>
      <c r="B12" s="60" t="s">
        <v>147</v>
      </c>
      <c r="C12" s="323" t="s">
        <v>172</v>
      </c>
      <c r="D12" s="72" t="s">
        <v>117</v>
      </c>
      <c r="E12" s="69" t="s">
        <v>117</v>
      </c>
      <c r="F12" s="69"/>
      <c r="G12" s="69" t="s">
        <v>149</v>
      </c>
      <c r="H12" s="69" t="s">
        <v>161</v>
      </c>
      <c r="I12" s="69" t="s">
        <v>103</v>
      </c>
      <c r="J12" s="273"/>
      <c r="K12" s="69" t="s">
        <v>154</v>
      </c>
      <c r="L12" s="69" t="s">
        <v>152</v>
      </c>
      <c r="M12" s="69"/>
      <c r="N12" s="69" t="s">
        <v>236</v>
      </c>
      <c r="O12" s="69" t="s">
        <v>234</v>
      </c>
      <c r="P12" s="69"/>
      <c r="Q12" s="273" t="s">
        <v>101</v>
      </c>
      <c r="R12" s="69" t="s">
        <v>275</v>
      </c>
      <c r="S12" s="69"/>
      <c r="T12" s="69" t="s">
        <v>131</v>
      </c>
      <c r="U12" s="69" t="s">
        <v>159</v>
      </c>
      <c r="V12" s="69"/>
      <c r="W12" s="69" t="s">
        <v>104</v>
      </c>
      <c r="X12" s="273"/>
      <c r="Y12" s="69" t="s">
        <v>148</v>
      </c>
      <c r="Z12" s="69" t="s">
        <v>160</v>
      </c>
      <c r="AA12" s="69" t="s">
        <v>163</v>
      </c>
      <c r="AB12" s="69"/>
      <c r="AC12" s="69" t="s">
        <v>168</v>
      </c>
      <c r="AD12" s="273" t="s">
        <v>101</v>
      </c>
      <c r="AE12" s="273" t="s">
        <v>101</v>
      </c>
      <c r="AF12" s="69" t="s">
        <v>156</v>
      </c>
      <c r="AG12" s="69" t="s">
        <v>158</v>
      </c>
      <c r="AH12" s="69"/>
      <c r="AI12" s="314" t="s">
        <v>255</v>
      </c>
      <c r="AJ12" s="69"/>
      <c r="AK12" s="289" t="s">
        <v>30</v>
      </c>
      <c r="AL12" s="64" t="str">
        <f t="shared" si="0"/>
        <v>谷口</v>
      </c>
      <c r="AM12" s="4"/>
    </row>
    <row r="13" spans="1:83" ht="16.5" customHeight="1" x14ac:dyDescent="0.2">
      <c r="A13" s="3">
        <v>7</v>
      </c>
      <c r="B13" s="60" t="s">
        <v>212</v>
      </c>
      <c r="C13" s="56" t="s">
        <v>180</v>
      </c>
      <c r="D13" s="72"/>
      <c r="E13" s="69" t="s">
        <v>226</v>
      </c>
      <c r="F13" s="69" t="s">
        <v>224</v>
      </c>
      <c r="G13" s="69" t="s">
        <v>225</v>
      </c>
      <c r="H13" s="69"/>
      <c r="I13" s="69" t="s">
        <v>103</v>
      </c>
      <c r="J13" s="273"/>
      <c r="K13" s="69" t="s">
        <v>234</v>
      </c>
      <c r="L13" s="69" t="s">
        <v>166</v>
      </c>
      <c r="M13" s="69"/>
      <c r="N13" s="69" t="s">
        <v>226</v>
      </c>
      <c r="O13" s="69" t="s">
        <v>225</v>
      </c>
      <c r="P13" s="69"/>
      <c r="Q13" s="273" t="s">
        <v>101</v>
      </c>
      <c r="R13" s="69"/>
      <c r="S13" s="69"/>
      <c r="T13" s="69" t="s">
        <v>166</v>
      </c>
      <c r="U13" s="69" t="s">
        <v>234</v>
      </c>
      <c r="V13" s="69" t="s">
        <v>224</v>
      </c>
      <c r="W13" s="69" t="s">
        <v>104</v>
      </c>
      <c r="X13" s="273"/>
      <c r="Y13" s="69" t="s">
        <v>275</v>
      </c>
      <c r="Z13" s="69" t="s">
        <v>234</v>
      </c>
      <c r="AA13" s="69" t="s">
        <v>235</v>
      </c>
      <c r="AB13" s="69"/>
      <c r="AC13" s="69" t="s">
        <v>226</v>
      </c>
      <c r="AD13" s="273" t="s">
        <v>101</v>
      </c>
      <c r="AE13" s="273" t="s">
        <v>101</v>
      </c>
      <c r="AF13" s="69" t="s">
        <v>166</v>
      </c>
      <c r="AG13" s="69"/>
      <c r="AH13" s="69" t="s">
        <v>225</v>
      </c>
      <c r="AI13" s="69" t="s">
        <v>224</v>
      </c>
      <c r="AJ13" s="69"/>
      <c r="AK13" s="289" t="s">
        <v>30</v>
      </c>
      <c r="AL13" s="64" t="str">
        <f t="shared" si="0"/>
        <v>西脇</v>
      </c>
      <c r="AM13" s="4"/>
    </row>
    <row r="14" spans="1:83" ht="16.5" customHeight="1" x14ac:dyDescent="0.2">
      <c r="A14" s="3">
        <v>8</v>
      </c>
      <c r="B14" s="60"/>
      <c r="C14" s="56" t="s">
        <v>197</v>
      </c>
      <c r="D14" s="72"/>
      <c r="E14" s="69" t="s">
        <v>147</v>
      </c>
      <c r="F14" s="69" t="s">
        <v>152</v>
      </c>
      <c r="G14" s="69"/>
      <c r="H14" s="69" t="s">
        <v>212</v>
      </c>
      <c r="I14" s="69" t="s">
        <v>103</v>
      </c>
      <c r="J14" s="273"/>
      <c r="K14" s="69"/>
      <c r="L14" s="69" t="s">
        <v>158</v>
      </c>
      <c r="M14" s="69" t="s">
        <v>152</v>
      </c>
      <c r="N14" s="69" t="s">
        <v>212</v>
      </c>
      <c r="O14" s="69" t="s">
        <v>147</v>
      </c>
      <c r="P14" s="69" t="s">
        <v>154</v>
      </c>
      <c r="Q14" s="273" t="s">
        <v>101</v>
      </c>
      <c r="R14" s="69"/>
      <c r="S14" s="69" t="s">
        <v>212</v>
      </c>
      <c r="T14" s="69" t="s">
        <v>158</v>
      </c>
      <c r="U14" s="69"/>
      <c r="V14" s="69" t="s">
        <v>154</v>
      </c>
      <c r="W14" s="69"/>
      <c r="X14" s="273"/>
      <c r="Y14" s="69"/>
      <c r="Z14" s="69"/>
      <c r="AA14" s="69" t="s">
        <v>147</v>
      </c>
      <c r="AB14" s="69" t="s">
        <v>152</v>
      </c>
      <c r="AC14" s="69"/>
      <c r="AD14" s="273" t="s">
        <v>101</v>
      </c>
      <c r="AE14" s="273" t="s">
        <v>101</v>
      </c>
      <c r="AF14" s="69"/>
      <c r="AG14" s="69"/>
      <c r="AH14" s="69"/>
      <c r="AI14" s="69" t="s">
        <v>154</v>
      </c>
      <c r="AJ14" s="69" t="s">
        <v>158</v>
      </c>
      <c r="AK14" s="289" t="s">
        <v>30</v>
      </c>
      <c r="AL14" s="64" t="str">
        <f t="shared" si="0"/>
        <v>安井</v>
      </c>
      <c r="AM14" s="4"/>
    </row>
    <row r="15" spans="1:83" ht="16.5" customHeight="1" x14ac:dyDescent="0.2">
      <c r="A15" s="3">
        <v>9</v>
      </c>
      <c r="B15" s="60"/>
      <c r="C15" s="56" t="s">
        <v>213</v>
      </c>
      <c r="D15" s="72" t="s">
        <v>154</v>
      </c>
      <c r="E15" s="69" t="s">
        <v>152</v>
      </c>
      <c r="F15" s="69"/>
      <c r="G15" s="69" t="s">
        <v>158</v>
      </c>
      <c r="H15" s="69" t="s">
        <v>156</v>
      </c>
      <c r="I15" s="69"/>
      <c r="J15" s="273"/>
      <c r="K15" s="69"/>
      <c r="L15" s="69" t="s">
        <v>224</v>
      </c>
      <c r="M15" s="69"/>
      <c r="N15" s="69" t="s">
        <v>168</v>
      </c>
      <c r="O15" s="69" t="s">
        <v>167</v>
      </c>
      <c r="P15" s="69"/>
      <c r="Q15" s="273" t="s">
        <v>101</v>
      </c>
      <c r="R15" s="69" t="s">
        <v>226</v>
      </c>
      <c r="S15" s="69" t="s">
        <v>225</v>
      </c>
      <c r="T15" s="69"/>
      <c r="U15" s="69" t="s">
        <v>149</v>
      </c>
      <c r="V15" s="69" t="s">
        <v>148</v>
      </c>
      <c r="W15" s="69"/>
      <c r="X15" s="273"/>
      <c r="Y15" s="69" t="s">
        <v>147</v>
      </c>
      <c r="Z15" s="69" t="s">
        <v>212</v>
      </c>
      <c r="AA15" s="69"/>
      <c r="AB15" s="69" t="s">
        <v>166</v>
      </c>
      <c r="AC15" s="69" t="s">
        <v>163</v>
      </c>
      <c r="AD15" s="273" t="s">
        <v>101</v>
      </c>
      <c r="AE15" s="273" t="s">
        <v>101</v>
      </c>
      <c r="AF15" s="69"/>
      <c r="AG15" s="69" t="s">
        <v>161</v>
      </c>
      <c r="AH15" s="69" t="s">
        <v>160</v>
      </c>
      <c r="AI15" s="69" t="s">
        <v>170</v>
      </c>
      <c r="AJ15" s="69" t="s">
        <v>169</v>
      </c>
      <c r="AK15" s="289" t="s">
        <v>30</v>
      </c>
      <c r="AL15" s="64" t="str">
        <f t="shared" si="0"/>
        <v>浅田</v>
      </c>
      <c r="AM15" s="4"/>
    </row>
    <row r="16" spans="1:83" ht="16.5" customHeight="1" x14ac:dyDescent="0.2">
      <c r="A16" s="3">
        <v>10</v>
      </c>
      <c r="B16" s="60"/>
      <c r="C16" s="56" t="s">
        <v>214</v>
      </c>
      <c r="D16" s="72" t="s">
        <v>212</v>
      </c>
      <c r="E16" s="69" t="s">
        <v>154</v>
      </c>
      <c r="F16" s="69" t="s">
        <v>231</v>
      </c>
      <c r="G16" s="69"/>
      <c r="H16" s="69" t="s">
        <v>158</v>
      </c>
      <c r="I16" s="69"/>
      <c r="J16" s="273"/>
      <c r="K16" s="69" t="s">
        <v>167</v>
      </c>
      <c r="L16" s="69"/>
      <c r="M16" s="69" t="s">
        <v>158</v>
      </c>
      <c r="N16" s="69"/>
      <c r="O16" s="69"/>
      <c r="P16" s="69" t="s">
        <v>212</v>
      </c>
      <c r="Q16" s="273" t="s">
        <v>101</v>
      </c>
      <c r="R16" s="69" t="s">
        <v>154</v>
      </c>
      <c r="S16" s="69"/>
      <c r="T16" s="69" t="s">
        <v>167</v>
      </c>
      <c r="U16" s="69"/>
      <c r="V16" s="69" t="s">
        <v>158</v>
      </c>
      <c r="W16" s="69"/>
      <c r="X16" s="273"/>
      <c r="Y16" s="69" t="s">
        <v>154</v>
      </c>
      <c r="Z16" s="69" t="s">
        <v>158</v>
      </c>
      <c r="AA16" s="69" t="s">
        <v>167</v>
      </c>
      <c r="AB16" s="69"/>
      <c r="AC16" s="69" t="s">
        <v>212</v>
      </c>
      <c r="AD16" s="273" t="s">
        <v>101</v>
      </c>
      <c r="AE16" s="273" t="s">
        <v>101</v>
      </c>
      <c r="AF16" s="69" t="s">
        <v>167</v>
      </c>
      <c r="AG16" s="69" t="s">
        <v>274</v>
      </c>
      <c r="AH16" s="69" t="s">
        <v>212</v>
      </c>
      <c r="AI16" s="69" t="s">
        <v>274</v>
      </c>
      <c r="AJ16" s="69" t="s">
        <v>154</v>
      </c>
      <c r="AK16" s="289" t="s">
        <v>30</v>
      </c>
      <c r="AL16" s="64" t="str">
        <f t="shared" si="0"/>
        <v>渡邉</v>
      </c>
      <c r="AM16" s="4"/>
    </row>
    <row r="17" spans="1:39" ht="15.9" customHeight="1" x14ac:dyDescent="0.2">
      <c r="A17" s="3">
        <v>11</v>
      </c>
      <c r="B17" s="60"/>
      <c r="C17" s="56" t="s">
        <v>219</v>
      </c>
      <c r="D17" s="72"/>
      <c r="E17" s="69" t="s">
        <v>238</v>
      </c>
      <c r="F17" s="69" t="s">
        <v>238</v>
      </c>
      <c r="G17" s="69" t="s">
        <v>238</v>
      </c>
      <c r="H17" s="69"/>
      <c r="I17" s="69"/>
      <c r="J17" s="273"/>
      <c r="K17" s="69"/>
      <c r="L17" s="69"/>
      <c r="M17" s="69" t="s">
        <v>239</v>
      </c>
      <c r="N17" s="69" t="s">
        <v>147</v>
      </c>
      <c r="O17" s="69" t="s">
        <v>249</v>
      </c>
      <c r="P17" s="69" t="s">
        <v>152</v>
      </c>
      <c r="Q17" s="273" t="s">
        <v>101</v>
      </c>
      <c r="R17" s="69"/>
      <c r="S17" s="69" t="s">
        <v>147</v>
      </c>
      <c r="T17" s="69" t="s">
        <v>241</v>
      </c>
      <c r="U17" s="69" t="s">
        <v>158</v>
      </c>
      <c r="V17" s="69" t="s">
        <v>152</v>
      </c>
      <c r="W17" s="69"/>
      <c r="X17" s="273"/>
      <c r="Y17" s="69"/>
      <c r="Z17" s="69" t="s">
        <v>147</v>
      </c>
      <c r="AA17" s="69" t="s">
        <v>152</v>
      </c>
      <c r="AB17" s="69" t="s">
        <v>158</v>
      </c>
      <c r="AC17" s="69" t="s">
        <v>117</v>
      </c>
      <c r="AD17" s="273" t="s">
        <v>101</v>
      </c>
      <c r="AE17" s="273" t="s">
        <v>101</v>
      </c>
      <c r="AF17" s="69"/>
      <c r="AG17" s="69" t="s">
        <v>243</v>
      </c>
      <c r="AH17" s="69" t="s">
        <v>158</v>
      </c>
      <c r="AI17" s="69" t="s">
        <v>246</v>
      </c>
      <c r="AJ17" s="69" t="s">
        <v>247</v>
      </c>
      <c r="AK17" s="289"/>
      <c r="AL17" s="64" t="str">
        <f t="shared" si="0"/>
        <v>高橋美</v>
      </c>
      <c r="AM17" s="4"/>
    </row>
    <row r="18" spans="1:39" ht="15.9" customHeight="1" x14ac:dyDescent="0.2">
      <c r="A18" s="3"/>
      <c r="B18" s="60"/>
      <c r="C18" s="56" t="s">
        <v>220</v>
      </c>
      <c r="D18" s="72"/>
      <c r="E18" s="69" t="s">
        <v>161</v>
      </c>
      <c r="F18" s="69" t="s">
        <v>154</v>
      </c>
      <c r="G18" s="69" t="s">
        <v>156</v>
      </c>
      <c r="H18" s="69" t="s">
        <v>163</v>
      </c>
      <c r="I18" s="69"/>
      <c r="J18" s="273"/>
      <c r="K18" s="69"/>
      <c r="L18" s="69" t="s">
        <v>156</v>
      </c>
      <c r="M18" s="69" t="s">
        <v>154</v>
      </c>
      <c r="N18" s="69" t="s">
        <v>148</v>
      </c>
      <c r="O18" s="69" t="s">
        <v>160</v>
      </c>
      <c r="P18" s="69"/>
      <c r="Q18" s="273"/>
      <c r="R18" s="69"/>
      <c r="S18" s="69"/>
      <c r="T18" s="69"/>
      <c r="U18" s="69"/>
      <c r="V18" s="69"/>
      <c r="W18" s="69"/>
      <c r="X18" s="273"/>
      <c r="Y18" s="69"/>
      <c r="Z18" s="69"/>
      <c r="AA18" s="69" t="s">
        <v>156</v>
      </c>
      <c r="AB18" s="69" t="s">
        <v>154</v>
      </c>
      <c r="AC18" s="69"/>
      <c r="AD18" s="273"/>
      <c r="AE18" s="273"/>
      <c r="AF18" s="69"/>
      <c r="AG18" s="69" t="s">
        <v>154</v>
      </c>
      <c r="AH18" s="69"/>
      <c r="AI18" s="69" t="s">
        <v>156</v>
      </c>
      <c r="AJ18" s="69" t="s">
        <v>149</v>
      </c>
      <c r="AK18" s="289"/>
      <c r="AL18" s="64" t="str">
        <f t="shared" si="0"/>
        <v>丹羽</v>
      </c>
      <c r="AM18" s="4"/>
    </row>
    <row r="19" spans="1:39" ht="15.9" customHeight="1" x14ac:dyDescent="0.2">
      <c r="A19" s="3">
        <v>12</v>
      </c>
      <c r="B19" s="60"/>
      <c r="C19" s="56" t="s">
        <v>200</v>
      </c>
      <c r="D19" s="322" t="s">
        <v>255</v>
      </c>
      <c r="E19" s="314" t="s">
        <v>255</v>
      </c>
      <c r="F19" s="69" t="s">
        <v>231</v>
      </c>
      <c r="G19" s="69"/>
      <c r="H19" s="69" t="s">
        <v>275</v>
      </c>
      <c r="I19" s="69"/>
      <c r="J19" s="273"/>
      <c r="K19" s="69" t="s">
        <v>156</v>
      </c>
      <c r="L19" s="69"/>
      <c r="M19" s="314" t="s">
        <v>255</v>
      </c>
      <c r="N19" s="69"/>
      <c r="O19" s="69"/>
      <c r="P19" s="69"/>
      <c r="Q19" s="273" t="s">
        <v>101</v>
      </c>
      <c r="R19" s="314" t="s">
        <v>255</v>
      </c>
      <c r="S19" s="69"/>
      <c r="T19" s="69"/>
      <c r="U19" s="69" t="s">
        <v>156</v>
      </c>
      <c r="V19" s="69"/>
      <c r="W19" s="69"/>
      <c r="X19" s="273"/>
      <c r="Y19" s="69"/>
      <c r="Z19" s="69"/>
      <c r="AA19" s="69" t="s">
        <v>235</v>
      </c>
      <c r="AB19" s="69" t="s">
        <v>275</v>
      </c>
      <c r="AC19" s="69" t="s">
        <v>275</v>
      </c>
      <c r="AD19" s="273" t="s">
        <v>101</v>
      </c>
      <c r="AE19" s="273" t="s">
        <v>101</v>
      </c>
      <c r="AF19" s="314" t="s">
        <v>255</v>
      </c>
      <c r="AG19" s="69"/>
      <c r="AH19" s="69" t="s">
        <v>156</v>
      </c>
      <c r="AI19" s="69"/>
      <c r="AJ19" s="69"/>
      <c r="AK19" s="289" t="s">
        <v>101</v>
      </c>
      <c r="AL19" s="64" t="str">
        <f t="shared" si="0"/>
        <v>佐野</v>
      </c>
      <c r="AM19" s="4"/>
    </row>
    <row r="20" spans="1:39" ht="9.9" customHeight="1" x14ac:dyDescent="0.2">
      <c r="A20" s="3"/>
      <c r="B20" s="61"/>
      <c r="C20" s="57"/>
      <c r="D20" s="286"/>
      <c r="E20" s="273"/>
      <c r="F20" s="273"/>
      <c r="G20" s="273"/>
      <c r="H20" s="273"/>
      <c r="I20" s="273"/>
      <c r="J20" s="273"/>
      <c r="K20" s="273"/>
      <c r="L20" s="273"/>
      <c r="M20" s="273"/>
      <c r="N20" s="273"/>
      <c r="O20" s="273"/>
      <c r="P20" s="273"/>
      <c r="Q20" s="273" t="s">
        <v>101</v>
      </c>
      <c r="R20" s="273"/>
      <c r="S20" s="273"/>
      <c r="T20" s="273"/>
      <c r="U20" s="273"/>
      <c r="V20" s="273"/>
      <c r="W20" s="273"/>
      <c r="X20" s="273"/>
      <c r="Y20" s="273"/>
      <c r="Z20" s="273"/>
      <c r="AA20" s="273"/>
      <c r="AB20" s="273"/>
      <c r="AC20" s="273" t="s">
        <v>101</v>
      </c>
      <c r="AD20" s="273" t="s">
        <v>101</v>
      </c>
      <c r="AE20" s="273" t="s">
        <v>101</v>
      </c>
      <c r="AF20" s="273"/>
      <c r="AG20" s="273"/>
      <c r="AH20" s="273"/>
      <c r="AI20" s="273"/>
      <c r="AJ20" s="273"/>
      <c r="AK20" s="290" t="s">
        <v>101</v>
      </c>
      <c r="AL20" s="65" t="str">
        <f t="shared" si="0"/>
        <v/>
      </c>
      <c r="AM20" s="4"/>
    </row>
    <row r="21" spans="1:39" ht="16.5" customHeight="1" x14ac:dyDescent="0.2">
      <c r="A21" s="3">
        <v>13</v>
      </c>
      <c r="B21" s="60" t="s">
        <v>160</v>
      </c>
      <c r="C21" s="56" t="s">
        <v>182</v>
      </c>
      <c r="D21" s="72"/>
      <c r="E21" s="69"/>
      <c r="F21" s="69" t="s">
        <v>149</v>
      </c>
      <c r="G21" s="69" t="s">
        <v>148</v>
      </c>
      <c r="H21" s="69" t="s">
        <v>160</v>
      </c>
      <c r="I21" s="69" t="s">
        <v>103</v>
      </c>
      <c r="J21" s="273"/>
      <c r="K21" s="69" t="s">
        <v>163</v>
      </c>
      <c r="L21" s="69"/>
      <c r="M21" s="69"/>
      <c r="N21" s="69" t="s">
        <v>149</v>
      </c>
      <c r="O21" s="69" t="s">
        <v>161</v>
      </c>
      <c r="P21" s="69" t="s">
        <v>30</v>
      </c>
      <c r="Q21" s="273" t="s">
        <v>101</v>
      </c>
      <c r="R21" s="69" t="s">
        <v>148</v>
      </c>
      <c r="S21" s="69" t="s">
        <v>161</v>
      </c>
      <c r="T21" s="69"/>
      <c r="U21" s="69" t="s">
        <v>163</v>
      </c>
      <c r="V21" s="69" t="s">
        <v>149</v>
      </c>
      <c r="W21" s="69" t="s">
        <v>104</v>
      </c>
      <c r="X21" s="273"/>
      <c r="Y21" s="69"/>
      <c r="Z21" s="69" t="s">
        <v>148</v>
      </c>
      <c r="AA21" s="69" t="s">
        <v>160</v>
      </c>
      <c r="AB21" s="69" t="s">
        <v>117</v>
      </c>
      <c r="AC21" s="69"/>
      <c r="AD21" s="273" t="s">
        <v>101</v>
      </c>
      <c r="AE21" s="273" t="s">
        <v>101</v>
      </c>
      <c r="AF21" s="69" t="s">
        <v>163</v>
      </c>
      <c r="AG21" s="69" t="s">
        <v>160</v>
      </c>
      <c r="AH21" s="69"/>
      <c r="AI21" s="69"/>
      <c r="AJ21" s="69" t="s">
        <v>161</v>
      </c>
      <c r="AK21" s="312" t="s">
        <v>30</v>
      </c>
      <c r="AL21" s="64" t="str">
        <f t="shared" si="0"/>
        <v>大島</v>
      </c>
      <c r="AM21" s="4"/>
    </row>
    <row r="22" spans="1:39" ht="16.5" customHeight="1" x14ac:dyDescent="0.2">
      <c r="A22" s="3">
        <v>14</v>
      </c>
      <c r="B22" s="60" t="s">
        <v>161</v>
      </c>
      <c r="C22" s="56" t="s">
        <v>195</v>
      </c>
      <c r="D22" s="72" t="s">
        <v>158</v>
      </c>
      <c r="E22" s="69"/>
      <c r="F22" s="69" t="s">
        <v>160</v>
      </c>
      <c r="G22" s="69" t="s">
        <v>161</v>
      </c>
      <c r="H22" s="69" t="s">
        <v>147</v>
      </c>
      <c r="I22" s="69" t="s">
        <v>103</v>
      </c>
      <c r="J22" s="273"/>
      <c r="K22" s="69" t="s">
        <v>147</v>
      </c>
      <c r="L22" s="69"/>
      <c r="M22" s="69" t="s">
        <v>212</v>
      </c>
      <c r="N22" s="69" t="s">
        <v>161</v>
      </c>
      <c r="O22" s="69"/>
      <c r="P22" s="69" t="s">
        <v>30</v>
      </c>
      <c r="Q22" s="273" t="s">
        <v>101</v>
      </c>
      <c r="R22" s="69"/>
      <c r="S22" s="69" t="s">
        <v>160</v>
      </c>
      <c r="T22" s="69" t="s">
        <v>161</v>
      </c>
      <c r="U22" s="69"/>
      <c r="V22" s="69"/>
      <c r="W22" s="69" t="s">
        <v>104</v>
      </c>
      <c r="X22" s="273"/>
      <c r="Y22" s="69" t="s">
        <v>212</v>
      </c>
      <c r="Z22" s="69" t="s">
        <v>275</v>
      </c>
      <c r="AA22" s="69" t="s">
        <v>158</v>
      </c>
      <c r="AB22" s="69"/>
      <c r="AC22" s="69"/>
      <c r="AD22" s="273" t="s">
        <v>101</v>
      </c>
      <c r="AE22" s="273" t="s">
        <v>101</v>
      </c>
      <c r="AF22" s="69" t="s">
        <v>212</v>
      </c>
      <c r="AG22" s="69" t="s">
        <v>147</v>
      </c>
      <c r="AH22" s="69"/>
      <c r="AI22" s="69" t="s">
        <v>158</v>
      </c>
      <c r="AJ22" s="69" t="s">
        <v>160</v>
      </c>
      <c r="AK22" s="312" t="s">
        <v>30</v>
      </c>
      <c r="AL22" s="64" t="str">
        <f t="shared" si="0"/>
        <v>名倉</v>
      </c>
      <c r="AM22" s="4"/>
    </row>
    <row r="23" spans="1:39" ht="16.5" customHeight="1" x14ac:dyDescent="0.2">
      <c r="A23" s="3">
        <v>15</v>
      </c>
      <c r="B23" s="60" t="s">
        <v>163</v>
      </c>
      <c r="C23" s="56" t="s">
        <v>215</v>
      </c>
      <c r="D23" s="72" t="s">
        <v>117</v>
      </c>
      <c r="E23" s="69" t="s">
        <v>117</v>
      </c>
      <c r="F23" s="69"/>
      <c r="G23" s="69" t="s">
        <v>163</v>
      </c>
      <c r="H23" s="69" t="s">
        <v>148</v>
      </c>
      <c r="I23" s="69" t="s">
        <v>103</v>
      </c>
      <c r="J23" s="273"/>
      <c r="K23" s="69" t="s">
        <v>152</v>
      </c>
      <c r="L23" s="69" t="s">
        <v>154</v>
      </c>
      <c r="M23" s="69"/>
      <c r="N23" s="69" t="s">
        <v>236</v>
      </c>
      <c r="O23" s="69" t="s">
        <v>234</v>
      </c>
      <c r="P23" s="69" t="s">
        <v>30</v>
      </c>
      <c r="Q23" s="273" t="s">
        <v>101</v>
      </c>
      <c r="R23" s="69"/>
      <c r="S23" s="69"/>
      <c r="T23" s="69" t="s">
        <v>212</v>
      </c>
      <c r="U23" s="69" t="s">
        <v>147</v>
      </c>
      <c r="V23" s="69" t="s">
        <v>160</v>
      </c>
      <c r="W23" s="69" t="s">
        <v>104</v>
      </c>
      <c r="X23" s="273"/>
      <c r="Y23" s="69" t="s">
        <v>149</v>
      </c>
      <c r="Z23" s="69" t="s">
        <v>161</v>
      </c>
      <c r="AA23" s="69"/>
      <c r="AB23" s="69"/>
      <c r="AC23" s="69" t="s">
        <v>168</v>
      </c>
      <c r="AD23" s="273" t="s">
        <v>101</v>
      </c>
      <c r="AE23" s="273" t="s">
        <v>101</v>
      </c>
      <c r="AF23" s="69" t="s">
        <v>158</v>
      </c>
      <c r="AG23" s="69" t="s">
        <v>156</v>
      </c>
      <c r="AH23" s="69"/>
      <c r="AI23" s="69" t="s">
        <v>275</v>
      </c>
      <c r="AJ23" s="69"/>
      <c r="AK23" s="312" t="s">
        <v>30</v>
      </c>
      <c r="AL23" s="64" t="str">
        <f t="shared" si="0"/>
        <v>浅野</v>
      </c>
      <c r="AM23" s="4"/>
    </row>
    <row r="24" spans="1:39" ht="16.5" customHeight="1" x14ac:dyDescent="0.2">
      <c r="A24" s="3">
        <v>16</v>
      </c>
      <c r="B24" s="60" t="s">
        <v>163</v>
      </c>
      <c r="C24" s="56" t="s">
        <v>216</v>
      </c>
      <c r="D24" s="72"/>
      <c r="E24" s="69" t="s">
        <v>148</v>
      </c>
      <c r="F24" s="69" t="s">
        <v>163</v>
      </c>
      <c r="G24" s="69" t="s">
        <v>117</v>
      </c>
      <c r="H24" s="69"/>
      <c r="I24" s="69" t="s">
        <v>103</v>
      </c>
      <c r="J24" s="273"/>
      <c r="K24" s="69" t="s">
        <v>149</v>
      </c>
      <c r="L24" s="69" t="s">
        <v>148</v>
      </c>
      <c r="M24" s="69" t="s">
        <v>274</v>
      </c>
      <c r="N24" s="69" t="s">
        <v>274</v>
      </c>
      <c r="O24" s="69"/>
      <c r="P24" s="69" t="s">
        <v>30</v>
      </c>
      <c r="Q24" s="273" t="s">
        <v>101</v>
      </c>
      <c r="R24" s="69" t="s">
        <v>163</v>
      </c>
      <c r="S24" s="69" t="s">
        <v>275</v>
      </c>
      <c r="T24" s="69"/>
      <c r="U24" s="69"/>
      <c r="V24" s="69"/>
      <c r="W24" s="69" t="s">
        <v>104</v>
      </c>
      <c r="X24" s="273"/>
      <c r="Y24" s="69"/>
      <c r="Z24" s="69" t="s">
        <v>163</v>
      </c>
      <c r="AA24" s="69" t="s">
        <v>117</v>
      </c>
      <c r="AB24" s="69" t="s">
        <v>149</v>
      </c>
      <c r="AC24" s="69"/>
      <c r="AD24" s="273" t="s">
        <v>101</v>
      </c>
      <c r="AE24" s="273" t="s">
        <v>101</v>
      </c>
      <c r="AF24" s="69" t="s">
        <v>148</v>
      </c>
      <c r="AG24" s="69"/>
      <c r="AH24" s="69" t="s">
        <v>149</v>
      </c>
      <c r="AI24" s="69"/>
      <c r="AJ24" s="69"/>
      <c r="AK24" s="312" t="s">
        <v>30</v>
      </c>
      <c r="AL24" s="64" t="str">
        <f t="shared" si="0"/>
        <v>酒井</v>
      </c>
      <c r="AM24" s="4"/>
    </row>
    <row r="25" spans="1:39" ht="16.5" customHeight="1" x14ac:dyDescent="0.2">
      <c r="A25" s="3">
        <v>17</v>
      </c>
      <c r="B25" s="60" t="s">
        <v>148</v>
      </c>
      <c r="C25" s="56" t="s">
        <v>217</v>
      </c>
      <c r="D25" s="72" t="s">
        <v>163</v>
      </c>
      <c r="E25" s="69" t="s">
        <v>149</v>
      </c>
      <c r="F25" s="69" t="s">
        <v>148</v>
      </c>
      <c r="G25" s="69"/>
      <c r="H25" s="69"/>
      <c r="I25" s="69" t="s">
        <v>103</v>
      </c>
      <c r="J25" s="273"/>
      <c r="K25" s="69" t="s">
        <v>161</v>
      </c>
      <c r="L25" s="69"/>
      <c r="M25" s="69"/>
      <c r="N25" s="69" t="s">
        <v>163</v>
      </c>
      <c r="O25" s="69" t="s">
        <v>149</v>
      </c>
      <c r="P25" s="69" t="s">
        <v>30</v>
      </c>
      <c r="Q25" s="273" t="s">
        <v>101</v>
      </c>
      <c r="R25" s="69" t="s">
        <v>149</v>
      </c>
      <c r="S25" s="69"/>
      <c r="T25" s="69" t="s">
        <v>148</v>
      </c>
      <c r="U25" s="69" t="s">
        <v>161</v>
      </c>
      <c r="V25" s="69" t="s">
        <v>163</v>
      </c>
      <c r="W25" s="69" t="s">
        <v>104</v>
      </c>
      <c r="X25" s="273"/>
      <c r="Y25" s="69"/>
      <c r="Z25" s="69" t="s">
        <v>149</v>
      </c>
      <c r="AA25" s="69" t="s">
        <v>161</v>
      </c>
      <c r="AB25" s="69"/>
      <c r="AC25" s="69" t="s">
        <v>148</v>
      </c>
      <c r="AD25" s="273" t="s">
        <v>101</v>
      </c>
      <c r="AE25" s="273" t="s">
        <v>101</v>
      </c>
      <c r="AF25" s="69"/>
      <c r="AG25" s="69" t="s">
        <v>163</v>
      </c>
      <c r="AH25" s="69" t="s">
        <v>148</v>
      </c>
      <c r="AI25" s="69" t="s">
        <v>161</v>
      </c>
      <c r="AJ25" s="69"/>
      <c r="AK25" s="312" t="s">
        <v>30</v>
      </c>
      <c r="AL25" s="64" t="str">
        <f t="shared" si="0"/>
        <v>樽見</v>
      </c>
      <c r="AM25" s="4"/>
    </row>
    <row r="26" spans="1:39" ht="16.5" customHeight="1" x14ac:dyDescent="0.2">
      <c r="A26" s="3">
        <v>18</v>
      </c>
      <c r="B26" s="60" t="s">
        <v>149</v>
      </c>
      <c r="C26" s="56" t="s">
        <v>278</v>
      </c>
      <c r="D26" s="72" t="s">
        <v>149</v>
      </c>
      <c r="E26" s="69" t="s">
        <v>160</v>
      </c>
      <c r="F26" s="69" t="s">
        <v>161</v>
      </c>
      <c r="G26" s="69"/>
      <c r="H26" s="314" t="s">
        <v>255</v>
      </c>
      <c r="I26" s="69" t="s">
        <v>103</v>
      </c>
      <c r="J26" s="273"/>
      <c r="K26" s="69" t="s">
        <v>148</v>
      </c>
      <c r="L26" s="69" t="s">
        <v>149</v>
      </c>
      <c r="M26" s="69"/>
      <c r="N26" s="69" t="s">
        <v>160</v>
      </c>
      <c r="O26" s="69" t="s">
        <v>163</v>
      </c>
      <c r="P26" s="69" t="s">
        <v>30</v>
      </c>
      <c r="Q26" s="273" t="s">
        <v>101</v>
      </c>
      <c r="R26" s="69"/>
      <c r="S26" s="69" t="s">
        <v>163</v>
      </c>
      <c r="T26" s="69" t="s">
        <v>160</v>
      </c>
      <c r="U26" s="69" t="s">
        <v>148</v>
      </c>
      <c r="V26" s="69"/>
      <c r="W26" s="69" t="s">
        <v>104</v>
      </c>
      <c r="X26" s="273"/>
      <c r="Y26" s="69" t="s">
        <v>163</v>
      </c>
      <c r="Z26" s="69"/>
      <c r="AA26" s="69"/>
      <c r="AB26" s="69"/>
      <c r="AC26" s="69" t="s">
        <v>161</v>
      </c>
      <c r="AD26" s="273" t="s">
        <v>101</v>
      </c>
      <c r="AE26" s="273" t="s">
        <v>101</v>
      </c>
      <c r="AF26" s="69" t="s">
        <v>161</v>
      </c>
      <c r="AG26" s="69" t="s">
        <v>149</v>
      </c>
      <c r="AH26" s="69"/>
      <c r="AI26" s="69" t="s">
        <v>148</v>
      </c>
      <c r="AJ26" s="69"/>
      <c r="AK26" s="312" t="s">
        <v>30</v>
      </c>
      <c r="AL26" s="64" t="str">
        <f t="shared" si="0"/>
        <v>髙田</v>
      </c>
      <c r="AM26" s="4"/>
    </row>
    <row r="27" spans="1:39" ht="16.5" customHeight="1" x14ac:dyDescent="0.2">
      <c r="A27" s="3">
        <v>19</v>
      </c>
      <c r="B27" s="60"/>
      <c r="C27" s="56" t="s">
        <v>183</v>
      </c>
      <c r="D27" s="72" t="s">
        <v>230</v>
      </c>
      <c r="E27" s="69" t="s">
        <v>275</v>
      </c>
      <c r="F27" s="69" t="s">
        <v>231</v>
      </c>
      <c r="G27" s="69"/>
      <c r="H27" s="69" t="s">
        <v>232</v>
      </c>
      <c r="I27" s="69" t="s">
        <v>103</v>
      </c>
      <c r="J27" s="273"/>
      <c r="K27" s="69"/>
      <c r="L27" s="69" t="s">
        <v>163</v>
      </c>
      <c r="M27" s="69" t="s">
        <v>233</v>
      </c>
      <c r="N27" s="69"/>
      <c r="O27" s="69"/>
      <c r="P27" s="69" t="s">
        <v>30</v>
      </c>
      <c r="Q27" s="273" t="s">
        <v>101</v>
      </c>
      <c r="R27" s="69" t="s">
        <v>230</v>
      </c>
      <c r="S27" s="69" t="s">
        <v>233</v>
      </c>
      <c r="T27" s="69" t="s">
        <v>163</v>
      </c>
      <c r="U27" s="69"/>
      <c r="V27" s="69"/>
      <c r="W27" s="69"/>
      <c r="X27" s="273"/>
      <c r="Y27" s="69" t="s">
        <v>232</v>
      </c>
      <c r="Z27" s="69"/>
      <c r="AA27" s="69" t="s">
        <v>233</v>
      </c>
      <c r="AB27" s="69" t="s">
        <v>230</v>
      </c>
      <c r="AC27" s="69"/>
      <c r="AD27" s="273" t="s">
        <v>101</v>
      </c>
      <c r="AE27" s="273" t="s">
        <v>101</v>
      </c>
      <c r="AF27" s="69"/>
      <c r="AG27" s="69" t="s">
        <v>232</v>
      </c>
      <c r="AH27" s="69"/>
      <c r="AI27" s="69"/>
      <c r="AJ27" s="69" t="s">
        <v>163</v>
      </c>
      <c r="AK27" s="312" t="s">
        <v>30</v>
      </c>
      <c r="AL27" s="64" t="str">
        <f t="shared" si="0"/>
        <v>鈴木</v>
      </c>
      <c r="AM27" s="4"/>
    </row>
    <row r="28" spans="1:39" ht="16.5" customHeight="1" x14ac:dyDescent="0.2">
      <c r="A28" s="3">
        <v>20</v>
      </c>
      <c r="B28" s="60"/>
      <c r="C28" s="56" t="s">
        <v>196</v>
      </c>
      <c r="D28" s="72" t="s">
        <v>148</v>
      </c>
      <c r="E28" s="69" t="s">
        <v>163</v>
      </c>
      <c r="F28" s="69" t="s">
        <v>231</v>
      </c>
      <c r="G28" s="69"/>
      <c r="H28" s="69" t="s">
        <v>149</v>
      </c>
      <c r="I28" s="69" t="s">
        <v>103</v>
      </c>
      <c r="J28" s="273"/>
      <c r="K28" s="69" t="s">
        <v>160</v>
      </c>
      <c r="L28" s="69" t="s">
        <v>161</v>
      </c>
      <c r="M28" s="69" t="s">
        <v>163</v>
      </c>
      <c r="N28" s="69"/>
      <c r="O28" s="69" t="s">
        <v>148</v>
      </c>
      <c r="P28" s="69" t="s">
        <v>30</v>
      </c>
      <c r="Q28" s="273" t="s">
        <v>101</v>
      </c>
      <c r="R28" s="69"/>
      <c r="S28" s="69"/>
      <c r="T28" s="69" t="s">
        <v>149</v>
      </c>
      <c r="U28" s="69" t="s">
        <v>160</v>
      </c>
      <c r="V28" s="69" t="s">
        <v>161</v>
      </c>
      <c r="W28" s="69"/>
      <c r="X28" s="273"/>
      <c r="Y28" s="69" t="s">
        <v>161</v>
      </c>
      <c r="Z28" s="69"/>
      <c r="AA28" s="69" t="s">
        <v>235</v>
      </c>
      <c r="AB28" s="69" t="s">
        <v>148</v>
      </c>
      <c r="AC28" s="69" t="s">
        <v>160</v>
      </c>
      <c r="AD28" s="273" t="s">
        <v>101</v>
      </c>
      <c r="AE28" s="273" t="s">
        <v>101</v>
      </c>
      <c r="AF28" s="69" t="s">
        <v>149</v>
      </c>
      <c r="AG28" s="69"/>
      <c r="AH28" s="69"/>
      <c r="AI28" s="69" t="s">
        <v>163</v>
      </c>
      <c r="AJ28" s="69"/>
      <c r="AK28" s="312" t="s">
        <v>30</v>
      </c>
      <c r="AL28" s="64" t="str">
        <f t="shared" si="0"/>
        <v>藤井</v>
      </c>
      <c r="AM28" s="4"/>
    </row>
    <row r="29" spans="1:39" ht="16.5" customHeight="1" x14ac:dyDescent="0.2">
      <c r="A29" s="3">
        <v>21</v>
      </c>
      <c r="B29" s="60"/>
      <c r="C29" s="56" t="s">
        <v>222</v>
      </c>
      <c r="D29" s="72"/>
      <c r="E29" s="69" t="s">
        <v>226</v>
      </c>
      <c r="F29" s="69" t="s">
        <v>224</v>
      </c>
      <c r="G29" s="69" t="s">
        <v>225</v>
      </c>
      <c r="H29" s="69"/>
      <c r="I29" s="69"/>
      <c r="J29" s="273"/>
      <c r="K29" s="69"/>
      <c r="L29" s="69" t="s">
        <v>163</v>
      </c>
      <c r="M29" s="69" t="s">
        <v>233</v>
      </c>
      <c r="N29" s="69" t="s">
        <v>226</v>
      </c>
      <c r="O29" s="69" t="s">
        <v>225</v>
      </c>
      <c r="P29" s="69"/>
      <c r="Q29" s="273" t="s">
        <v>101</v>
      </c>
      <c r="R29" s="69"/>
      <c r="S29" s="69" t="s">
        <v>233</v>
      </c>
      <c r="T29" s="69" t="s">
        <v>163</v>
      </c>
      <c r="U29" s="314" t="s">
        <v>255</v>
      </c>
      <c r="V29" s="69" t="s">
        <v>224</v>
      </c>
      <c r="W29" s="69"/>
      <c r="X29" s="273"/>
      <c r="Y29" s="69"/>
      <c r="Z29" s="69" t="s">
        <v>117</v>
      </c>
      <c r="AA29" s="69" t="s">
        <v>233</v>
      </c>
      <c r="AB29" s="69"/>
      <c r="AC29" s="69" t="s">
        <v>226</v>
      </c>
      <c r="AD29" s="273" t="s">
        <v>101</v>
      </c>
      <c r="AE29" s="273" t="s">
        <v>101</v>
      </c>
      <c r="AF29" s="69"/>
      <c r="AG29" s="314" t="s">
        <v>255</v>
      </c>
      <c r="AH29" s="69" t="s">
        <v>225</v>
      </c>
      <c r="AI29" s="69" t="s">
        <v>224</v>
      </c>
      <c r="AJ29" s="69" t="s">
        <v>163</v>
      </c>
      <c r="AK29" s="312"/>
      <c r="AL29" s="64" t="str">
        <f t="shared" si="0"/>
        <v>長谷川麻</v>
      </c>
      <c r="AM29" s="4"/>
    </row>
    <row r="30" spans="1:39" ht="16.5" customHeight="1" x14ac:dyDescent="0.2">
      <c r="A30" s="3">
        <v>22</v>
      </c>
      <c r="B30" s="60"/>
      <c r="C30" s="56" t="s">
        <v>184</v>
      </c>
      <c r="D30" s="72"/>
      <c r="E30" s="69"/>
      <c r="F30" s="69"/>
      <c r="G30" s="69"/>
      <c r="H30" s="69"/>
      <c r="I30" s="69"/>
      <c r="J30" s="273"/>
      <c r="K30" s="69"/>
      <c r="L30" s="69" t="s">
        <v>160</v>
      </c>
      <c r="M30" s="69" t="s">
        <v>161</v>
      </c>
      <c r="N30" s="69" t="s">
        <v>238</v>
      </c>
      <c r="O30" s="69"/>
      <c r="P30" s="69"/>
      <c r="Q30" s="273" t="s">
        <v>101</v>
      </c>
      <c r="R30" s="69"/>
      <c r="S30" s="69"/>
      <c r="T30" s="69" t="s">
        <v>238</v>
      </c>
      <c r="U30" s="69"/>
      <c r="V30" s="69"/>
      <c r="W30" s="69"/>
      <c r="X30" s="273"/>
      <c r="Y30" s="69"/>
      <c r="Z30" s="69"/>
      <c r="AA30" s="69" t="s">
        <v>238</v>
      </c>
      <c r="AB30" s="69"/>
      <c r="AC30" s="69"/>
      <c r="AD30" s="273" t="s">
        <v>101</v>
      </c>
      <c r="AE30" s="273" t="s">
        <v>101</v>
      </c>
      <c r="AF30" s="69"/>
      <c r="AG30" s="69" t="s">
        <v>148</v>
      </c>
      <c r="AH30" s="69" t="s">
        <v>163</v>
      </c>
      <c r="AI30" s="69" t="s">
        <v>149</v>
      </c>
      <c r="AJ30" s="69" t="s">
        <v>238</v>
      </c>
      <c r="AK30" s="312"/>
      <c r="AL30" s="64" t="str">
        <f t="shared" si="0"/>
        <v>篠田</v>
      </c>
      <c r="AM30" s="4"/>
    </row>
    <row r="31" spans="1:39" ht="15.9" hidden="1" customHeight="1" x14ac:dyDescent="0.2">
      <c r="A31" s="3">
        <v>23</v>
      </c>
      <c r="B31" s="60"/>
      <c r="C31" s="56"/>
      <c r="D31" s="72"/>
      <c r="E31" s="69"/>
      <c r="F31" s="69"/>
      <c r="G31" s="69"/>
      <c r="H31" s="69"/>
      <c r="I31" s="69"/>
      <c r="J31" s="273"/>
      <c r="K31" s="69"/>
      <c r="L31" s="69"/>
      <c r="M31" s="69"/>
      <c r="N31" s="69"/>
      <c r="O31" s="69"/>
      <c r="P31" s="69"/>
      <c r="Q31" s="273" t="s">
        <v>101</v>
      </c>
      <c r="R31" s="69"/>
      <c r="S31" s="69"/>
      <c r="T31" s="69"/>
      <c r="U31" s="69"/>
      <c r="V31" s="69"/>
      <c r="W31" s="69"/>
      <c r="X31" s="273"/>
      <c r="Y31" s="69"/>
      <c r="Z31" s="69"/>
      <c r="AA31" s="69"/>
      <c r="AB31" s="69"/>
      <c r="AC31" s="69"/>
      <c r="AD31" s="273" t="s">
        <v>101</v>
      </c>
      <c r="AE31" s="273" t="s">
        <v>101</v>
      </c>
      <c r="AF31" s="69"/>
      <c r="AG31" s="69"/>
      <c r="AH31" s="69"/>
      <c r="AI31" s="69"/>
      <c r="AJ31" s="69"/>
      <c r="AK31" s="312"/>
      <c r="AL31" s="64" t="str">
        <f t="shared" si="0"/>
        <v/>
      </c>
      <c r="AM31" s="4"/>
    </row>
    <row r="32" spans="1:39" ht="15.9" customHeight="1" x14ac:dyDescent="0.2">
      <c r="A32" s="3">
        <v>24</v>
      </c>
      <c r="B32" s="60"/>
      <c r="C32" s="56"/>
      <c r="D32" s="72"/>
      <c r="E32" s="69"/>
      <c r="F32" s="69"/>
      <c r="G32" s="69"/>
      <c r="H32" s="69"/>
      <c r="I32" s="69"/>
      <c r="J32" s="273"/>
      <c r="K32" s="69"/>
      <c r="L32" s="69"/>
      <c r="M32" s="69"/>
      <c r="N32" s="69"/>
      <c r="O32" s="69"/>
      <c r="P32" s="69"/>
      <c r="Q32" s="273" t="s">
        <v>101</v>
      </c>
      <c r="R32" s="69"/>
      <c r="S32" s="69"/>
      <c r="T32" s="69"/>
      <c r="U32" s="69"/>
      <c r="V32" s="69"/>
      <c r="W32" s="69"/>
      <c r="X32" s="273"/>
      <c r="Y32" s="69"/>
      <c r="Z32" s="69"/>
      <c r="AA32" s="69"/>
      <c r="AB32" s="69"/>
      <c r="AC32" s="69" t="s">
        <v>101</v>
      </c>
      <c r="AD32" s="273" t="s">
        <v>101</v>
      </c>
      <c r="AE32" s="273" t="s">
        <v>101</v>
      </c>
      <c r="AF32" s="69"/>
      <c r="AG32" s="69"/>
      <c r="AH32" s="69"/>
      <c r="AI32" s="69"/>
      <c r="AJ32" s="69"/>
      <c r="AK32" s="312" t="s">
        <v>101</v>
      </c>
      <c r="AL32" s="64" t="str">
        <f t="shared" si="0"/>
        <v/>
      </c>
      <c r="AM32" s="4"/>
    </row>
    <row r="33" spans="1:39" ht="9.9" customHeight="1" x14ac:dyDescent="0.2">
      <c r="A33" s="3"/>
      <c r="B33" s="61"/>
      <c r="C33" s="57"/>
      <c r="D33" s="286"/>
      <c r="E33" s="273"/>
      <c r="F33" s="273"/>
      <c r="G33" s="273"/>
      <c r="H33" s="273"/>
      <c r="I33" s="273"/>
      <c r="J33" s="273"/>
      <c r="K33" s="273"/>
      <c r="L33" s="273"/>
      <c r="M33" s="273"/>
      <c r="N33" s="273"/>
      <c r="O33" s="273"/>
      <c r="P33" s="273"/>
      <c r="Q33" s="273" t="s">
        <v>101</v>
      </c>
      <c r="R33" s="273"/>
      <c r="S33" s="273"/>
      <c r="T33" s="273"/>
      <c r="U33" s="273"/>
      <c r="V33" s="273"/>
      <c r="W33" s="273"/>
      <c r="X33" s="273"/>
      <c r="Y33" s="273"/>
      <c r="Z33" s="273"/>
      <c r="AA33" s="273"/>
      <c r="AB33" s="273"/>
      <c r="AC33" s="273" t="s">
        <v>101</v>
      </c>
      <c r="AD33" s="273" t="s">
        <v>101</v>
      </c>
      <c r="AE33" s="273" t="s">
        <v>101</v>
      </c>
      <c r="AF33" s="273"/>
      <c r="AG33" s="273"/>
      <c r="AH33" s="273"/>
      <c r="AI33" s="273"/>
      <c r="AJ33" s="273"/>
      <c r="AK33" s="290" t="s">
        <v>101</v>
      </c>
      <c r="AL33" s="65" t="str">
        <f t="shared" si="0"/>
        <v/>
      </c>
      <c r="AM33" s="4"/>
    </row>
    <row r="34" spans="1:39" ht="16.5" customHeight="1" x14ac:dyDescent="0.2">
      <c r="A34" s="3">
        <v>25</v>
      </c>
      <c r="B34" s="60" t="s">
        <v>166</v>
      </c>
      <c r="C34" s="56" t="s">
        <v>221</v>
      </c>
      <c r="D34" s="72"/>
      <c r="E34" s="69" t="s">
        <v>169</v>
      </c>
      <c r="F34" s="69" t="s">
        <v>168</v>
      </c>
      <c r="G34" s="69" t="s">
        <v>170</v>
      </c>
      <c r="H34" s="69"/>
      <c r="I34" s="69" t="s">
        <v>103</v>
      </c>
      <c r="J34" s="273"/>
      <c r="K34" s="69"/>
      <c r="L34" s="69" t="s">
        <v>168</v>
      </c>
      <c r="M34" s="69" t="s">
        <v>166</v>
      </c>
      <c r="N34" s="69" t="s">
        <v>170</v>
      </c>
      <c r="O34" s="69"/>
      <c r="P34" s="69" t="s">
        <v>30</v>
      </c>
      <c r="Q34" s="273" t="s">
        <v>101</v>
      </c>
      <c r="R34" s="69" t="s">
        <v>169</v>
      </c>
      <c r="S34" s="69"/>
      <c r="T34" s="69" t="s">
        <v>168</v>
      </c>
      <c r="U34" s="69"/>
      <c r="V34" s="69" t="s">
        <v>166</v>
      </c>
      <c r="W34" s="69" t="s">
        <v>175</v>
      </c>
      <c r="X34" s="273"/>
      <c r="Y34" s="69"/>
      <c r="Z34" s="69"/>
      <c r="AA34" s="69" t="s">
        <v>166</v>
      </c>
      <c r="AB34" s="69" t="s">
        <v>170</v>
      </c>
      <c r="AC34" s="69" t="s">
        <v>169</v>
      </c>
      <c r="AD34" s="273" t="s">
        <v>101</v>
      </c>
      <c r="AE34" s="273" t="s">
        <v>101</v>
      </c>
      <c r="AF34" s="69"/>
      <c r="AG34" s="69" t="s">
        <v>169</v>
      </c>
      <c r="AH34" s="69" t="s">
        <v>166</v>
      </c>
      <c r="AI34" s="69" t="s">
        <v>168</v>
      </c>
      <c r="AJ34" s="69" t="s">
        <v>170</v>
      </c>
      <c r="AK34" s="69" t="s">
        <v>30</v>
      </c>
      <c r="AL34" s="64" t="str">
        <f t="shared" si="0"/>
        <v>城</v>
      </c>
      <c r="AM34" s="4"/>
    </row>
    <row r="35" spans="1:39" ht="16.5" customHeight="1" x14ac:dyDescent="0.2">
      <c r="A35" s="3">
        <v>26</v>
      </c>
      <c r="B35" s="60" t="s">
        <v>167</v>
      </c>
      <c r="C35" s="56" t="s">
        <v>198</v>
      </c>
      <c r="D35" s="72" t="s">
        <v>168</v>
      </c>
      <c r="E35" s="69" t="s">
        <v>170</v>
      </c>
      <c r="F35" s="69" t="s">
        <v>167</v>
      </c>
      <c r="G35" s="69"/>
      <c r="H35" s="69" t="s">
        <v>169</v>
      </c>
      <c r="I35" s="69" t="s">
        <v>103</v>
      </c>
      <c r="J35" s="273"/>
      <c r="K35" s="69" t="s">
        <v>168</v>
      </c>
      <c r="L35" s="69" t="s">
        <v>170</v>
      </c>
      <c r="M35" s="69" t="s">
        <v>167</v>
      </c>
      <c r="N35" s="69"/>
      <c r="O35" s="69"/>
      <c r="P35" s="69" t="s">
        <v>30</v>
      </c>
      <c r="Q35" s="273" t="s">
        <v>101</v>
      </c>
      <c r="R35" s="69" t="s">
        <v>167</v>
      </c>
      <c r="S35" s="69" t="s">
        <v>169</v>
      </c>
      <c r="T35" s="69"/>
      <c r="U35" s="69"/>
      <c r="V35" s="69" t="s">
        <v>170</v>
      </c>
      <c r="W35" s="69" t="s">
        <v>175</v>
      </c>
      <c r="X35" s="273"/>
      <c r="Y35" s="69"/>
      <c r="Z35" s="69"/>
      <c r="AA35" s="69" t="s">
        <v>168</v>
      </c>
      <c r="AB35" s="69" t="s">
        <v>169</v>
      </c>
      <c r="AC35" s="69" t="s">
        <v>167</v>
      </c>
      <c r="AD35" s="273" t="s">
        <v>101</v>
      </c>
      <c r="AE35" s="273" t="s">
        <v>101</v>
      </c>
      <c r="AF35" s="69" t="s">
        <v>170</v>
      </c>
      <c r="AG35" s="69"/>
      <c r="AH35" s="69" t="s">
        <v>168</v>
      </c>
      <c r="AI35" s="69" t="s">
        <v>169</v>
      </c>
      <c r="AJ35" s="69"/>
      <c r="AK35" s="69" t="s">
        <v>30</v>
      </c>
      <c r="AL35" s="64" t="str">
        <f t="shared" si="0"/>
        <v>幸島</v>
      </c>
      <c r="AM35" s="4"/>
    </row>
    <row r="36" spans="1:39" ht="16.5" customHeight="1" x14ac:dyDescent="0.2">
      <c r="A36" s="3">
        <v>27</v>
      </c>
      <c r="B36" s="60" t="s">
        <v>168</v>
      </c>
      <c r="C36" s="56" t="s">
        <v>105</v>
      </c>
      <c r="D36" s="72" t="s">
        <v>166</v>
      </c>
      <c r="E36" s="69"/>
      <c r="F36" s="69" t="s">
        <v>169</v>
      </c>
      <c r="G36" s="69" t="s">
        <v>167</v>
      </c>
      <c r="H36" s="69"/>
      <c r="I36" s="69" t="s">
        <v>103</v>
      </c>
      <c r="J36" s="273"/>
      <c r="K36" s="69"/>
      <c r="L36" s="69" t="s">
        <v>167</v>
      </c>
      <c r="M36" s="69" t="s">
        <v>168</v>
      </c>
      <c r="N36" s="69" t="s">
        <v>169</v>
      </c>
      <c r="O36" s="69"/>
      <c r="P36" s="69" t="s">
        <v>30</v>
      </c>
      <c r="Q36" s="273" t="s">
        <v>101</v>
      </c>
      <c r="R36" s="69" t="s">
        <v>170</v>
      </c>
      <c r="S36" s="69" t="s">
        <v>166</v>
      </c>
      <c r="T36" s="69"/>
      <c r="U36" s="69" t="s">
        <v>168</v>
      </c>
      <c r="V36" s="69" t="s">
        <v>169</v>
      </c>
      <c r="W36" s="69" t="s">
        <v>175</v>
      </c>
      <c r="X36" s="273"/>
      <c r="Y36" s="69"/>
      <c r="Z36" s="69"/>
      <c r="AA36" s="69" t="s">
        <v>235</v>
      </c>
      <c r="AB36" s="69" t="s">
        <v>168</v>
      </c>
      <c r="AC36" s="69" t="s">
        <v>170</v>
      </c>
      <c r="AD36" s="273" t="s">
        <v>101</v>
      </c>
      <c r="AE36" s="273" t="s">
        <v>101</v>
      </c>
      <c r="AF36" s="69"/>
      <c r="AG36" s="69" t="s">
        <v>166</v>
      </c>
      <c r="AH36" s="69" t="s">
        <v>170</v>
      </c>
      <c r="AI36" s="69"/>
      <c r="AJ36" s="69" t="s">
        <v>167</v>
      </c>
      <c r="AK36" s="69" t="s">
        <v>30</v>
      </c>
      <c r="AL36" s="64" t="str">
        <f t="shared" si="0"/>
        <v>菅田</v>
      </c>
      <c r="AM36" s="4"/>
    </row>
    <row r="37" spans="1:39" ht="16.5" customHeight="1" x14ac:dyDescent="0.2">
      <c r="A37" s="3">
        <v>28</v>
      </c>
      <c r="B37" s="59" t="s">
        <v>169</v>
      </c>
      <c r="C37" s="56" t="s">
        <v>173</v>
      </c>
      <c r="D37" s="72" t="s">
        <v>169</v>
      </c>
      <c r="E37" s="69" t="s">
        <v>167</v>
      </c>
      <c r="F37" s="69" t="s">
        <v>166</v>
      </c>
      <c r="G37" s="69"/>
      <c r="H37" s="69"/>
      <c r="I37" s="69" t="s">
        <v>103</v>
      </c>
      <c r="J37" s="273"/>
      <c r="K37" s="69" t="s">
        <v>275</v>
      </c>
      <c r="L37" s="69"/>
      <c r="M37" s="69" t="s">
        <v>169</v>
      </c>
      <c r="N37" s="69"/>
      <c r="O37" s="69" t="s">
        <v>275</v>
      </c>
      <c r="P37" s="69" t="s">
        <v>30</v>
      </c>
      <c r="Q37" s="273" t="s">
        <v>101</v>
      </c>
      <c r="R37" s="69" t="s">
        <v>166</v>
      </c>
      <c r="S37" s="69" t="s">
        <v>167</v>
      </c>
      <c r="T37" s="69" t="s">
        <v>275</v>
      </c>
      <c r="U37" s="69"/>
      <c r="V37" s="69"/>
      <c r="W37" s="69" t="s">
        <v>175</v>
      </c>
      <c r="X37" s="273"/>
      <c r="Y37" s="69"/>
      <c r="Z37" s="69" t="s">
        <v>167</v>
      </c>
      <c r="AA37" s="69" t="s">
        <v>169</v>
      </c>
      <c r="AB37" s="69"/>
      <c r="AC37" s="69" t="s">
        <v>166</v>
      </c>
      <c r="AD37" s="273" t="s">
        <v>101</v>
      </c>
      <c r="AE37" s="273" t="s">
        <v>101</v>
      </c>
      <c r="AF37" s="69"/>
      <c r="AG37" s="69" t="s">
        <v>117</v>
      </c>
      <c r="AH37" s="69" t="s">
        <v>169</v>
      </c>
      <c r="AI37" s="69" t="s">
        <v>167</v>
      </c>
      <c r="AJ37" s="69" t="s">
        <v>166</v>
      </c>
      <c r="AK37" s="69" t="s">
        <v>30</v>
      </c>
      <c r="AL37" s="64" t="str">
        <f t="shared" si="0"/>
        <v>仲野</v>
      </c>
      <c r="AM37" s="4"/>
    </row>
    <row r="38" spans="1:39" ht="16.5" customHeight="1" x14ac:dyDescent="0.2">
      <c r="A38" s="3">
        <v>29</v>
      </c>
      <c r="B38" s="60" t="s">
        <v>170</v>
      </c>
      <c r="C38" s="56" t="s">
        <v>178</v>
      </c>
      <c r="D38" s="72" t="s">
        <v>167</v>
      </c>
      <c r="E38" s="69" t="s">
        <v>168</v>
      </c>
      <c r="F38" s="69"/>
      <c r="G38" s="69" t="s">
        <v>160</v>
      </c>
      <c r="H38" s="69" t="s">
        <v>170</v>
      </c>
      <c r="I38" s="69" t="s">
        <v>103</v>
      </c>
      <c r="J38" s="273"/>
      <c r="K38" s="69"/>
      <c r="L38" s="69"/>
      <c r="M38" s="69" t="s">
        <v>160</v>
      </c>
      <c r="N38" s="69"/>
      <c r="O38" s="69" t="s">
        <v>168</v>
      </c>
      <c r="P38" s="69" t="s">
        <v>30</v>
      </c>
      <c r="Q38" s="273" t="s">
        <v>101</v>
      </c>
      <c r="R38" s="69" t="s">
        <v>168</v>
      </c>
      <c r="S38" s="69" t="s">
        <v>170</v>
      </c>
      <c r="T38" s="69"/>
      <c r="U38" s="69"/>
      <c r="V38" s="69" t="s">
        <v>167</v>
      </c>
      <c r="W38" s="69" t="s">
        <v>175</v>
      </c>
      <c r="X38" s="273"/>
      <c r="Y38" s="69" t="s">
        <v>160</v>
      </c>
      <c r="Z38" s="69"/>
      <c r="AA38" s="69" t="s">
        <v>170</v>
      </c>
      <c r="AB38" s="69" t="s">
        <v>167</v>
      </c>
      <c r="AC38" s="69"/>
      <c r="AD38" s="273" t="s">
        <v>101</v>
      </c>
      <c r="AE38" s="273" t="s">
        <v>101</v>
      </c>
      <c r="AF38" s="69" t="s">
        <v>160</v>
      </c>
      <c r="AG38" s="69" t="s">
        <v>170</v>
      </c>
      <c r="AH38" s="69" t="s">
        <v>167</v>
      </c>
      <c r="AI38" s="69"/>
      <c r="AJ38" s="69" t="s">
        <v>168</v>
      </c>
      <c r="AK38" s="69" t="s">
        <v>30</v>
      </c>
      <c r="AL38" s="64" t="str">
        <f t="shared" si="0"/>
        <v>朝日</v>
      </c>
      <c r="AM38" s="4"/>
    </row>
    <row r="39" spans="1:39" ht="16.5" customHeight="1" x14ac:dyDescent="0.2">
      <c r="A39" s="3">
        <v>30</v>
      </c>
      <c r="B39" s="59"/>
      <c r="C39" s="56" t="s">
        <v>174</v>
      </c>
      <c r="D39" s="72" t="s">
        <v>275</v>
      </c>
      <c r="E39" s="69"/>
      <c r="F39" s="69" t="s">
        <v>231</v>
      </c>
      <c r="G39" s="69" t="s">
        <v>166</v>
      </c>
      <c r="H39" s="69"/>
      <c r="I39" s="69" t="s">
        <v>103</v>
      </c>
      <c r="J39" s="273"/>
      <c r="K39" s="69" t="s">
        <v>166</v>
      </c>
      <c r="L39" s="69" t="s">
        <v>169</v>
      </c>
      <c r="M39" s="69"/>
      <c r="N39" s="69" t="s">
        <v>117</v>
      </c>
      <c r="O39" s="69"/>
      <c r="P39" s="69" t="s">
        <v>30</v>
      </c>
      <c r="Q39" s="273" t="s">
        <v>101</v>
      </c>
      <c r="R39" s="69"/>
      <c r="S39" s="69"/>
      <c r="T39" s="69" t="s">
        <v>169</v>
      </c>
      <c r="U39" s="69" t="s">
        <v>166</v>
      </c>
      <c r="V39" s="69"/>
      <c r="W39" s="69"/>
      <c r="X39" s="273"/>
      <c r="Y39" s="69" t="s">
        <v>169</v>
      </c>
      <c r="Z39" s="69" t="s">
        <v>166</v>
      </c>
      <c r="AA39" s="69" t="s">
        <v>275</v>
      </c>
      <c r="AB39" s="69"/>
      <c r="AC39" s="69"/>
      <c r="AD39" s="273" t="s">
        <v>101</v>
      </c>
      <c r="AE39" s="273" t="s">
        <v>101</v>
      </c>
      <c r="AF39" s="69" t="s">
        <v>169</v>
      </c>
      <c r="AG39" s="69"/>
      <c r="AH39" s="69" t="s">
        <v>117</v>
      </c>
      <c r="AI39" s="69"/>
      <c r="AJ39" s="69" t="s">
        <v>275</v>
      </c>
      <c r="AK39" s="69" t="s">
        <v>30</v>
      </c>
      <c r="AL39" s="64" t="str">
        <f t="shared" si="0"/>
        <v>松田</v>
      </c>
      <c r="AM39" s="4"/>
    </row>
    <row r="40" spans="1:39" ht="16.5" customHeight="1" x14ac:dyDescent="0.2">
      <c r="A40" s="3">
        <v>31</v>
      </c>
      <c r="B40" s="60"/>
      <c r="C40" s="56" t="s">
        <v>254</v>
      </c>
      <c r="D40" s="72" t="s">
        <v>170</v>
      </c>
      <c r="E40" s="69"/>
      <c r="F40" s="69" t="s">
        <v>275</v>
      </c>
      <c r="G40" s="69" t="s">
        <v>168</v>
      </c>
      <c r="H40" s="69"/>
      <c r="I40" s="69" t="s">
        <v>103</v>
      </c>
      <c r="J40" s="282"/>
      <c r="K40" s="69"/>
      <c r="L40" s="69" t="s">
        <v>275</v>
      </c>
      <c r="M40" s="69" t="s">
        <v>170</v>
      </c>
      <c r="N40" s="69" t="s">
        <v>275</v>
      </c>
      <c r="O40" s="69"/>
      <c r="P40" s="69" t="s">
        <v>30</v>
      </c>
      <c r="Q40" s="282" t="s">
        <v>101</v>
      </c>
      <c r="R40" s="69"/>
      <c r="S40" s="69" t="s">
        <v>168</v>
      </c>
      <c r="T40" s="69" t="s">
        <v>170</v>
      </c>
      <c r="U40" s="69" t="s">
        <v>275</v>
      </c>
      <c r="V40" s="69"/>
      <c r="W40" s="69"/>
      <c r="X40" s="282"/>
      <c r="Y40" s="69" t="s">
        <v>170</v>
      </c>
      <c r="Z40" s="69" t="s">
        <v>168</v>
      </c>
      <c r="AA40" s="69"/>
      <c r="AB40" s="69" t="s">
        <v>163</v>
      </c>
      <c r="AC40" s="69" t="s">
        <v>149</v>
      </c>
      <c r="AD40" s="283" t="s">
        <v>101</v>
      </c>
      <c r="AE40" s="73" t="s">
        <v>101</v>
      </c>
      <c r="AF40" s="69" t="s">
        <v>168</v>
      </c>
      <c r="AG40" s="69"/>
      <c r="AH40" s="69" t="s">
        <v>161</v>
      </c>
      <c r="AI40" s="69" t="s">
        <v>160</v>
      </c>
      <c r="AJ40" s="69" t="s">
        <v>148</v>
      </c>
      <c r="AK40" s="69" t="s">
        <v>30</v>
      </c>
      <c r="AL40" s="64" t="str">
        <f t="shared" si="0"/>
        <v>長谷川俊</v>
      </c>
      <c r="AM40" s="4"/>
    </row>
    <row r="41" spans="1:39" ht="16.5" customHeight="1" x14ac:dyDescent="0.2">
      <c r="A41" s="3">
        <v>32</v>
      </c>
      <c r="B41" s="60"/>
      <c r="C41" s="56" t="s">
        <v>199</v>
      </c>
      <c r="D41" s="72" t="s">
        <v>230</v>
      </c>
      <c r="E41" s="69"/>
      <c r="F41" s="69" t="s">
        <v>117</v>
      </c>
      <c r="G41" s="69" t="s">
        <v>275</v>
      </c>
      <c r="H41" s="69" t="s">
        <v>232</v>
      </c>
      <c r="I41" s="69" t="s">
        <v>103</v>
      </c>
      <c r="J41" s="282"/>
      <c r="K41" s="69" t="s">
        <v>234</v>
      </c>
      <c r="L41" s="69" t="s">
        <v>166</v>
      </c>
      <c r="M41" s="69"/>
      <c r="N41" s="69"/>
      <c r="O41" s="314" t="s">
        <v>255</v>
      </c>
      <c r="P41" s="69" t="s">
        <v>30</v>
      </c>
      <c r="Q41" s="282" t="s">
        <v>101</v>
      </c>
      <c r="R41" s="69" t="s">
        <v>230</v>
      </c>
      <c r="S41" s="69"/>
      <c r="T41" s="69" t="s">
        <v>166</v>
      </c>
      <c r="U41" s="69" t="s">
        <v>234</v>
      </c>
      <c r="V41" s="69" t="s">
        <v>275</v>
      </c>
      <c r="W41" s="69"/>
      <c r="X41" s="282"/>
      <c r="Y41" s="69" t="s">
        <v>232</v>
      </c>
      <c r="Z41" s="69" t="s">
        <v>234</v>
      </c>
      <c r="AA41" s="69"/>
      <c r="AB41" s="69" t="s">
        <v>230</v>
      </c>
      <c r="AC41" s="69"/>
      <c r="AD41" s="283" t="s">
        <v>101</v>
      </c>
      <c r="AE41" s="73" t="s">
        <v>101</v>
      </c>
      <c r="AF41" s="69" t="s">
        <v>166</v>
      </c>
      <c r="AG41" s="69" t="s">
        <v>232</v>
      </c>
      <c r="AH41" s="69"/>
      <c r="AI41" s="69"/>
      <c r="AJ41" s="69" t="s">
        <v>117</v>
      </c>
      <c r="AK41" s="69" t="s">
        <v>30</v>
      </c>
      <c r="AL41" s="64" t="str">
        <f t="shared" si="0"/>
        <v>山田</v>
      </c>
      <c r="AM41" s="4"/>
    </row>
    <row r="42" spans="1:39" ht="16.5" customHeight="1" x14ac:dyDescent="0.2">
      <c r="A42" s="3">
        <v>33</v>
      </c>
      <c r="B42" s="60"/>
      <c r="C42" s="56"/>
      <c r="D42" s="72"/>
      <c r="E42" s="69"/>
      <c r="F42" s="69"/>
      <c r="G42" s="69"/>
      <c r="H42" s="69"/>
      <c r="I42" s="69"/>
      <c r="J42" s="282"/>
      <c r="K42" s="69"/>
      <c r="L42" s="69"/>
      <c r="M42" s="69"/>
      <c r="N42" s="69"/>
      <c r="O42" s="69"/>
      <c r="P42" s="69"/>
      <c r="Q42" s="282" t="s">
        <v>101</v>
      </c>
      <c r="R42" s="69"/>
      <c r="S42" s="69"/>
      <c r="T42" s="69"/>
      <c r="U42" s="69"/>
      <c r="V42" s="69"/>
      <c r="W42" s="69"/>
      <c r="X42" s="282"/>
      <c r="Y42" s="69"/>
      <c r="Z42" s="69"/>
      <c r="AA42" s="69"/>
      <c r="AB42" s="69"/>
      <c r="AC42" s="69"/>
      <c r="AD42" s="283" t="s">
        <v>101</v>
      </c>
      <c r="AE42" s="73" t="s">
        <v>101</v>
      </c>
      <c r="AF42" s="69"/>
      <c r="AG42" s="292"/>
      <c r="AH42" s="69"/>
      <c r="AI42" s="69"/>
      <c r="AJ42" s="69"/>
      <c r="AK42" s="69"/>
      <c r="AL42" s="64" t="str">
        <f t="shared" si="0"/>
        <v/>
      </c>
      <c r="AM42" s="4"/>
    </row>
    <row r="43" spans="1:39" ht="16.5" hidden="1" customHeight="1" x14ac:dyDescent="0.2">
      <c r="A43" s="3">
        <v>34</v>
      </c>
      <c r="B43" s="60"/>
      <c r="C43" s="56"/>
      <c r="D43" s="72" t="s">
        <v>101</v>
      </c>
      <c r="E43" s="69"/>
      <c r="F43" s="69"/>
      <c r="G43" s="69"/>
      <c r="H43" s="69"/>
      <c r="I43" s="69"/>
      <c r="J43" s="282"/>
      <c r="K43" s="69"/>
      <c r="L43" s="69"/>
      <c r="M43" s="69"/>
      <c r="N43" s="69"/>
      <c r="O43" s="69"/>
      <c r="P43" s="69"/>
      <c r="Q43" s="282" t="s">
        <v>101</v>
      </c>
      <c r="R43" s="69"/>
      <c r="S43" s="69"/>
      <c r="T43" s="69"/>
      <c r="U43" s="69"/>
      <c r="V43" s="69"/>
      <c r="W43" s="69"/>
      <c r="X43" s="282"/>
      <c r="Y43" s="69"/>
      <c r="Z43" s="69"/>
      <c r="AA43" s="69"/>
      <c r="AB43" s="69"/>
      <c r="AC43" s="69"/>
      <c r="AD43" s="283" t="s">
        <v>101</v>
      </c>
      <c r="AE43" s="73" t="s">
        <v>101</v>
      </c>
      <c r="AF43" s="69"/>
      <c r="AG43" s="69"/>
      <c r="AH43" s="69"/>
      <c r="AI43" s="69"/>
      <c r="AJ43" s="69"/>
      <c r="AK43" s="69"/>
      <c r="AL43" s="64" t="str">
        <f t="shared" si="0"/>
        <v/>
      </c>
      <c r="AM43" s="4"/>
    </row>
    <row r="44" spans="1:39" ht="15.9" customHeight="1" x14ac:dyDescent="0.2">
      <c r="A44" s="3">
        <v>35</v>
      </c>
      <c r="B44" s="60"/>
      <c r="C44" s="56" t="s">
        <v>185</v>
      </c>
      <c r="D44" s="72" t="s">
        <v>101</v>
      </c>
      <c r="E44" s="69"/>
      <c r="F44" s="69"/>
      <c r="G44" s="69"/>
      <c r="H44" s="69"/>
      <c r="I44" s="69"/>
      <c r="J44" s="282"/>
      <c r="K44" s="69"/>
      <c r="L44" s="69"/>
      <c r="M44" s="69"/>
      <c r="N44" s="69"/>
      <c r="O44" s="69"/>
      <c r="P44" s="69"/>
      <c r="Q44" s="282" t="s">
        <v>101</v>
      </c>
      <c r="R44" s="69"/>
      <c r="S44" s="69"/>
      <c r="T44" s="69"/>
      <c r="U44" s="69"/>
      <c r="V44" s="69"/>
      <c r="W44" s="69"/>
      <c r="X44" s="282"/>
      <c r="Y44" s="69" t="s">
        <v>155</v>
      </c>
      <c r="Z44" s="69" t="s">
        <v>153</v>
      </c>
      <c r="AA44" s="69" t="s">
        <v>159</v>
      </c>
      <c r="AB44" s="69" t="s">
        <v>163</v>
      </c>
      <c r="AC44" s="69" t="s">
        <v>149</v>
      </c>
      <c r="AD44" s="283"/>
      <c r="AE44" s="73"/>
      <c r="AF44" s="69"/>
      <c r="AG44" s="69" t="s">
        <v>117</v>
      </c>
      <c r="AH44" s="69" t="s">
        <v>161</v>
      </c>
      <c r="AI44" s="69" t="s">
        <v>160</v>
      </c>
      <c r="AJ44" s="69" t="s">
        <v>148</v>
      </c>
      <c r="AK44" s="69"/>
      <c r="AL44" s="64" t="str">
        <f t="shared" si="0"/>
        <v>AET１</v>
      </c>
      <c r="AM44" s="4"/>
    </row>
    <row r="45" spans="1:39" ht="15.9" customHeight="1" x14ac:dyDescent="0.2">
      <c r="A45" s="3">
        <v>36</v>
      </c>
      <c r="B45" s="60"/>
      <c r="C45" s="56" t="s">
        <v>186</v>
      </c>
      <c r="D45" s="72" t="s">
        <v>102</v>
      </c>
      <c r="E45" s="69"/>
      <c r="F45" s="69"/>
      <c r="G45" s="69"/>
      <c r="H45" s="69"/>
      <c r="I45" s="69"/>
      <c r="J45" s="282"/>
      <c r="K45" s="69"/>
      <c r="L45" s="69"/>
      <c r="M45" s="69"/>
      <c r="N45" s="69"/>
      <c r="O45" s="69"/>
      <c r="P45" s="69" t="s">
        <v>101</v>
      </c>
      <c r="Q45" s="282" t="s">
        <v>101</v>
      </c>
      <c r="R45" s="69"/>
      <c r="S45" s="69"/>
      <c r="T45" s="69"/>
      <c r="U45" s="69"/>
      <c r="V45" s="69"/>
      <c r="W45" s="69"/>
      <c r="X45" s="282"/>
      <c r="Y45" s="69" t="s">
        <v>170</v>
      </c>
      <c r="Z45" s="69" t="s">
        <v>147</v>
      </c>
      <c r="AA45" s="69" t="s">
        <v>152</v>
      </c>
      <c r="AB45" s="69" t="s">
        <v>158</v>
      </c>
      <c r="AC45" s="69" t="s">
        <v>117</v>
      </c>
      <c r="AD45" s="283" t="s">
        <v>101</v>
      </c>
      <c r="AE45" s="73" t="s">
        <v>101</v>
      </c>
      <c r="AF45" s="69" t="s">
        <v>168</v>
      </c>
      <c r="AG45" s="69"/>
      <c r="AH45" s="69" t="s">
        <v>169</v>
      </c>
      <c r="AI45" s="69" t="s">
        <v>167</v>
      </c>
      <c r="AJ45" s="69" t="s">
        <v>166</v>
      </c>
      <c r="AK45" s="69"/>
      <c r="AL45" s="64" t="str">
        <f t="shared" si="0"/>
        <v>AET２</v>
      </c>
      <c r="AM45" s="4"/>
    </row>
    <row r="46" spans="1:39" ht="9.9" customHeight="1" x14ac:dyDescent="0.2">
      <c r="A46" s="3"/>
      <c r="B46" s="61"/>
      <c r="C46" s="57"/>
      <c r="D46" s="288" t="s">
        <v>101</v>
      </c>
      <c r="E46" s="70"/>
      <c r="F46" s="70"/>
      <c r="G46" s="70"/>
      <c r="H46" s="70"/>
      <c r="I46" s="70"/>
      <c r="J46" s="273"/>
      <c r="K46" s="308"/>
      <c r="L46" s="308"/>
      <c r="M46" s="308"/>
      <c r="N46" s="308"/>
      <c r="O46" s="308"/>
      <c r="P46" s="308" t="s">
        <v>101</v>
      </c>
      <c r="Q46" s="273" t="s">
        <v>101</v>
      </c>
      <c r="R46" s="308"/>
      <c r="S46" s="308"/>
      <c r="T46" s="308"/>
      <c r="U46" s="308"/>
      <c r="V46" s="308"/>
      <c r="W46" s="308"/>
      <c r="X46" s="273"/>
      <c r="Y46" s="309"/>
      <c r="Z46" s="309"/>
      <c r="AA46" s="309"/>
      <c r="AB46" s="309"/>
      <c r="AC46" s="309" t="s">
        <v>101</v>
      </c>
      <c r="AD46" s="310" t="s">
        <v>101</v>
      </c>
      <c r="AE46" s="273" t="s">
        <v>101</v>
      </c>
      <c r="AF46" s="309"/>
      <c r="AG46" s="287"/>
      <c r="AH46" s="287"/>
      <c r="AI46" s="287"/>
      <c r="AJ46" s="287"/>
      <c r="AK46" s="290" t="s">
        <v>101</v>
      </c>
      <c r="AL46" s="65" t="str">
        <f t="shared" si="0"/>
        <v/>
      </c>
      <c r="AM46" s="4"/>
    </row>
    <row r="47" spans="1:39" ht="16.5" customHeight="1" x14ac:dyDescent="0.2">
      <c r="A47" s="3">
        <v>37</v>
      </c>
      <c r="B47" s="60" t="s">
        <v>117</v>
      </c>
      <c r="C47" s="56" t="s">
        <v>106</v>
      </c>
      <c r="D47" s="72"/>
      <c r="E47" s="69" t="s">
        <v>259</v>
      </c>
      <c r="F47" s="69" t="s">
        <v>231</v>
      </c>
      <c r="G47" s="69" t="s">
        <v>265</v>
      </c>
      <c r="H47" s="69" t="s">
        <v>269</v>
      </c>
      <c r="I47" s="69" t="s">
        <v>103</v>
      </c>
      <c r="J47" s="71"/>
      <c r="K47" s="69" t="s">
        <v>262</v>
      </c>
      <c r="L47" s="69" t="s">
        <v>263</v>
      </c>
      <c r="M47" s="69" t="s">
        <v>261</v>
      </c>
      <c r="N47" s="69" t="s">
        <v>264</v>
      </c>
      <c r="O47" s="69"/>
      <c r="P47" s="69" t="s">
        <v>30</v>
      </c>
      <c r="Q47" s="71"/>
      <c r="R47" s="69"/>
      <c r="S47" s="69" t="s">
        <v>267</v>
      </c>
      <c r="T47" s="69" t="s">
        <v>267</v>
      </c>
      <c r="U47" s="69" t="s">
        <v>269</v>
      </c>
      <c r="V47" s="69" t="s">
        <v>268</v>
      </c>
      <c r="W47" s="69" t="s">
        <v>176</v>
      </c>
      <c r="X47" s="73"/>
      <c r="Y47" s="69" t="s">
        <v>263</v>
      </c>
      <c r="Z47" s="69"/>
      <c r="AA47" s="69" t="s">
        <v>265</v>
      </c>
      <c r="AB47" s="69" t="s">
        <v>268</v>
      </c>
      <c r="AC47" s="69" t="s">
        <v>266</v>
      </c>
      <c r="AD47" s="273"/>
      <c r="AE47" s="282"/>
      <c r="AF47" s="69" t="s">
        <v>261</v>
      </c>
      <c r="AG47" s="69" t="s">
        <v>266</v>
      </c>
      <c r="AH47" s="69" t="s">
        <v>264</v>
      </c>
      <c r="AI47" s="69" t="s">
        <v>269</v>
      </c>
      <c r="AJ47" s="69"/>
      <c r="AK47" s="289" t="s">
        <v>30</v>
      </c>
      <c r="AL47" s="64" t="str">
        <f t="shared" si="0"/>
        <v>松村</v>
      </c>
      <c r="AM47" s="4"/>
    </row>
    <row r="48" spans="1:39" ht="16.5" customHeight="1" x14ac:dyDescent="0.2">
      <c r="A48" s="3">
        <v>38</v>
      </c>
      <c r="B48" s="60" t="s">
        <v>117</v>
      </c>
      <c r="C48" s="56" t="s">
        <v>116</v>
      </c>
      <c r="D48" s="72" t="s">
        <v>258</v>
      </c>
      <c r="E48" s="69"/>
      <c r="F48" s="69" t="s">
        <v>260</v>
      </c>
      <c r="G48" s="69" t="s">
        <v>265</v>
      </c>
      <c r="H48" s="69"/>
      <c r="I48" s="69" t="s">
        <v>103</v>
      </c>
      <c r="J48" s="71"/>
      <c r="K48" s="69" t="s">
        <v>262</v>
      </c>
      <c r="L48" s="69" t="s">
        <v>263</v>
      </c>
      <c r="M48" s="69"/>
      <c r="N48" s="69" t="s">
        <v>264</v>
      </c>
      <c r="O48" s="69" t="s">
        <v>269</v>
      </c>
      <c r="P48" s="69" t="s">
        <v>30</v>
      </c>
      <c r="Q48" s="71"/>
      <c r="R48" s="69" t="s">
        <v>262</v>
      </c>
      <c r="S48" s="69" t="s">
        <v>267</v>
      </c>
      <c r="T48" s="69" t="s">
        <v>267</v>
      </c>
      <c r="U48" s="69"/>
      <c r="V48" s="69" t="s">
        <v>268</v>
      </c>
      <c r="W48" s="69" t="s">
        <v>176</v>
      </c>
      <c r="X48" s="73"/>
      <c r="Y48" s="69" t="s">
        <v>263</v>
      </c>
      <c r="Z48" s="69" t="s">
        <v>260</v>
      </c>
      <c r="AA48" s="69" t="s">
        <v>265</v>
      </c>
      <c r="AB48" s="69" t="s">
        <v>268</v>
      </c>
      <c r="AC48" s="69"/>
      <c r="AD48" s="273"/>
      <c r="AE48" s="282"/>
      <c r="AF48" s="69" t="s">
        <v>261</v>
      </c>
      <c r="AG48" s="69"/>
      <c r="AH48" s="69" t="s">
        <v>264</v>
      </c>
      <c r="AI48" s="69" t="s">
        <v>269</v>
      </c>
      <c r="AJ48" s="69" t="s">
        <v>260</v>
      </c>
      <c r="AK48" s="289" t="s">
        <v>30</v>
      </c>
      <c r="AL48" s="64" t="str">
        <f t="shared" si="0"/>
        <v>春日井</v>
      </c>
      <c r="AM48" s="4"/>
    </row>
    <row r="49" spans="1:39" ht="16.5" customHeight="1" x14ac:dyDescent="0.2">
      <c r="A49" s="3">
        <v>39</v>
      </c>
      <c r="B49" s="60" t="s">
        <v>117</v>
      </c>
      <c r="C49" s="56" t="s">
        <v>223</v>
      </c>
      <c r="D49" s="72" t="s">
        <v>258</v>
      </c>
      <c r="E49" s="69" t="s">
        <v>259</v>
      </c>
      <c r="F49" s="69" t="s">
        <v>260</v>
      </c>
      <c r="G49" s="69"/>
      <c r="H49" s="69" t="s">
        <v>269</v>
      </c>
      <c r="I49" s="69" t="s">
        <v>103</v>
      </c>
      <c r="J49" s="71"/>
      <c r="K49" s="69" t="s">
        <v>262</v>
      </c>
      <c r="L49" s="69" t="s">
        <v>263</v>
      </c>
      <c r="M49" s="69" t="s">
        <v>261</v>
      </c>
      <c r="N49" s="69"/>
      <c r="O49" s="69" t="s">
        <v>269</v>
      </c>
      <c r="P49" s="69" t="s">
        <v>30</v>
      </c>
      <c r="Q49" s="71"/>
      <c r="R49" s="69" t="s">
        <v>262</v>
      </c>
      <c r="S49" s="69" t="s">
        <v>267</v>
      </c>
      <c r="T49" s="69" t="s">
        <v>267</v>
      </c>
      <c r="U49" s="69" t="s">
        <v>269</v>
      </c>
      <c r="V49" s="69"/>
      <c r="W49" s="69" t="s">
        <v>176</v>
      </c>
      <c r="X49" s="73"/>
      <c r="Y49" s="69" t="s">
        <v>263</v>
      </c>
      <c r="Z49" s="69" t="s">
        <v>260</v>
      </c>
      <c r="AA49" s="69" t="s">
        <v>235</v>
      </c>
      <c r="AB49" s="69" t="s">
        <v>268</v>
      </c>
      <c r="AC49" s="69" t="s">
        <v>266</v>
      </c>
      <c r="AD49" s="273"/>
      <c r="AE49" s="282"/>
      <c r="AF49" s="69" t="s">
        <v>261</v>
      </c>
      <c r="AG49" s="69"/>
      <c r="AH49" s="69"/>
      <c r="AI49" s="69"/>
      <c r="AJ49" s="69" t="s">
        <v>260</v>
      </c>
      <c r="AK49" s="289" t="s">
        <v>30</v>
      </c>
      <c r="AL49" s="64" t="str">
        <f t="shared" si="0"/>
        <v>野々村</v>
      </c>
      <c r="AM49" s="4"/>
    </row>
    <row r="50" spans="1:39" ht="16.5" customHeight="1" thickBot="1" x14ac:dyDescent="0.25">
      <c r="A50" s="3">
        <v>40</v>
      </c>
      <c r="B50" s="62"/>
      <c r="C50" s="58"/>
      <c r="D50" s="74"/>
      <c r="E50" s="75"/>
      <c r="F50" s="75"/>
      <c r="G50" s="75"/>
      <c r="H50" s="75"/>
      <c r="I50" s="75"/>
      <c r="J50" s="76"/>
      <c r="K50" s="75"/>
      <c r="L50" s="75"/>
      <c r="M50" s="75"/>
      <c r="N50" s="75"/>
      <c r="O50" s="75"/>
      <c r="P50" s="75"/>
      <c r="Q50" s="76"/>
      <c r="R50" s="75"/>
      <c r="S50" s="75"/>
      <c r="T50" s="75"/>
      <c r="U50" s="75"/>
      <c r="V50" s="75"/>
      <c r="W50" s="75"/>
      <c r="X50" s="281"/>
      <c r="Y50" s="75"/>
      <c r="Z50" s="75"/>
      <c r="AA50" s="75"/>
      <c r="AB50" s="75"/>
      <c r="AC50" s="75"/>
      <c r="AD50" s="75"/>
      <c r="AE50" s="284"/>
      <c r="AF50" s="75"/>
      <c r="AG50" s="75"/>
      <c r="AH50" s="75"/>
      <c r="AI50" s="75"/>
      <c r="AJ50" s="75"/>
      <c r="AK50" s="291"/>
      <c r="AL50" s="66" t="str">
        <f t="shared" si="0"/>
        <v/>
      </c>
      <c r="AM50" s="4"/>
    </row>
    <row r="51" spans="1:39" ht="15" customHeight="1" x14ac:dyDescent="0.2">
      <c r="A51" s="3"/>
      <c r="B51" s="51" t="s">
        <v>187</v>
      </c>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D51" s="15"/>
      <c r="AE51" s="15"/>
      <c r="AF51" s="15"/>
      <c r="AG51" s="15"/>
      <c r="AH51" s="15"/>
      <c r="AI51" s="15"/>
      <c r="AJ51" s="15"/>
      <c r="AK51" s="15"/>
      <c r="AL51" s="15"/>
      <c r="AM51" s="4"/>
    </row>
    <row r="52" spans="1:39" x14ac:dyDescent="0.2">
      <c r="A52" s="3"/>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31"/>
      <c r="AD52" s="5"/>
      <c r="AE52" s="5"/>
      <c r="AF52" s="5"/>
      <c r="AG52" s="5"/>
      <c r="AH52" s="5"/>
      <c r="AI52" s="5"/>
      <c r="AJ52" s="5"/>
      <c r="AK52" s="5"/>
      <c r="AL52" s="5"/>
      <c r="AM52" s="4"/>
    </row>
    <row r="53" spans="1:39" x14ac:dyDescent="0.2">
      <c r="A53" s="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31"/>
      <c r="AD53" s="5"/>
      <c r="AE53" s="5"/>
      <c r="AF53" s="5"/>
      <c r="AG53" s="5"/>
      <c r="AH53" s="5"/>
      <c r="AI53" s="5"/>
      <c r="AJ53" s="5"/>
      <c r="AK53" s="5"/>
      <c r="AL53" s="5"/>
      <c r="AM53" s="4"/>
    </row>
    <row r="54" spans="1:39" x14ac:dyDescent="0.2">
      <c r="A54" s="2"/>
    </row>
    <row r="55" spans="1:39" x14ac:dyDescent="0.2">
      <c r="D55" s="1" t="s">
        <v>107</v>
      </c>
      <c r="E55" s="1" t="s">
        <v>121</v>
      </c>
      <c r="G55" s="1" t="s">
        <v>122</v>
      </c>
      <c r="Z55" s="1" t="s">
        <v>125</v>
      </c>
      <c r="AA55" s="1" t="s">
        <v>126</v>
      </c>
      <c r="AB55" s="1" t="s">
        <v>127</v>
      </c>
      <c r="AC55" s="33" t="s">
        <v>104</v>
      </c>
    </row>
    <row r="56" spans="1:39" x14ac:dyDescent="0.2">
      <c r="E56" s="1" t="s">
        <v>123</v>
      </c>
      <c r="G56" s="1" t="s">
        <v>124</v>
      </c>
      <c r="Z56" s="1" t="s">
        <v>128</v>
      </c>
      <c r="AA56" s="1" t="s">
        <v>129</v>
      </c>
      <c r="AB56" s="1" t="s">
        <v>130</v>
      </c>
      <c r="AC56" s="33" t="s">
        <v>31</v>
      </c>
    </row>
    <row r="57" spans="1:39" x14ac:dyDescent="0.2">
      <c r="E57" s="1" t="s">
        <v>108</v>
      </c>
      <c r="G57" s="1" t="s">
        <v>107</v>
      </c>
      <c r="H57" s="1" t="s">
        <v>107</v>
      </c>
      <c r="Y57" s="1" t="s">
        <v>131</v>
      </c>
      <c r="AA57" s="1" t="s">
        <v>132</v>
      </c>
      <c r="AC57" s="33" t="s">
        <v>104</v>
      </c>
    </row>
  </sheetData>
  <mergeCells count="9">
    <mergeCell ref="AD3:AF3"/>
    <mergeCell ref="K4:L4"/>
    <mergeCell ref="B5:B6"/>
    <mergeCell ref="C5:C6"/>
    <mergeCell ref="D5:I5"/>
    <mergeCell ref="K5:P5"/>
    <mergeCell ref="R5:W5"/>
    <mergeCell ref="Y5:AD5"/>
    <mergeCell ref="AF5:AK5"/>
  </mergeCells>
  <phoneticPr fontId="7"/>
  <conditionalFormatting sqref="A9:C19">
    <cfRule type="cellIs" dxfId="247" priority="79" operator="equal">
      <formula>"さくら"</formula>
    </cfRule>
  </conditionalFormatting>
  <conditionalFormatting sqref="A8:L8">
    <cfRule type="cellIs" dxfId="246" priority="103" operator="equal">
      <formula>"さくら"</formula>
    </cfRule>
  </conditionalFormatting>
  <conditionalFormatting sqref="A7:XFD7">
    <cfRule type="cellIs" dxfId="245" priority="108" operator="equal">
      <formula>"さくら"</formula>
    </cfRule>
  </conditionalFormatting>
  <conditionalFormatting sqref="B21:I32">
    <cfRule type="cellIs" dxfId="244" priority="85" operator="between">
      <formula>"1A"</formula>
      <formula>"1Z"</formula>
    </cfRule>
    <cfRule type="cellIs" dxfId="243" priority="84" operator="between">
      <formula>"2A"</formula>
      <formula>"2Z"</formula>
    </cfRule>
    <cfRule type="cellIs" dxfId="242" priority="83" operator="between">
      <formula>"3A"</formula>
      <formula>"3Z"</formula>
    </cfRule>
  </conditionalFormatting>
  <conditionalFormatting sqref="B7:AE7 AG7 AI7:AL7 B8:K8 O8:R8 U8:X8 AA8:AL8 B20:AL20 J21:J32 B9:C19 B47:Y48 AA47:AG48 AI47:AL48 B49:AL50 B5:AL6">
    <cfRule type="cellIs" dxfId="241" priority="122" operator="between">
      <formula>"3A"</formula>
      <formula>"3Z"</formula>
    </cfRule>
  </conditionalFormatting>
  <conditionalFormatting sqref="B7:AK50">
    <cfRule type="containsText" dxfId="240" priority="1" operator="containsText" text="待機">
      <formula>NOT(ISERROR(SEARCH("待機",B7)))</formula>
    </cfRule>
    <cfRule type="cellIs" dxfId="239" priority="2" operator="equal">
      <formula>"IJ"</formula>
    </cfRule>
    <cfRule type="cellIs" dxfId="238" priority="3" operator="equal">
      <formula>"さくら"</formula>
    </cfRule>
    <cfRule type="cellIs" dxfId="237" priority="4" operator="between">
      <formula>"3A"</formula>
      <formula>"3Z"</formula>
    </cfRule>
    <cfRule type="cellIs" dxfId="236" priority="5" operator="between">
      <formula>"2A"</formula>
      <formula>"2Z"</formula>
    </cfRule>
    <cfRule type="cellIs" dxfId="235" priority="6" operator="between">
      <formula>"1A"</formula>
      <formula>"1Z"</formula>
    </cfRule>
  </conditionalFormatting>
  <conditionalFormatting sqref="B5:AL6 B7:AE7 AG7 AI7:AL7 B8:K8 O8:R8 U8:X8 AA8:AL8 B9:C19 B20:AL20 J21:J32 B47:Y48 AA47:AG48 AI47:AL48 B49:AL50 AL9:AL19">
    <cfRule type="cellIs" dxfId="234" priority="123" operator="between">
      <formula>"2A"</formula>
      <formula>"2Z"</formula>
    </cfRule>
  </conditionalFormatting>
  <conditionalFormatting sqref="B5:AL6 B7:AE7 AG7 AI7:AL7 B8:K8 O8:R8 U8:X8 AA8:AL8 B9:C19 AL9:AL19 B20:AL20 J21:J32 B47:Y48 AA47:AG48 AI47:AL48 B49:AL50">
    <cfRule type="cellIs" dxfId="233" priority="124" operator="between">
      <formula>"1A"</formula>
      <formula>"1Z"</formula>
    </cfRule>
  </conditionalFormatting>
  <conditionalFormatting sqref="B40:AL41">
    <cfRule type="cellIs" dxfId="232" priority="13" operator="between">
      <formula>"3A"</formula>
      <formula>"3Z"</formula>
    </cfRule>
    <cfRule type="cellIs" dxfId="231" priority="14" operator="between">
      <formula>"2A"</formula>
      <formula>"2Z"</formula>
    </cfRule>
    <cfRule type="cellIs" dxfId="230" priority="15" operator="between">
      <formula>"1A"</formula>
      <formula>"1Z"</formula>
    </cfRule>
  </conditionalFormatting>
  <conditionalFormatting sqref="B42:AL46">
    <cfRule type="cellIs" dxfId="229" priority="7" operator="between">
      <formula>"3A"</formula>
      <formula>"3Z"</formula>
    </cfRule>
    <cfRule type="cellIs" dxfId="228" priority="8" operator="between">
      <formula>"2A"</formula>
      <formula>"2Z"</formula>
    </cfRule>
    <cfRule type="cellIs" dxfId="227" priority="9" operator="between">
      <formula>"1A"</formula>
      <formula>"1Z"</formula>
    </cfRule>
  </conditionalFormatting>
  <conditionalFormatting sqref="D8:L8">
    <cfRule type="cellIs" dxfId="226" priority="102" operator="equal">
      <formula>"IJ"</formula>
    </cfRule>
  </conditionalFormatting>
  <conditionalFormatting sqref="D7:AK7">
    <cfRule type="cellIs" dxfId="225" priority="107" operator="equal">
      <formula>"IJ"</formula>
    </cfRule>
  </conditionalFormatting>
  <conditionalFormatting sqref="E26">
    <cfRule type="cellIs" dxfId="224" priority="76" operator="between">
      <formula>"3A"</formula>
      <formula>"3Z"</formula>
    </cfRule>
    <cfRule type="cellIs" dxfId="223" priority="77" operator="between">
      <formula>"2A"</formula>
      <formula>"2Z"</formula>
    </cfRule>
    <cfRule type="cellIs" dxfId="222" priority="78" operator="between">
      <formula>"1A"</formula>
      <formula>"1Z"</formula>
    </cfRule>
  </conditionalFormatting>
  <conditionalFormatting sqref="E35">
    <cfRule type="cellIs" dxfId="221" priority="29" operator="between">
      <formula>"2A"</formula>
      <formula>"2Z"</formula>
    </cfRule>
    <cfRule type="cellIs" dxfId="220" priority="26" operator="equal">
      <formula>"IJ"</formula>
    </cfRule>
    <cfRule type="cellIs" dxfId="219" priority="27" operator="equal">
      <formula>"さくら"</formula>
    </cfRule>
    <cfRule type="cellIs" dxfId="218" priority="28" operator="between">
      <formula>"3A"</formula>
      <formula>"3Z"</formula>
    </cfRule>
    <cfRule type="cellIs" dxfId="217" priority="30" operator="between">
      <formula>"1A"</formula>
      <formula>"1Z"</formula>
    </cfRule>
  </conditionalFormatting>
  <conditionalFormatting sqref="E9:F9 H9:AK9 E10:AK12 E13:AG13 AI13:AK13 E14:R14 T14:AK14 E15:AA15 AC15:AK15 E16:AK19">
    <cfRule type="cellIs" dxfId="216" priority="74" operator="between">
      <formula>"2A"</formula>
      <formula>"2Z"</formula>
    </cfRule>
  </conditionalFormatting>
  <conditionalFormatting sqref="E9:F9 H9:AL9 E10:AL12 E13:AG13 AI13:AL13 E14:R14 T14:AL14 E15:AA15 AC15:AL15 E16:AL19">
    <cfRule type="cellIs" dxfId="215" priority="75" operator="between">
      <formula>"3A"</formula>
      <formula>"3Z"</formula>
    </cfRule>
  </conditionalFormatting>
  <conditionalFormatting sqref="E7:AJ8 E20:AJ39">
    <cfRule type="cellIs" dxfId="214" priority="98" operator="between">
      <formula>"1A"</formula>
      <formula>"1Z"</formula>
    </cfRule>
    <cfRule type="cellIs" dxfId="213" priority="97" operator="between">
      <formula>"2A"</formula>
      <formula>"2Z"</formula>
    </cfRule>
  </conditionalFormatting>
  <conditionalFormatting sqref="E7:AJ8">
    <cfRule type="cellIs" dxfId="212" priority="94" operator="equal">
      <formula>"さくら"</formula>
    </cfRule>
    <cfRule type="cellIs" dxfId="211" priority="95" operator="equal">
      <formula>"IJ"</formula>
    </cfRule>
  </conditionalFormatting>
  <conditionalFormatting sqref="E20:AJ39 E7:AJ8">
    <cfRule type="cellIs" dxfId="210" priority="96" operator="between">
      <formula>"3A"</formula>
      <formula>"3Z"</formula>
    </cfRule>
  </conditionalFormatting>
  <conditionalFormatting sqref="E9:AK12">
    <cfRule type="cellIs" dxfId="209" priority="71" operator="between">
      <formula>"1A"</formula>
      <formula>"1Z"</formula>
    </cfRule>
  </conditionalFormatting>
  <conditionalFormatting sqref="E9:AK19">
    <cfRule type="cellIs" dxfId="208" priority="46" operator="equal">
      <formula>"IJ"</formula>
    </cfRule>
  </conditionalFormatting>
  <conditionalFormatting sqref="E13:AK13">
    <cfRule type="cellIs" dxfId="207" priority="65" operator="between">
      <formula>"1A"</formula>
      <formula>"1Z"</formula>
    </cfRule>
  </conditionalFormatting>
  <conditionalFormatting sqref="E14:AK14">
    <cfRule type="cellIs" dxfId="206" priority="59" operator="between">
      <formula>"1A"</formula>
      <formula>"1Z"</formula>
    </cfRule>
  </conditionalFormatting>
  <conditionalFormatting sqref="E15:AK19">
    <cfRule type="cellIs" dxfId="205" priority="53" operator="between">
      <formula>"1A"</formula>
      <formula>"1Z"</formula>
    </cfRule>
  </conditionalFormatting>
  <conditionalFormatting sqref="E9:XFD19">
    <cfRule type="cellIs" dxfId="204" priority="47" operator="equal">
      <formula>"さくら"</formula>
    </cfRule>
  </conditionalFormatting>
  <conditionalFormatting sqref="F21">
    <cfRule type="cellIs" dxfId="203" priority="45" operator="between">
      <formula>"1A"</formula>
      <formula>"1Z"</formula>
    </cfRule>
    <cfRule type="cellIs" dxfId="202" priority="44" operator="between">
      <formula>"2A"</formula>
      <formula>"2Z"</formula>
    </cfRule>
    <cfRule type="cellIs" dxfId="201" priority="43" operator="between">
      <formula>"3A"</formula>
      <formula>"3Z"</formula>
    </cfRule>
    <cfRule type="cellIs" dxfId="200" priority="42" operator="equal">
      <formula>"さくら"</formula>
    </cfRule>
    <cfRule type="cellIs" dxfId="199" priority="41" operator="equal">
      <formula>"IJ"</formula>
    </cfRule>
  </conditionalFormatting>
  <conditionalFormatting sqref="G9">
    <cfRule type="cellIs" dxfId="198" priority="66" operator="between">
      <formula>"3A"</formula>
      <formula>"3Z"</formula>
    </cfRule>
    <cfRule type="cellIs" dxfId="197" priority="67" operator="between">
      <formula>"2A"</formula>
      <formula>"2Z"</formula>
    </cfRule>
    <cfRule type="cellIs" dxfId="196" priority="70" operator="between">
      <formula>"2A"</formula>
      <formula>"2Z"</formula>
    </cfRule>
    <cfRule type="cellIs" dxfId="195" priority="68" operator="between">
      <formula>"1A"</formula>
      <formula>"1Z"</formula>
    </cfRule>
    <cfRule type="cellIs" dxfId="194" priority="69" operator="between">
      <formula>"3A"</formula>
      <formula>"3Z"</formula>
    </cfRule>
  </conditionalFormatting>
  <conditionalFormatting sqref="H7">
    <cfRule type="cellIs" dxfId="193" priority="121" operator="between">
      <formula>"音2A"</formula>
      <formula>"音2D"</formula>
    </cfRule>
  </conditionalFormatting>
  <conditionalFormatting sqref="K21:AL32 B33:AL39">
    <cfRule type="cellIs" dxfId="192" priority="82" operator="between">
      <formula>"1A"</formula>
      <formula>"1Z"</formula>
    </cfRule>
    <cfRule type="cellIs" dxfId="191" priority="81" operator="between">
      <formula>"2A"</formula>
      <formula>"2Z"</formula>
    </cfRule>
    <cfRule type="cellIs" dxfId="190" priority="80" operator="between">
      <formula>"3A"</formula>
      <formula>"3Z"</formula>
    </cfRule>
  </conditionalFormatting>
  <conditionalFormatting sqref="L8">
    <cfRule type="cellIs" dxfId="189" priority="104" operator="between">
      <formula>"3A"</formula>
      <formula>"3Z"</formula>
    </cfRule>
    <cfRule type="cellIs" dxfId="188" priority="106" operator="between">
      <formula>"1A"</formula>
      <formula>"1Z"</formula>
    </cfRule>
    <cfRule type="cellIs" dxfId="187" priority="105" operator="between">
      <formula>"2A"</formula>
      <formula>"2Z"</formula>
    </cfRule>
  </conditionalFormatting>
  <conditionalFormatting sqref="M26">
    <cfRule type="cellIs" dxfId="186" priority="36" operator="equal">
      <formula>"IJ"</formula>
    </cfRule>
    <cfRule type="cellIs" dxfId="185" priority="37" operator="equal">
      <formula>"さくら"</formula>
    </cfRule>
    <cfRule type="cellIs" dxfId="184" priority="40" operator="between">
      <formula>"1A"</formula>
      <formula>"1Z"</formula>
    </cfRule>
    <cfRule type="cellIs" dxfId="183" priority="39" operator="between">
      <formula>"2A"</formula>
      <formula>"2Z"</formula>
    </cfRule>
    <cfRule type="cellIs" dxfId="182" priority="38" operator="between">
      <formula>"3A"</formula>
      <formula>"3Z"</formula>
    </cfRule>
  </conditionalFormatting>
  <conditionalFormatting sqref="N8">
    <cfRule type="cellIs" dxfId="181" priority="99" operator="between">
      <formula>"3A"</formula>
      <formula>"3Z"</formula>
    </cfRule>
    <cfRule type="cellIs" dxfId="180" priority="100" operator="between">
      <formula>"2A"</formula>
      <formula>"2Z"</formula>
    </cfRule>
    <cfRule type="cellIs" dxfId="179" priority="101" operator="between">
      <formula>"1A"</formula>
      <formula>"1Z"</formula>
    </cfRule>
  </conditionalFormatting>
  <conditionalFormatting sqref="N27">
    <cfRule type="cellIs" dxfId="178" priority="33" operator="between">
      <formula>"3A"</formula>
      <formula>"3Z"</formula>
    </cfRule>
    <cfRule type="cellIs" dxfId="177" priority="34" operator="between">
      <formula>"2A"</formula>
      <formula>"2Z"</formula>
    </cfRule>
    <cfRule type="cellIs" dxfId="176" priority="35" operator="between">
      <formula>"1A"</formula>
      <formula>"1Z"</formula>
    </cfRule>
    <cfRule type="cellIs" dxfId="175" priority="31" operator="equal">
      <formula>"IJ"</formula>
    </cfRule>
    <cfRule type="cellIs" dxfId="174" priority="32" operator="equal">
      <formula>"さくら"</formula>
    </cfRule>
  </conditionalFormatting>
  <conditionalFormatting sqref="N8:AK8">
    <cfRule type="cellIs" dxfId="173" priority="72" operator="equal">
      <formula>"IJ"</formula>
    </cfRule>
  </conditionalFormatting>
  <conditionalFormatting sqref="N8:XFD8">
    <cfRule type="cellIs" dxfId="172" priority="73" operator="equal">
      <formula>"さくら"</formula>
    </cfRule>
  </conditionalFormatting>
  <conditionalFormatting sqref="S14">
    <cfRule type="cellIs" dxfId="171" priority="56" operator="between">
      <formula>"1A"</formula>
      <formula>"1Z"</formula>
    </cfRule>
    <cfRule type="cellIs" dxfId="170" priority="58" operator="between">
      <formula>"2A"</formula>
      <formula>"2Z"</formula>
    </cfRule>
    <cfRule type="cellIs" dxfId="169" priority="55" operator="between">
      <formula>"2A"</formula>
      <formula>"2Z"</formula>
    </cfRule>
    <cfRule type="cellIs" dxfId="168" priority="57" operator="between">
      <formula>"3A"</formula>
      <formula>"3Z"</formula>
    </cfRule>
    <cfRule type="cellIs" dxfId="167" priority="54" operator="between">
      <formula>"3A"</formula>
      <formula>"3Z"</formula>
    </cfRule>
  </conditionalFormatting>
  <conditionalFormatting sqref="S8:T8">
    <cfRule type="cellIs" dxfId="166" priority="120" operator="between">
      <formula>"1A"</formula>
      <formula>"1Z"</formula>
    </cfRule>
    <cfRule type="cellIs" dxfId="165" priority="119" operator="between">
      <formula>"2A"</formula>
      <formula>"2Z"</formula>
    </cfRule>
    <cfRule type="cellIs" dxfId="164" priority="118" operator="between">
      <formula>"3A"</formula>
      <formula>"3Z"</formula>
    </cfRule>
  </conditionalFormatting>
  <conditionalFormatting sqref="V39">
    <cfRule type="cellIs" dxfId="163" priority="16" operator="equal">
      <formula>"IJ"</formula>
    </cfRule>
    <cfRule type="cellIs" dxfId="162" priority="20" operator="between">
      <formula>"1A"</formula>
      <formula>"1Z"</formula>
    </cfRule>
    <cfRule type="cellIs" dxfId="161" priority="18" operator="between">
      <formula>"3A"</formula>
      <formula>"3Z"</formula>
    </cfRule>
    <cfRule type="cellIs" dxfId="160" priority="17" operator="equal">
      <formula>"さくら"</formula>
    </cfRule>
    <cfRule type="cellIs" dxfId="159" priority="19" operator="between">
      <formula>"2A"</formula>
      <formula>"2Z"</formula>
    </cfRule>
  </conditionalFormatting>
  <conditionalFormatting sqref="Y8:Z8">
    <cfRule type="cellIs" dxfId="158" priority="117" operator="between">
      <formula>"1A"</formula>
      <formula>"1Z"</formula>
    </cfRule>
    <cfRule type="cellIs" dxfId="157" priority="116" operator="between">
      <formula>"2A"</formula>
      <formula>"2Z"</formula>
    </cfRule>
    <cfRule type="cellIs" dxfId="156" priority="115" operator="between">
      <formula>"3A"</formula>
      <formula>"3Z"</formula>
    </cfRule>
  </conditionalFormatting>
  <conditionalFormatting sqref="Z47:Z48">
    <cfRule type="cellIs" dxfId="155" priority="87" operator="between">
      <formula>"3A"</formula>
      <formula>"3Z"</formula>
    </cfRule>
    <cfRule type="cellIs" dxfId="154" priority="86" operator="equal">
      <formula>"さくら"</formula>
    </cfRule>
    <cfRule type="cellIs" dxfId="153" priority="88" operator="between">
      <formula>"2A"</formula>
      <formula>"2Z"</formula>
    </cfRule>
    <cfRule type="cellIs" dxfId="152" priority="89" operator="between">
      <formula>"1A"</formula>
      <formula>"1Z"</formula>
    </cfRule>
  </conditionalFormatting>
  <conditionalFormatting sqref="AA35">
    <cfRule type="cellIs" dxfId="151" priority="23" operator="between">
      <formula>"3A"</formula>
      <formula>"3Z"</formula>
    </cfRule>
    <cfRule type="cellIs" dxfId="150" priority="22" operator="equal">
      <formula>"さくら"</formula>
    </cfRule>
    <cfRule type="cellIs" dxfId="149" priority="21" operator="equal">
      <formula>"IJ"</formula>
    </cfRule>
    <cfRule type="cellIs" dxfId="148" priority="25" operator="between">
      <formula>"1A"</formula>
      <formula>"1Z"</formula>
    </cfRule>
    <cfRule type="cellIs" dxfId="147" priority="24" operator="between">
      <formula>"2A"</formula>
      <formula>"2Z"</formula>
    </cfRule>
  </conditionalFormatting>
  <conditionalFormatting sqref="AB15">
    <cfRule type="cellIs" dxfId="146" priority="48" operator="between">
      <formula>"3A"</formula>
      <formula>"3Z"</formula>
    </cfRule>
    <cfRule type="cellIs" dxfId="145" priority="52" operator="between">
      <formula>"2A"</formula>
      <formula>"2Z"</formula>
    </cfRule>
    <cfRule type="cellIs" dxfId="144" priority="49" operator="between">
      <formula>"2A"</formula>
      <formula>"2Z"</formula>
    </cfRule>
    <cfRule type="cellIs" dxfId="143" priority="50" operator="between">
      <formula>"1A"</formula>
      <formula>"1Z"</formula>
    </cfRule>
    <cfRule type="cellIs" dxfId="142" priority="51" operator="between">
      <formula>"3A"</formula>
      <formula>"3Z"</formula>
    </cfRule>
  </conditionalFormatting>
  <conditionalFormatting sqref="AF7">
    <cfRule type="cellIs" dxfId="141" priority="113" operator="between">
      <formula>"2A"</formula>
      <formula>"2Z"</formula>
    </cfRule>
    <cfRule type="cellIs" dxfId="140" priority="114" operator="between">
      <formula>"1A"</formula>
      <formula>"1Z"</formula>
    </cfRule>
    <cfRule type="cellIs" dxfId="139" priority="112" operator="between">
      <formula>"3A"</formula>
      <formula>"3Z"</formula>
    </cfRule>
  </conditionalFormatting>
  <conditionalFormatting sqref="AG40">
    <cfRule type="cellIs" dxfId="138" priority="11" operator="between">
      <formula>"2A"</formula>
      <formula>"2Z"</formula>
    </cfRule>
    <cfRule type="cellIs" dxfId="137" priority="10" operator="between">
      <formula>"3A"</formula>
      <formula>"3Z"</formula>
    </cfRule>
    <cfRule type="cellIs" dxfId="136" priority="12" operator="between">
      <formula>"1A"</formula>
      <formula>"1Z"</formula>
    </cfRule>
  </conditionalFormatting>
  <conditionalFormatting sqref="AH7">
    <cfRule type="cellIs" dxfId="135" priority="110" operator="between">
      <formula>"2A"</formula>
      <formula>"2Z"</formula>
    </cfRule>
    <cfRule type="cellIs" dxfId="134" priority="111" operator="between">
      <formula>"1A"</formula>
      <formula>"1Z"</formula>
    </cfRule>
    <cfRule type="cellIs" dxfId="133" priority="109" operator="between">
      <formula>"3A"</formula>
      <formula>"3Z"</formula>
    </cfRule>
  </conditionalFormatting>
  <conditionalFormatting sqref="AH13">
    <cfRule type="cellIs" dxfId="132" priority="62" operator="between">
      <formula>"1A"</formula>
      <formula>"1Z"</formula>
    </cfRule>
    <cfRule type="cellIs" dxfId="131" priority="61" operator="between">
      <formula>"2A"</formula>
      <formula>"2Z"</formula>
    </cfRule>
    <cfRule type="cellIs" dxfId="130" priority="60" operator="between">
      <formula>"3A"</formula>
      <formula>"3Z"</formula>
    </cfRule>
    <cfRule type="cellIs" dxfId="129" priority="63" operator="between">
      <formula>"3A"</formula>
      <formula>"3Z"</formula>
    </cfRule>
    <cfRule type="cellIs" dxfId="128" priority="64" operator="between">
      <formula>"2A"</formula>
      <formula>"2Z"</formula>
    </cfRule>
  </conditionalFormatting>
  <conditionalFormatting sqref="AH47:AH48">
    <cfRule type="cellIs" dxfId="127" priority="93" operator="between">
      <formula>"1A"</formula>
      <formula>"1Z"</formula>
    </cfRule>
    <cfRule type="cellIs" dxfId="126" priority="92" operator="between">
      <formula>"2A"</formula>
      <formula>"2Z"</formula>
    </cfRule>
    <cfRule type="cellIs" dxfId="125" priority="91" operator="between">
      <formula>"3A"</formula>
      <formula>"3Z"</formula>
    </cfRule>
    <cfRule type="cellIs" dxfId="124" priority="90" operator="equal">
      <formula>"さくら"</formula>
    </cfRule>
  </conditionalFormatting>
  <printOptions horizontalCentered="1" verticalCentered="1"/>
  <pageMargins left="0.39370078740157483" right="0.39370078740157483" top="0.27559055118110237" bottom="0.39370078740157483" header="0.35433070866141736" footer="0.51181102362204722"/>
  <pageSetup paperSize="9" scale="75"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L31"/>
  <sheetViews>
    <sheetView topLeftCell="A3" zoomScale="78" zoomScaleNormal="80" workbookViewId="0">
      <selection activeCell="G5" sqref="G5"/>
    </sheetView>
  </sheetViews>
  <sheetFormatPr defaultRowHeight="13" x14ac:dyDescent="0.2"/>
  <cols>
    <col min="1" max="1" width="3.6328125" customWidth="1"/>
    <col min="2" max="2" width="6.6328125" customWidth="1"/>
    <col min="3" max="8" width="4.6328125" customWidth="1"/>
    <col min="9" max="9" width="1.6328125" customWidth="1"/>
    <col min="10" max="15" width="4.6328125" customWidth="1"/>
    <col min="16" max="16" width="1.6328125" customWidth="1"/>
    <col min="17" max="22" width="4.6328125" customWidth="1"/>
    <col min="23" max="23" width="1.6328125" customWidth="1"/>
    <col min="24" max="29" width="4.6328125" customWidth="1"/>
    <col min="30" max="30" width="1.6328125" customWidth="1"/>
    <col min="31" max="36" width="4.6328125" customWidth="1"/>
    <col min="37" max="37" width="6.6328125" customWidth="1"/>
  </cols>
  <sheetData>
    <row r="1" spans="1:38" x14ac:dyDescent="0.2">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spans="1:38" x14ac:dyDescent="0.2">
      <c r="A2" s="3">
        <v>1</v>
      </c>
      <c r="B2" s="3">
        <v>2</v>
      </c>
      <c r="C2" s="3">
        <v>3</v>
      </c>
      <c r="D2" s="3">
        <v>4</v>
      </c>
      <c r="E2" s="3">
        <v>5</v>
      </c>
      <c r="F2" s="3">
        <v>6</v>
      </c>
      <c r="G2" s="3">
        <v>7</v>
      </c>
      <c r="H2" s="3">
        <v>8</v>
      </c>
      <c r="I2" s="3">
        <v>9</v>
      </c>
      <c r="J2" s="3">
        <v>10</v>
      </c>
      <c r="K2" s="3">
        <v>11</v>
      </c>
      <c r="L2" s="3">
        <v>12</v>
      </c>
      <c r="M2" s="3">
        <v>13</v>
      </c>
      <c r="N2" s="3">
        <v>14</v>
      </c>
      <c r="O2" s="3">
        <v>15</v>
      </c>
      <c r="P2" s="3">
        <v>16</v>
      </c>
      <c r="Q2" s="3">
        <v>17</v>
      </c>
      <c r="R2" s="3">
        <v>18</v>
      </c>
      <c r="S2" s="3">
        <v>19</v>
      </c>
      <c r="T2" s="3">
        <v>20</v>
      </c>
      <c r="U2" s="3">
        <v>21</v>
      </c>
      <c r="V2" s="3">
        <v>22</v>
      </c>
      <c r="W2" s="3">
        <v>23</v>
      </c>
      <c r="X2" s="3">
        <v>24</v>
      </c>
      <c r="Y2" s="3">
        <v>25</v>
      </c>
      <c r="Z2" s="3">
        <v>26</v>
      </c>
      <c r="AA2" s="3">
        <v>27</v>
      </c>
      <c r="AB2" s="3">
        <v>28</v>
      </c>
      <c r="AC2" s="3">
        <v>29</v>
      </c>
      <c r="AD2" s="3">
        <v>30</v>
      </c>
      <c r="AE2" s="3">
        <v>31</v>
      </c>
      <c r="AF2" s="3">
        <v>32</v>
      </c>
      <c r="AG2" s="3">
        <v>33</v>
      </c>
      <c r="AH2" s="3">
        <v>34</v>
      </c>
      <c r="AI2" s="3">
        <v>35</v>
      </c>
      <c r="AJ2" s="3">
        <v>36</v>
      </c>
      <c r="AK2" s="3"/>
      <c r="AL2" s="4"/>
    </row>
    <row r="3" spans="1:38" ht="21" x14ac:dyDescent="0.3">
      <c r="A3" s="4"/>
      <c r="B3" s="267"/>
      <c r="C3" s="267"/>
      <c r="D3" s="267"/>
      <c r="E3" s="267"/>
      <c r="F3" s="267"/>
      <c r="G3" s="267" t="s">
        <v>280</v>
      </c>
      <c r="H3" s="267"/>
      <c r="I3" s="267"/>
      <c r="J3" s="267"/>
      <c r="K3" s="267"/>
      <c r="L3" s="267"/>
      <c r="M3" s="267"/>
      <c r="N3" s="267"/>
      <c r="O3" s="267"/>
      <c r="P3" s="267"/>
      <c r="R3" s="267"/>
      <c r="S3" s="267"/>
      <c r="T3" s="267"/>
      <c r="U3" s="267"/>
      <c r="V3" s="267"/>
      <c r="W3" s="267"/>
      <c r="X3" s="267"/>
      <c r="Y3" s="267"/>
      <c r="Z3" s="267"/>
      <c r="AA3" s="267"/>
      <c r="AB3" s="267"/>
      <c r="AC3" s="267"/>
      <c r="AD3" s="267"/>
      <c r="AE3" s="267"/>
      <c r="AF3" s="338">
        <f ca="1">TODAY()</f>
        <v>46253</v>
      </c>
      <c r="AG3" s="338"/>
      <c r="AH3" s="338"/>
      <c r="AI3" s="338"/>
      <c r="AJ3" s="338"/>
      <c r="AK3" s="267"/>
      <c r="AL3" s="4"/>
    </row>
    <row r="4" spans="1:38" ht="21" hidden="1" x14ac:dyDescent="0.3">
      <c r="A4" s="4"/>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4"/>
    </row>
    <row r="5" spans="1:38" ht="21" x14ac:dyDescent="0.3">
      <c r="A5" s="4"/>
      <c r="B5" s="16"/>
      <c r="C5" s="16"/>
      <c r="D5" s="16"/>
      <c r="E5" s="16"/>
      <c r="F5" s="16"/>
      <c r="G5" s="16"/>
      <c r="H5" s="16"/>
      <c r="I5" s="16"/>
      <c r="J5" s="28"/>
      <c r="K5" s="16"/>
      <c r="L5" s="16"/>
      <c r="O5" s="16"/>
      <c r="P5" s="16"/>
      <c r="Q5" s="16"/>
      <c r="R5" s="16"/>
      <c r="S5" s="16"/>
      <c r="T5" s="16"/>
      <c r="U5" s="108"/>
      <c r="V5" s="103"/>
      <c r="W5" s="103"/>
      <c r="X5" s="103"/>
      <c r="Y5" s="103"/>
      <c r="Z5" s="103"/>
      <c r="AA5" s="103"/>
      <c r="AB5" s="103"/>
      <c r="AC5" s="103"/>
      <c r="AD5" s="103"/>
      <c r="AE5" s="103"/>
      <c r="AF5" s="103"/>
      <c r="AG5" s="103"/>
      <c r="AH5" s="103"/>
      <c r="AI5" s="103"/>
      <c r="AJ5" s="103"/>
      <c r="AK5" s="103"/>
      <c r="AL5" s="4"/>
    </row>
    <row r="6" spans="1:38" ht="20.149999999999999" customHeight="1" thickBot="1" x14ac:dyDescent="0.25">
      <c r="A6" s="4"/>
      <c r="B6" s="107"/>
      <c r="C6" s="27"/>
      <c r="D6" s="27"/>
      <c r="E6" s="27"/>
      <c r="F6" s="27"/>
      <c r="G6" s="27"/>
      <c r="H6" s="27"/>
      <c r="I6" s="105"/>
      <c r="J6" s="106"/>
      <c r="K6" s="106"/>
      <c r="L6" s="105"/>
      <c r="M6" s="105"/>
      <c r="N6" s="105"/>
      <c r="O6" s="105"/>
      <c r="P6" s="105"/>
      <c r="Q6" s="105"/>
      <c r="R6" s="105"/>
      <c r="S6" s="105"/>
      <c r="T6" s="105"/>
      <c r="U6" s="104"/>
      <c r="V6" s="104"/>
      <c r="W6" s="104"/>
      <c r="X6" s="104"/>
      <c r="Y6" s="104"/>
      <c r="Z6" s="102"/>
      <c r="AA6" s="102"/>
      <c r="AB6" s="102"/>
      <c r="AC6" s="102"/>
      <c r="AD6" s="102"/>
      <c r="AE6" s="102"/>
      <c r="AF6" s="102"/>
      <c r="AG6" s="102"/>
      <c r="AH6" s="102"/>
      <c r="AI6" s="102"/>
      <c r="AJ6" s="102"/>
      <c r="AK6" s="102"/>
      <c r="AL6" s="4"/>
    </row>
    <row r="7" spans="1:38" ht="23.15" customHeight="1" x14ac:dyDescent="0.2">
      <c r="A7" s="4"/>
      <c r="B7" s="341" t="s">
        <v>27</v>
      </c>
      <c r="C7" s="345" t="s">
        <v>2</v>
      </c>
      <c r="D7" s="346"/>
      <c r="E7" s="346"/>
      <c r="F7" s="346"/>
      <c r="G7" s="346"/>
      <c r="H7" s="347"/>
      <c r="I7" s="8"/>
      <c r="J7" s="343" t="s">
        <v>4</v>
      </c>
      <c r="K7" s="343"/>
      <c r="L7" s="343"/>
      <c r="M7" s="343"/>
      <c r="N7" s="343"/>
      <c r="O7" s="343"/>
      <c r="P7" s="8"/>
      <c r="Q7" s="343" t="s">
        <v>6</v>
      </c>
      <c r="R7" s="343"/>
      <c r="S7" s="343"/>
      <c r="T7" s="343"/>
      <c r="U7" s="343"/>
      <c r="V7" s="343"/>
      <c r="W7" s="8"/>
      <c r="X7" s="343" t="s">
        <v>8</v>
      </c>
      <c r="Y7" s="343"/>
      <c r="Z7" s="343"/>
      <c r="AA7" s="343"/>
      <c r="AB7" s="343"/>
      <c r="AC7" s="343"/>
      <c r="AD7" s="8"/>
      <c r="AE7" s="343" t="s">
        <v>10</v>
      </c>
      <c r="AF7" s="343"/>
      <c r="AG7" s="343"/>
      <c r="AH7" s="343"/>
      <c r="AI7" s="343"/>
      <c r="AJ7" s="344"/>
      <c r="AK7" s="339" t="s">
        <v>27</v>
      </c>
      <c r="AL7" s="4"/>
    </row>
    <row r="8" spans="1:38" ht="23.15" customHeight="1" thickBot="1" x14ac:dyDescent="0.25">
      <c r="A8" s="4"/>
      <c r="B8" s="342"/>
      <c r="C8" s="17">
        <v>1</v>
      </c>
      <c r="D8" s="12">
        <v>2</v>
      </c>
      <c r="E8" s="12">
        <v>3</v>
      </c>
      <c r="F8" s="12">
        <v>4</v>
      </c>
      <c r="G8" s="12">
        <v>5</v>
      </c>
      <c r="H8" s="12">
        <v>6</v>
      </c>
      <c r="I8" s="13"/>
      <c r="J8" s="12">
        <v>1</v>
      </c>
      <c r="K8" s="12">
        <v>2</v>
      </c>
      <c r="L8" s="12">
        <v>3</v>
      </c>
      <c r="M8" s="12">
        <v>4</v>
      </c>
      <c r="N8" s="12">
        <v>5</v>
      </c>
      <c r="O8" s="12">
        <v>6</v>
      </c>
      <c r="P8" s="13"/>
      <c r="Q8" s="12">
        <v>1</v>
      </c>
      <c r="R8" s="12">
        <v>2</v>
      </c>
      <c r="S8" s="12">
        <v>3</v>
      </c>
      <c r="T8" s="12">
        <v>4</v>
      </c>
      <c r="U8" s="12">
        <v>5</v>
      </c>
      <c r="V8" s="12">
        <v>6</v>
      </c>
      <c r="W8" s="13"/>
      <c r="X8" s="12">
        <v>1</v>
      </c>
      <c r="Y8" s="12">
        <v>2</v>
      </c>
      <c r="Z8" s="12">
        <v>3</v>
      </c>
      <c r="AA8" s="12">
        <v>4</v>
      </c>
      <c r="AB8" s="12">
        <v>5</v>
      </c>
      <c r="AC8" s="12">
        <v>6</v>
      </c>
      <c r="AD8" s="13"/>
      <c r="AE8" s="12">
        <v>1</v>
      </c>
      <c r="AF8" s="12">
        <v>2</v>
      </c>
      <c r="AG8" s="12">
        <v>3</v>
      </c>
      <c r="AH8" s="12">
        <v>4</v>
      </c>
      <c r="AI8" s="12">
        <v>5</v>
      </c>
      <c r="AJ8" s="37">
        <v>6</v>
      </c>
      <c r="AK8" s="340"/>
      <c r="AL8" s="4"/>
    </row>
    <row r="9" spans="1:38" ht="24.9" customHeight="1" x14ac:dyDescent="0.2">
      <c r="A9" s="3">
        <v>1</v>
      </c>
      <c r="B9" s="311" t="s">
        <v>151</v>
      </c>
      <c r="C9" s="77" t="s">
        <v>250</v>
      </c>
      <c r="D9" s="299" t="s">
        <v>203</v>
      </c>
      <c r="E9" s="78" t="s">
        <v>253</v>
      </c>
      <c r="F9" s="294" t="s">
        <v>202</v>
      </c>
      <c r="G9" s="78" t="s">
        <v>252</v>
      </c>
      <c r="H9" s="82" t="s">
        <v>103</v>
      </c>
      <c r="I9" s="79"/>
      <c r="J9" s="305" t="s">
        <v>209</v>
      </c>
      <c r="K9" s="305" t="s">
        <v>208</v>
      </c>
      <c r="L9" s="82" t="s">
        <v>253</v>
      </c>
      <c r="M9" s="78" t="s">
        <v>251</v>
      </c>
      <c r="N9" s="296" t="s">
        <v>202</v>
      </c>
      <c r="O9" s="82" t="s">
        <v>237</v>
      </c>
      <c r="P9" s="79"/>
      <c r="Q9" s="324" t="s">
        <v>252</v>
      </c>
      <c r="R9" s="297" t="s">
        <v>204</v>
      </c>
      <c r="S9" s="78" t="s">
        <v>250</v>
      </c>
      <c r="T9" s="78" t="s">
        <v>251</v>
      </c>
      <c r="U9" s="78" t="s">
        <v>237</v>
      </c>
      <c r="V9" s="78" t="s">
        <v>104</v>
      </c>
      <c r="W9" s="274"/>
      <c r="X9" s="303" t="s">
        <v>206</v>
      </c>
      <c r="Y9" s="78" t="s">
        <v>251</v>
      </c>
      <c r="Z9" s="78" t="s">
        <v>237</v>
      </c>
      <c r="AA9" s="78" t="s">
        <v>253</v>
      </c>
      <c r="AB9" s="78" t="s">
        <v>250</v>
      </c>
      <c r="AC9" s="274"/>
      <c r="AD9" s="79"/>
      <c r="AE9" s="78" t="s">
        <v>252</v>
      </c>
      <c r="AF9" s="78" t="s">
        <v>250</v>
      </c>
      <c r="AG9" s="294" t="s">
        <v>202</v>
      </c>
      <c r="AH9" s="78" t="s">
        <v>237</v>
      </c>
      <c r="AI9" s="78" t="s">
        <v>251</v>
      </c>
      <c r="AJ9" s="80" t="s">
        <v>30</v>
      </c>
      <c r="AK9" s="311" t="s">
        <v>151</v>
      </c>
      <c r="AL9" s="4"/>
    </row>
    <row r="10" spans="1:38" ht="24.9" customHeight="1" x14ac:dyDescent="0.2">
      <c r="A10" s="3">
        <v>2</v>
      </c>
      <c r="B10" s="19" t="s">
        <v>153</v>
      </c>
      <c r="C10" s="300" t="s">
        <v>203</v>
      </c>
      <c r="D10" s="82" t="s">
        <v>250</v>
      </c>
      <c r="E10" s="82" t="s">
        <v>251</v>
      </c>
      <c r="F10" s="294" t="s">
        <v>202</v>
      </c>
      <c r="G10" s="82" t="s">
        <v>237</v>
      </c>
      <c r="H10" s="82" t="s">
        <v>103</v>
      </c>
      <c r="I10" s="83"/>
      <c r="J10" s="304" t="s">
        <v>208</v>
      </c>
      <c r="K10" s="304" t="s">
        <v>209</v>
      </c>
      <c r="L10" s="82" t="s">
        <v>251</v>
      </c>
      <c r="M10" s="82" t="s">
        <v>252</v>
      </c>
      <c r="N10" s="294" t="s">
        <v>202</v>
      </c>
      <c r="O10" s="82" t="s">
        <v>253</v>
      </c>
      <c r="P10" s="83"/>
      <c r="Q10" s="324" t="s">
        <v>250</v>
      </c>
      <c r="R10" s="298" t="s">
        <v>205</v>
      </c>
      <c r="S10" s="82" t="s">
        <v>237</v>
      </c>
      <c r="T10" s="82" t="s">
        <v>252</v>
      </c>
      <c r="U10" s="82" t="s">
        <v>253</v>
      </c>
      <c r="V10" s="82" t="s">
        <v>104</v>
      </c>
      <c r="W10" s="275"/>
      <c r="X10" s="82" t="s">
        <v>250</v>
      </c>
      <c r="Y10" s="82" t="s">
        <v>237</v>
      </c>
      <c r="Z10" s="302" t="s">
        <v>206</v>
      </c>
      <c r="AA10" s="82" t="s">
        <v>251</v>
      </c>
      <c r="AB10" s="82" t="s">
        <v>252</v>
      </c>
      <c r="AC10" s="275"/>
      <c r="AD10" s="83"/>
      <c r="AE10" s="82" t="s">
        <v>237</v>
      </c>
      <c r="AF10" s="82" t="s">
        <v>251</v>
      </c>
      <c r="AG10" s="294" t="s">
        <v>202</v>
      </c>
      <c r="AH10" s="82" t="s">
        <v>253</v>
      </c>
      <c r="AI10" s="82" t="s">
        <v>250</v>
      </c>
      <c r="AJ10" s="84" t="s">
        <v>30</v>
      </c>
      <c r="AK10" s="19" t="s">
        <v>153</v>
      </c>
      <c r="AL10" s="4"/>
    </row>
    <row r="11" spans="1:38" ht="24.9" customHeight="1" x14ac:dyDescent="0.2">
      <c r="A11" s="3">
        <v>3</v>
      </c>
      <c r="B11" s="19" t="s">
        <v>155</v>
      </c>
      <c r="C11" s="81" t="s">
        <v>237</v>
      </c>
      <c r="D11" s="294" t="s">
        <v>202</v>
      </c>
      <c r="E11" s="82" t="s">
        <v>250</v>
      </c>
      <c r="F11" s="82" t="s">
        <v>251</v>
      </c>
      <c r="G11" s="301" t="s">
        <v>203</v>
      </c>
      <c r="H11" s="82" t="s">
        <v>103</v>
      </c>
      <c r="I11" s="83"/>
      <c r="J11" s="82" t="s">
        <v>253</v>
      </c>
      <c r="K11" s="82" t="s">
        <v>251</v>
      </c>
      <c r="L11" s="82" t="s">
        <v>237</v>
      </c>
      <c r="M11" s="294" t="s">
        <v>202</v>
      </c>
      <c r="N11" s="302" t="s">
        <v>206</v>
      </c>
      <c r="O11" s="82" t="s">
        <v>250</v>
      </c>
      <c r="P11" s="83"/>
      <c r="Q11" s="297" t="s">
        <v>204</v>
      </c>
      <c r="R11" s="324" t="s">
        <v>250</v>
      </c>
      <c r="S11" s="82" t="s">
        <v>252</v>
      </c>
      <c r="T11" s="82" t="s">
        <v>253</v>
      </c>
      <c r="U11" s="82" t="s">
        <v>237</v>
      </c>
      <c r="V11" s="82" t="s">
        <v>104</v>
      </c>
      <c r="W11" s="275"/>
      <c r="X11" s="82" t="s">
        <v>237</v>
      </c>
      <c r="Y11" s="82" t="s">
        <v>250</v>
      </c>
      <c r="Z11" s="82" t="s">
        <v>251</v>
      </c>
      <c r="AA11" s="82" t="s">
        <v>252</v>
      </c>
      <c r="AB11" s="294" t="s">
        <v>202</v>
      </c>
      <c r="AC11" s="275"/>
      <c r="AD11" s="83"/>
      <c r="AE11" s="304" t="s">
        <v>208</v>
      </c>
      <c r="AF11" s="304" t="s">
        <v>209</v>
      </c>
      <c r="AG11" s="82" t="s">
        <v>253</v>
      </c>
      <c r="AH11" s="82" t="s">
        <v>251</v>
      </c>
      <c r="AI11" s="82" t="s">
        <v>252</v>
      </c>
      <c r="AJ11" s="84" t="s">
        <v>30</v>
      </c>
      <c r="AK11" s="19" t="s">
        <v>155</v>
      </c>
      <c r="AL11" s="4"/>
    </row>
    <row r="12" spans="1:38" ht="24.9" customHeight="1" x14ac:dyDescent="0.2">
      <c r="A12" s="3">
        <v>4</v>
      </c>
      <c r="B12" s="19" t="s">
        <v>157</v>
      </c>
      <c r="C12" s="81" t="s">
        <v>252</v>
      </c>
      <c r="D12" s="294" t="s">
        <v>202</v>
      </c>
      <c r="E12" s="82" t="s">
        <v>251</v>
      </c>
      <c r="F12" s="301" t="s">
        <v>203</v>
      </c>
      <c r="G12" s="82" t="s">
        <v>250</v>
      </c>
      <c r="H12" s="82" t="s">
        <v>103</v>
      </c>
      <c r="I12" s="83"/>
      <c r="J12" s="82" t="s">
        <v>251</v>
      </c>
      <c r="K12" s="82" t="s">
        <v>253</v>
      </c>
      <c r="L12" s="82" t="s">
        <v>250</v>
      </c>
      <c r="M12" s="294" t="s">
        <v>202</v>
      </c>
      <c r="N12" s="82" t="s">
        <v>237</v>
      </c>
      <c r="O12" s="302" t="s">
        <v>206</v>
      </c>
      <c r="P12" s="83"/>
      <c r="Q12" s="298" t="s">
        <v>205</v>
      </c>
      <c r="R12" s="324" t="s">
        <v>251</v>
      </c>
      <c r="S12" s="82" t="s">
        <v>253</v>
      </c>
      <c r="T12" s="82" t="s">
        <v>237</v>
      </c>
      <c r="U12" s="82" t="s">
        <v>250</v>
      </c>
      <c r="V12" s="82" t="s">
        <v>104</v>
      </c>
      <c r="W12" s="275"/>
      <c r="X12" s="82" t="s">
        <v>251</v>
      </c>
      <c r="Y12" s="82" t="s">
        <v>250</v>
      </c>
      <c r="Z12" s="82" t="s">
        <v>252</v>
      </c>
      <c r="AA12" s="78" t="s">
        <v>237</v>
      </c>
      <c r="AB12" s="294" t="s">
        <v>202</v>
      </c>
      <c r="AC12" s="275"/>
      <c r="AD12" s="83"/>
      <c r="AE12" s="304" t="s">
        <v>209</v>
      </c>
      <c r="AF12" s="304" t="s">
        <v>208</v>
      </c>
      <c r="AG12" s="82" t="s">
        <v>237</v>
      </c>
      <c r="AH12" s="82" t="s">
        <v>252</v>
      </c>
      <c r="AI12" s="82" t="s">
        <v>253</v>
      </c>
      <c r="AJ12" s="84" t="s">
        <v>30</v>
      </c>
      <c r="AK12" s="19" t="s">
        <v>157</v>
      </c>
      <c r="AL12" s="4"/>
    </row>
    <row r="13" spans="1:38" ht="24.9" customHeight="1" x14ac:dyDescent="0.2">
      <c r="A13" s="3">
        <v>5</v>
      </c>
      <c r="B13" s="19" t="s">
        <v>131</v>
      </c>
      <c r="C13" s="81" t="s">
        <v>251</v>
      </c>
      <c r="D13" s="82" t="s">
        <v>253</v>
      </c>
      <c r="E13" s="294" t="s">
        <v>202</v>
      </c>
      <c r="F13" s="82" t="s">
        <v>250</v>
      </c>
      <c r="G13" s="82" t="s">
        <v>252</v>
      </c>
      <c r="H13" s="82" t="s">
        <v>103</v>
      </c>
      <c r="I13" s="83"/>
      <c r="J13" s="82" t="s">
        <v>252</v>
      </c>
      <c r="K13" s="297" t="s">
        <v>204</v>
      </c>
      <c r="L13" s="82" t="s">
        <v>250</v>
      </c>
      <c r="M13" s="82" t="s">
        <v>237</v>
      </c>
      <c r="N13" s="82" t="s">
        <v>253</v>
      </c>
      <c r="O13" s="82" t="s">
        <v>251</v>
      </c>
      <c r="P13" s="83"/>
      <c r="Q13" s="82" t="s">
        <v>250</v>
      </c>
      <c r="R13" s="82" t="s">
        <v>237</v>
      </c>
      <c r="S13" s="304" t="s">
        <v>208</v>
      </c>
      <c r="T13" s="304" t="s">
        <v>209</v>
      </c>
      <c r="U13" s="294" t="s">
        <v>202</v>
      </c>
      <c r="V13" s="82" t="s">
        <v>104</v>
      </c>
      <c r="W13" s="275"/>
      <c r="X13" s="301" t="s">
        <v>203</v>
      </c>
      <c r="Y13" s="82" t="s">
        <v>237</v>
      </c>
      <c r="Z13" s="82" t="s">
        <v>253</v>
      </c>
      <c r="AA13" s="302" t="s">
        <v>206</v>
      </c>
      <c r="AB13" s="82" t="s">
        <v>251</v>
      </c>
      <c r="AC13" s="275"/>
      <c r="AD13" s="83"/>
      <c r="AE13" s="82" t="s">
        <v>250</v>
      </c>
      <c r="AF13" s="82" t="s">
        <v>252</v>
      </c>
      <c r="AG13" s="82" t="s">
        <v>251</v>
      </c>
      <c r="AH13" s="294" t="s">
        <v>202</v>
      </c>
      <c r="AI13" s="82" t="s">
        <v>237</v>
      </c>
      <c r="AJ13" s="84" t="s">
        <v>30</v>
      </c>
      <c r="AK13" s="19" t="s">
        <v>131</v>
      </c>
      <c r="AL13" s="4"/>
    </row>
    <row r="14" spans="1:38" ht="24.9" customHeight="1" x14ac:dyDescent="0.2">
      <c r="A14" s="3">
        <v>6</v>
      </c>
      <c r="B14" s="19" t="s">
        <v>159</v>
      </c>
      <c r="C14" s="81" t="s">
        <v>250</v>
      </c>
      <c r="D14" s="82" t="s">
        <v>237</v>
      </c>
      <c r="E14" s="294" t="s">
        <v>202</v>
      </c>
      <c r="F14" s="82" t="s">
        <v>251</v>
      </c>
      <c r="G14" s="82" t="s">
        <v>253</v>
      </c>
      <c r="H14" s="82" t="s">
        <v>103</v>
      </c>
      <c r="I14" s="83"/>
      <c r="J14" s="82" t="s">
        <v>237</v>
      </c>
      <c r="K14" s="298" t="s">
        <v>205</v>
      </c>
      <c r="L14" s="82" t="s">
        <v>252</v>
      </c>
      <c r="M14" s="82" t="s">
        <v>253</v>
      </c>
      <c r="N14" s="82" t="s">
        <v>251</v>
      </c>
      <c r="O14" s="82" t="s">
        <v>250</v>
      </c>
      <c r="P14" s="83"/>
      <c r="Q14" s="82" t="s">
        <v>251</v>
      </c>
      <c r="R14" s="82" t="s">
        <v>253</v>
      </c>
      <c r="S14" s="304" t="s">
        <v>209</v>
      </c>
      <c r="T14" s="304" t="s">
        <v>208</v>
      </c>
      <c r="U14" s="294" t="s">
        <v>202</v>
      </c>
      <c r="V14" s="82" t="s">
        <v>104</v>
      </c>
      <c r="W14" s="275"/>
      <c r="X14" s="82" t="s">
        <v>252</v>
      </c>
      <c r="Y14" s="301" t="s">
        <v>203</v>
      </c>
      <c r="Z14" s="82" t="s">
        <v>237</v>
      </c>
      <c r="AA14" s="82" t="s">
        <v>251</v>
      </c>
      <c r="AB14" s="82" t="s">
        <v>250</v>
      </c>
      <c r="AC14" s="275"/>
      <c r="AD14" s="83"/>
      <c r="AE14" s="82" t="s">
        <v>252</v>
      </c>
      <c r="AF14" s="82" t="s">
        <v>237</v>
      </c>
      <c r="AG14" s="82" t="s">
        <v>250</v>
      </c>
      <c r="AH14" s="294" t="s">
        <v>202</v>
      </c>
      <c r="AI14" s="302" t="s">
        <v>206</v>
      </c>
      <c r="AJ14" s="84" t="s">
        <v>30</v>
      </c>
      <c r="AK14" s="19" t="s">
        <v>159</v>
      </c>
      <c r="AL14" s="4"/>
    </row>
    <row r="15" spans="1:38" ht="9.9" customHeight="1" x14ac:dyDescent="0.2">
      <c r="A15" s="4"/>
      <c r="B15" s="34"/>
      <c r="C15" s="85"/>
      <c r="D15" s="83"/>
      <c r="E15" s="83"/>
      <c r="F15" s="83"/>
      <c r="G15" s="83"/>
      <c r="H15" s="83"/>
      <c r="I15" s="86"/>
      <c r="J15" s="83"/>
      <c r="K15" s="83"/>
      <c r="L15" s="83"/>
      <c r="M15" s="83"/>
      <c r="N15" s="83"/>
      <c r="O15" s="83"/>
      <c r="P15" s="86"/>
      <c r="Q15" s="83"/>
      <c r="R15" s="83"/>
      <c r="S15" s="83"/>
      <c r="T15" s="83"/>
      <c r="U15" s="83"/>
      <c r="V15" s="83"/>
      <c r="W15" s="86"/>
      <c r="X15" s="83"/>
      <c r="Y15" s="83"/>
      <c r="Z15" s="83"/>
      <c r="AA15" s="83"/>
      <c r="AB15" s="83"/>
      <c r="AC15" s="275"/>
      <c r="AD15" s="86"/>
      <c r="AE15" s="83"/>
      <c r="AF15" s="83"/>
      <c r="AG15" s="83"/>
      <c r="AH15" s="83"/>
      <c r="AI15" s="83"/>
      <c r="AJ15" s="87"/>
      <c r="AK15" s="34"/>
      <c r="AL15" s="4"/>
    </row>
    <row r="16" spans="1:38" ht="24.9" customHeight="1" x14ac:dyDescent="0.2">
      <c r="A16" s="3">
        <v>7</v>
      </c>
      <c r="B16" s="19" t="s">
        <v>108</v>
      </c>
      <c r="C16" s="295" t="s">
        <v>202</v>
      </c>
      <c r="D16" s="82" t="s">
        <v>250</v>
      </c>
      <c r="E16" s="82" t="s">
        <v>252</v>
      </c>
      <c r="F16" s="82" t="s">
        <v>253</v>
      </c>
      <c r="G16" s="82" t="s">
        <v>270</v>
      </c>
      <c r="H16" s="82" t="s">
        <v>103</v>
      </c>
      <c r="I16" s="83"/>
      <c r="J16" s="82" t="s">
        <v>237</v>
      </c>
      <c r="K16" s="302" t="s">
        <v>206</v>
      </c>
      <c r="L16" s="82" t="s">
        <v>253</v>
      </c>
      <c r="M16" s="82" t="s">
        <v>250</v>
      </c>
      <c r="N16" s="82" t="s">
        <v>271</v>
      </c>
      <c r="O16" s="82" t="s">
        <v>30</v>
      </c>
      <c r="P16" s="83"/>
      <c r="Q16" s="294" t="s">
        <v>202</v>
      </c>
      <c r="R16" s="82" t="s">
        <v>252</v>
      </c>
      <c r="S16" s="82" t="s">
        <v>250</v>
      </c>
      <c r="T16" s="82" t="s">
        <v>237</v>
      </c>
      <c r="U16" s="304" t="s">
        <v>209</v>
      </c>
      <c r="V16" s="82" t="s">
        <v>104</v>
      </c>
      <c r="W16" s="83"/>
      <c r="X16" s="82" t="s">
        <v>253</v>
      </c>
      <c r="Y16" s="304" t="s">
        <v>208</v>
      </c>
      <c r="Z16" s="82" t="s">
        <v>270</v>
      </c>
      <c r="AA16" s="294" t="s">
        <v>202</v>
      </c>
      <c r="AB16" s="82" t="s">
        <v>237</v>
      </c>
      <c r="AC16" s="275"/>
      <c r="AD16" s="83"/>
      <c r="AE16" s="82" t="s">
        <v>253</v>
      </c>
      <c r="AF16" s="82" t="s">
        <v>270</v>
      </c>
      <c r="AG16" s="301" t="s">
        <v>203</v>
      </c>
      <c r="AH16" s="82" t="s">
        <v>237</v>
      </c>
      <c r="AI16" s="82" t="s">
        <v>252</v>
      </c>
      <c r="AJ16" s="84" t="s">
        <v>30</v>
      </c>
      <c r="AK16" s="19" t="s">
        <v>108</v>
      </c>
      <c r="AL16" s="4"/>
    </row>
    <row r="17" spans="1:38" ht="24.9" customHeight="1" x14ac:dyDescent="0.2">
      <c r="A17" s="3">
        <v>8</v>
      </c>
      <c r="B17" s="19" t="s">
        <v>132</v>
      </c>
      <c r="C17" s="295" t="s">
        <v>202</v>
      </c>
      <c r="D17" s="82" t="s">
        <v>271</v>
      </c>
      <c r="E17" s="82" t="s">
        <v>250</v>
      </c>
      <c r="F17" s="82" t="s">
        <v>252</v>
      </c>
      <c r="G17" s="304" t="s">
        <v>208</v>
      </c>
      <c r="H17" s="82" t="s">
        <v>103</v>
      </c>
      <c r="I17" s="83"/>
      <c r="J17" s="82" t="s">
        <v>253</v>
      </c>
      <c r="K17" s="82" t="s">
        <v>237</v>
      </c>
      <c r="L17" s="302" t="s">
        <v>206</v>
      </c>
      <c r="M17" s="82" t="s">
        <v>252</v>
      </c>
      <c r="N17" s="82" t="s">
        <v>270</v>
      </c>
      <c r="O17" s="82" t="s">
        <v>30</v>
      </c>
      <c r="P17" s="83"/>
      <c r="Q17" s="294" t="s">
        <v>202</v>
      </c>
      <c r="R17" s="82" t="s">
        <v>270</v>
      </c>
      <c r="S17" s="82" t="s">
        <v>252</v>
      </c>
      <c r="T17" s="82" t="s">
        <v>253</v>
      </c>
      <c r="U17" s="82" t="s">
        <v>237</v>
      </c>
      <c r="V17" s="82" t="s">
        <v>104</v>
      </c>
      <c r="W17" s="83"/>
      <c r="X17" s="82" t="s">
        <v>237</v>
      </c>
      <c r="Y17" s="304" t="s">
        <v>209</v>
      </c>
      <c r="Z17" s="82" t="s">
        <v>253</v>
      </c>
      <c r="AA17" s="294" t="s">
        <v>202</v>
      </c>
      <c r="AB17" s="82" t="s">
        <v>250</v>
      </c>
      <c r="AC17" s="275"/>
      <c r="AD17" s="83"/>
      <c r="AE17" s="82" t="s">
        <v>250</v>
      </c>
      <c r="AF17" s="301" t="s">
        <v>203</v>
      </c>
      <c r="AG17" s="82" t="s">
        <v>237</v>
      </c>
      <c r="AH17" s="82" t="s">
        <v>253</v>
      </c>
      <c r="AI17" s="82" t="s">
        <v>270</v>
      </c>
      <c r="AJ17" s="84" t="s">
        <v>30</v>
      </c>
      <c r="AK17" s="19" t="s">
        <v>132</v>
      </c>
      <c r="AL17" s="4"/>
    </row>
    <row r="18" spans="1:38" ht="24.9" customHeight="1" x14ac:dyDescent="0.2">
      <c r="A18" s="3">
        <v>9</v>
      </c>
      <c r="B18" s="19" t="s">
        <v>162</v>
      </c>
      <c r="C18" s="81" t="s">
        <v>253</v>
      </c>
      <c r="D18" s="82" t="s">
        <v>237</v>
      </c>
      <c r="E18" s="82" t="s">
        <v>252</v>
      </c>
      <c r="F18" s="304" t="s">
        <v>209</v>
      </c>
      <c r="G18" s="82" t="s">
        <v>271</v>
      </c>
      <c r="H18" s="82" t="s">
        <v>103</v>
      </c>
      <c r="I18" s="83"/>
      <c r="J18" s="82" t="s">
        <v>270</v>
      </c>
      <c r="K18" s="294" t="s">
        <v>202</v>
      </c>
      <c r="L18" s="82" t="s">
        <v>237</v>
      </c>
      <c r="M18" s="82" t="s">
        <v>253</v>
      </c>
      <c r="N18" s="82" t="s">
        <v>250</v>
      </c>
      <c r="O18" s="82" t="s">
        <v>30</v>
      </c>
      <c r="P18" s="83"/>
      <c r="Q18" s="82" t="s">
        <v>252</v>
      </c>
      <c r="R18" s="82" t="s">
        <v>250</v>
      </c>
      <c r="S18" s="294" t="s">
        <v>202</v>
      </c>
      <c r="T18" s="82" t="s">
        <v>270</v>
      </c>
      <c r="U18" s="82" t="s">
        <v>253</v>
      </c>
      <c r="V18" s="82" t="s">
        <v>104</v>
      </c>
      <c r="W18" s="83"/>
      <c r="X18" s="82" t="s">
        <v>250</v>
      </c>
      <c r="Y18" s="82" t="s">
        <v>252</v>
      </c>
      <c r="Z18" s="304" t="s">
        <v>208</v>
      </c>
      <c r="AA18" s="82" t="s">
        <v>237</v>
      </c>
      <c r="AB18" s="301" t="s">
        <v>203</v>
      </c>
      <c r="AC18" s="275"/>
      <c r="AD18" s="83"/>
      <c r="AE18" s="82" t="s">
        <v>270</v>
      </c>
      <c r="AF18" s="82" t="s">
        <v>253</v>
      </c>
      <c r="AG18" s="302" t="s">
        <v>206</v>
      </c>
      <c r="AH18" s="82" t="s">
        <v>237</v>
      </c>
      <c r="AI18" s="294" t="s">
        <v>202</v>
      </c>
      <c r="AJ18" s="84" t="s">
        <v>30</v>
      </c>
      <c r="AK18" s="19" t="s">
        <v>162</v>
      </c>
      <c r="AL18" s="4"/>
    </row>
    <row r="19" spans="1:38" ht="24.9" customHeight="1" x14ac:dyDescent="0.2">
      <c r="A19" s="3">
        <v>10</v>
      </c>
      <c r="B19" s="19" t="s">
        <v>164</v>
      </c>
      <c r="C19" s="81" t="s">
        <v>237</v>
      </c>
      <c r="D19" s="82" t="s">
        <v>252</v>
      </c>
      <c r="E19" s="82" t="s">
        <v>253</v>
      </c>
      <c r="F19" s="82" t="s">
        <v>270</v>
      </c>
      <c r="G19" s="304" t="s">
        <v>209</v>
      </c>
      <c r="H19" s="82" t="s">
        <v>103</v>
      </c>
      <c r="I19" s="83"/>
      <c r="J19" s="82" t="s">
        <v>250</v>
      </c>
      <c r="K19" s="82" t="s">
        <v>252</v>
      </c>
      <c r="L19" s="294" t="s">
        <v>202</v>
      </c>
      <c r="M19" s="82" t="s">
        <v>271</v>
      </c>
      <c r="N19" s="82" t="s">
        <v>237</v>
      </c>
      <c r="O19" s="82" t="s">
        <v>30</v>
      </c>
      <c r="P19" s="83"/>
      <c r="Q19" s="82" t="s">
        <v>270</v>
      </c>
      <c r="R19" s="294" t="s">
        <v>202</v>
      </c>
      <c r="S19" s="82" t="s">
        <v>253</v>
      </c>
      <c r="T19" s="82" t="s">
        <v>250</v>
      </c>
      <c r="U19" s="301" t="s">
        <v>203</v>
      </c>
      <c r="V19" s="82" t="s">
        <v>104</v>
      </c>
      <c r="W19" s="83"/>
      <c r="X19" s="304" t="s">
        <v>208</v>
      </c>
      <c r="Y19" s="82" t="s">
        <v>270</v>
      </c>
      <c r="Z19" s="294" t="s">
        <v>202</v>
      </c>
      <c r="AA19" s="82" t="s">
        <v>237</v>
      </c>
      <c r="AB19" s="82" t="s">
        <v>253</v>
      </c>
      <c r="AC19" s="275"/>
      <c r="AD19" s="83"/>
      <c r="AE19" s="82" t="s">
        <v>252</v>
      </c>
      <c r="AF19" s="302" t="s">
        <v>206</v>
      </c>
      <c r="AG19" s="82" t="s">
        <v>253</v>
      </c>
      <c r="AH19" s="82" t="s">
        <v>250</v>
      </c>
      <c r="AI19" s="82" t="s">
        <v>237</v>
      </c>
      <c r="AJ19" s="84" t="s">
        <v>30</v>
      </c>
      <c r="AK19" s="19" t="s">
        <v>164</v>
      </c>
      <c r="AL19" s="4"/>
    </row>
    <row r="20" spans="1:38" ht="24.9" customHeight="1" x14ac:dyDescent="0.2">
      <c r="A20" s="3">
        <v>11</v>
      </c>
      <c r="B20" s="19" t="s">
        <v>165</v>
      </c>
      <c r="C20" s="81" t="s">
        <v>250</v>
      </c>
      <c r="D20" s="82" t="s">
        <v>253</v>
      </c>
      <c r="E20" s="82" t="s">
        <v>270</v>
      </c>
      <c r="F20" s="304" t="s">
        <v>208</v>
      </c>
      <c r="G20" s="82" t="s">
        <v>237</v>
      </c>
      <c r="H20" s="82" t="s">
        <v>103</v>
      </c>
      <c r="I20" s="83"/>
      <c r="J20" s="82" t="s">
        <v>252</v>
      </c>
      <c r="K20" s="82" t="s">
        <v>250</v>
      </c>
      <c r="L20" s="294" t="s">
        <v>202</v>
      </c>
      <c r="M20" s="82" t="s">
        <v>270</v>
      </c>
      <c r="N20" s="82" t="s">
        <v>253</v>
      </c>
      <c r="O20" s="82" t="s">
        <v>30</v>
      </c>
      <c r="P20" s="83"/>
      <c r="Q20" s="82" t="s">
        <v>253</v>
      </c>
      <c r="R20" s="294" t="s">
        <v>202</v>
      </c>
      <c r="S20" s="82" t="s">
        <v>237</v>
      </c>
      <c r="T20" s="301" t="s">
        <v>203</v>
      </c>
      <c r="U20" s="82" t="s">
        <v>270</v>
      </c>
      <c r="V20" s="82" t="s">
        <v>104</v>
      </c>
      <c r="W20" s="83"/>
      <c r="X20" s="304" t="s">
        <v>209</v>
      </c>
      <c r="Y20" s="82" t="s">
        <v>253</v>
      </c>
      <c r="Z20" s="294" t="s">
        <v>202</v>
      </c>
      <c r="AA20" s="82" t="s">
        <v>252</v>
      </c>
      <c r="AB20" s="82" t="s">
        <v>237</v>
      </c>
      <c r="AC20" s="275"/>
      <c r="AD20" s="83"/>
      <c r="AE20" s="82" t="s">
        <v>237</v>
      </c>
      <c r="AF20" s="82" t="s">
        <v>250</v>
      </c>
      <c r="AG20" s="82" t="s">
        <v>252</v>
      </c>
      <c r="AH20" s="302" t="s">
        <v>206</v>
      </c>
      <c r="AI20" s="82" t="s">
        <v>271</v>
      </c>
      <c r="AJ20" s="84" t="s">
        <v>30</v>
      </c>
      <c r="AK20" s="19" t="s">
        <v>165</v>
      </c>
      <c r="AL20" s="4"/>
    </row>
    <row r="21" spans="1:38" ht="23.15" hidden="1" customHeight="1" x14ac:dyDescent="0.2">
      <c r="A21" s="3"/>
      <c r="B21" s="19" t="s">
        <v>189</v>
      </c>
      <c r="C21" s="81"/>
      <c r="D21" s="82"/>
      <c r="E21" s="82"/>
      <c r="F21" s="82"/>
      <c r="G21" s="82"/>
      <c r="H21" s="82" t="s">
        <v>29</v>
      </c>
      <c r="I21" s="83"/>
      <c r="J21" s="82"/>
      <c r="K21" s="82"/>
      <c r="L21" s="82"/>
      <c r="M21" s="82"/>
      <c r="N21" s="82"/>
      <c r="O21" s="82"/>
      <c r="P21" s="83"/>
      <c r="Q21" s="82"/>
      <c r="R21" s="82"/>
      <c r="S21" s="82"/>
      <c r="T21" s="82"/>
      <c r="U21" s="82"/>
      <c r="V21" s="82" t="s">
        <v>31</v>
      </c>
      <c r="W21" s="83"/>
      <c r="X21" s="82"/>
      <c r="Y21" s="82"/>
      <c r="Z21" s="82"/>
      <c r="AA21" s="82"/>
      <c r="AB21" s="82"/>
      <c r="AC21" s="275"/>
      <c r="AD21" s="83"/>
      <c r="AE21" s="82"/>
      <c r="AF21" s="82"/>
      <c r="AG21" s="82"/>
      <c r="AH21" s="82"/>
      <c r="AI21" s="82"/>
      <c r="AJ21" s="84"/>
      <c r="AK21" s="19" t="s">
        <v>189</v>
      </c>
      <c r="AL21" s="4"/>
    </row>
    <row r="22" spans="1:38" ht="9.9" customHeight="1" x14ac:dyDescent="0.2">
      <c r="A22" s="4"/>
      <c r="B22" s="34"/>
      <c r="C22" s="85"/>
      <c r="D22" s="83"/>
      <c r="E22" s="83"/>
      <c r="F22" s="83"/>
      <c r="G22" s="83"/>
      <c r="H22" s="83"/>
      <c r="I22" s="86"/>
      <c r="J22" s="83"/>
      <c r="K22" s="83"/>
      <c r="L22" s="83"/>
      <c r="M22" s="83"/>
      <c r="N22" s="83"/>
      <c r="O22" s="83"/>
      <c r="P22" s="86"/>
      <c r="Q22" s="83"/>
      <c r="R22" s="83"/>
      <c r="S22" s="83"/>
      <c r="T22" s="83"/>
      <c r="U22" s="83"/>
      <c r="V22" s="83"/>
      <c r="W22" s="86"/>
      <c r="X22" s="83"/>
      <c r="Y22" s="83"/>
      <c r="Z22" s="83"/>
      <c r="AA22" s="83"/>
      <c r="AB22" s="83"/>
      <c r="AC22" s="275"/>
      <c r="AD22" s="86"/>
      <c r="AE22" s="83"/>
      <c r="AF22" s="83"/>
      <c r="AG22" s="83"/>
      <c r="AH22" s="83"/>
      <c r="AI22" s="83"/>
      <c r="AJ22" s="87"/>
      <c r="AK22" s="34"/>
      <c r="AL22" s="4"/>
    </row>
    <row r="23" spans="1:38" ht="24.9" customHeight="1" x14ac:dyDescent="0.2">
      <c r="A23" s="3">
        <v>12</v>
      </c>
      <c r="B23" s="19" t="s">
        <v>18</v>
      </c>
      <c r="C23" s="81" t="s">
        <v>251</v>
      </c>
      <c r="D23" s="82" t="s">
        <v>252</v>
      </c>
      <c r="E23" s="82" t="s">
        <v>237</v>
      </c>
      <c r="F23" s="82" t="s">
        <v>253</v>
      </c>
      <c r="G23" s="302" t="s">
        <v>206</v>
      </c>
      <c r="H23" s="82" t="s">
        <v>103</v>
      </c>
      <c r="I23" s="83"/>
      <c r="J23" s="82" t="s">
        <v>253</v>
      </c>
      <c r="K23" s="294" t="s">
        <v>202</v>
      </c>
      <c r="L23" s="82" t="s">
        <v>250</v>
      </c>
      <c r="M23" s="304" t="s">
        <v>207</v>
      </c>
      <c r="N23" s="82" t="s">
        <v>252</v>
      </c>
      <c r="O23" s="82" t="s">
        <v>30</v>
      </c>
      <c r="P23" s="83"/>
      <c r="Q23" s="82" t="s">
        <v>237</v>
      </c>
      <c r="R23" s="82" t="s">
        <v>251</v>
      </c>
      <c r="S23" s="294" t="s">
        <v>202</v>
      </c>
      <c r="T23" s="82" t="s">
        <v>253</v>
      </c>
      <c r="U23" s="82" t="s">
        <v>250</v>
      </c>
      <c r="V23" s="82" t="s">
        <v>31</v>
      </c>
      <c r="W23" s="83"/>
      <c r="X23" s="82" t="s">
        <v>252</v>
      </c>
      <c r="Y23" s="82" t="s">
        <v>253</v>
      </c>
      <c r="Z23" s="82" t="s">
        <v>250</v>
      </c>
      <c r="AA23" s="301" t="s">
        <v>203</v>
      </c>
      <c r="AB23" s="82" t="s">
        <v>237</v>
      </c>
      <c r="AC23" s="275"/>
      <c r="AD23" s="83"/>
      <c r="AE23" s="294" t="s">
        <v>202</v>
      </c>
      <c r="AF23" s="82" t="s">
        <v>251</v>
      </c>
      <c r="AG23" s="82" t="s">
        <v>250</v>
      </c>
      <c r="AH23" s="82" t="s">
        <v>252</v>
      </c>
      <c r="AI23" s="82" t="s">
        <v>237</v>
      </c>
      <c r="AJ23" s="84" t="s">
        <v>30</v>
      </c>
      <c r="AK23" s="19" t="s">
        <v>18</v>
      </c>
      <c r="AL23" s="4"/>
    </row>
    <row r="24" spans="1:38" ht="24.9" customHeight="1" x14ac:dyDescent="0.2">
      <c r="A24" s="3">
        <v>13</v>
      </c>
      <c r="B24" s="19" t="s">
        <v>19</v>
      </c>
      <c r="C24" s="81" t="s">
        <v>253</v>
      </c>
      <c r="D24" s="82" t="s">
        <v>237</v>
      </c>
      <c r="E24" s="82" t="s">
        <v>252</v>
      </c>
      <c r="F24" s="82" t="s">
        <v>251</v>
      </c>
      <c r="G24" s="294" t="s">
        <v>202</v>
      </c>
      <c r="H24" s="82" t="s">
        <v>103</v>
      </c>
      <c r="I24" s="83"/>
      <c r="J24" s="82" t="s">
        <v>250</v>
      </c>
      <c r="K24" s="82" t="s">
        <v>251</v>
      </c>
      <c r="L24" s="82" t="s">
        <v>252</v>
      </c>
      <c r="M24" s="304" t="s">
        <v>207</v>
      </c>
      <c r="N24" s="301" t="s">
        <v>203</v>
      </c>
      <c r="O24" s="82" t="s">
        <v>30</v>
      </c>
      <c r="P24" s="83"/>
      <c r="Q24" s="82" t="s">
        <v>252</v>
      </c>
      <c r="R24" s="82" t="s">
        <v>237</v>
      </c>
      <c r="S24" s="82" t="s">
        <v>250</v>
      </c>
      <c r="T24" s="302" t="s">
        <v>206</v>
      </c>
      <c r="U24" s="82" t="s">
        <v>253</v>
      </c>
      <c r="V24" s="82" t="s">
        <v>31</v>
      </c>
      <c r="W24" s="83"/>
      <c r="X24" s="294" t="s">
        <v>202</v>
      </c>
      <c r="Y24" s="82" t="s">
        <v>237</v>
      </c>
      <c r="Z24" s="82" t="s">
        <v>250</v>
      </c>
      <c r="AA24" s="82" t="s">
        <v>253</v>
      </c>
      <c r="AB24" s="82" t="s">
        <v>252</v>
      </c>
      <c r="AC24" s="275"/>
      <c r="AD24" s="83"/>
      <c r="AE24" s="82" t="s">
        <v>250</v>
      </c>
      <c r="AF24" s="294" t="s">
        <v>202</v>
      </c>
      <c r="AG24" s="82" t="s">
        <v>253</v>
      </c>
      <c r="AH24" s="82" t="s">
        <v>237</v>
      </c>
      <c r="AI24" s="82" t="s">
        <v>251</v>
      </c>
      <c r="AJ24" s="84" t="s">
        <v>30</v>
      </c>
      <c r="AK24" s="19" t="s">
        <v>19</v>
      </c>
      <c r="AL24" s="4"/>
    </row>
    <row r="25" spans="1:38" ht="24.9" customHeight="1" x14ac:dyDescent="0.2">
      <c r="A25" s="3">
        <v>14</v>
      </c>
      <c r="B25" s="19" t="s">
        <v>20</v>
      </c>
      <c r="C25" s="81" t="s">
        <v>252</v>
      </c>
      <c r="D25" s="82" t="s">
        <v>253</v>
      </c>
      <c r="E25" s="82" t="s">
        <v>250</v>
      </c>
      <c r="F25" s="82" t="s">
        <v>237</v>
      </c>
      <c r="G25" s="294" t="s">
        <v>202</v>
      </c>
      <c r="H25" s="82" t="s">
        <v>103</v>
      </c>
      <c r="I25" s="83"/>
      <c r="J25" s="82" t="s">
        <v>252</v>
      </c>
      <c r="K25" s="82" t="s">
        <v>250</v>
      </c>
      <c r="L25" s="82" t="s">
        <v>251</v>
      </c>
      <c r="M25" s="301" t="s">
        <v>203</v>
      </c>
      <c r="N25" s="82" t="s">
        <v>253</v>
      </c>
      <c r="O25" s="82" t="s">
        <v>30</v>
      </c>
      <c r="P25" s="83"/>
      <c r="Q25" s="82" t="s">
        <v>253</v>
      </c>
      <c r="R25" s="82" t="s">
        <v>237</v>
      </c>
      <c r="S25" s="82" t="s">
        <v>250</v>
      </c>
      <c r="T25" s="82" t="s">
        <v>251</v>
      </c>
      <c r="U25" s="302" t="s">
        <v>206</v>
      </c>
      <c r="V25" s="82" t="s">
        <v>31</v>
      </c>
      <c r="W25" s="275"/>
      <c r="X25" s="294" t="s">
        <v>202</v>
      </c>
      <c r="Y25" s="82" t="s">
        <v>237</v>
      </c>
      <c r="Z25" s="82" t="s">
        <v>252</v>
      </c>
      <c r="AA25" s="82" t="s">
        <v>251</v>
      </c>
      <c r="AB25" s="304" t="s">
        <v>207</v>
      </c>
      <c r="AC25" s="275"/>
      <c r="AD25" s="83"/>
      <c r="AE25" s="82" t="s">
        <v>237</v>
      </c>
      <c r="AF25" s="294" t="s">
        <v>202</v>
      </c>
      <c r="AG25" s="82" t="s">
        <v>252</v>
      </c>
      <c r="AH25" s="82" t="s">
        <v>250</v>
      </c>
      <c r="AI25" s="82" t="s">
        <v>253</v>
      </c>
      <c r="AJ25" s="84" t="s">
        <v>30</v>
      </c>
      <c r="AK25" s="19" t="s">
        <v>20</v>
      </c>
      <c r="AL25" s="4"/>
    </row>
    <row r="26" spans="1:38" ht="24.9" customHeight="1" x14ac:dyDescent="0.2">
      <c r="A26" s="3">
        <v>15</v>
      </c>
      <c r="B26" s="19" t="s">
        <v>133</v>
      </c>
      <c r="C26" s="81" t="s">
        <v>237</v>
      </c>
      <c r="D26" s="82" t="s">
        <v>250</v>
      </c>
      <c r="E26" s="82" t="s">
        <v>251</v>
      </c>
      <c r="F26" s="302" t="s">
        <v>206</v>
      </c>
      <c r="G26" s="82" t="s">
        <v>252</v>
      </c>
      <c r="H26" s="82" t="s">
        <v>103</v>
      </c>
      <c r="I26" s="83"/>
      <c r="J26" s="294" t="s">
        <v>202</v>
      </c>
      <c r="K26" s="82" t="s">
        <v>253</v>
      </c>
      <c r="L26" s="82" t="s">
        <v>237</v>
      </c>
      <c r="M26" s="82" t="s">
        <v>251</v>
      </c>
      <c r="N26" s="304" t="s">
        <v>207</v>
      </c>
      <c r="O26" s="82" t="s">
        <v>30</v>
      </c>
      <c r="P26" s="83"/>
      <c r="Q26" s="82" t="s">
        <v>250</v>
      </c>
      <c r="R26" s="82" t="s">
        <v>252</v>
      </c>
      <c r="S26" s="82" t="s">
        <v>253</v>
      </c>
      <c r="T26" s="294" t="s">
        <v>202</v>
      </c>
      <c r="U26" s="82" t="s">
        <v>251</v>
      </c>
      <c r="V26" s="82" t="s">
        <v>31</v>
      </c>
      <c r="W26" s="275"/>
      <c r="X26" s="82" t="s">
        <v>253</v>
      </c>
      <c r="Y26" s="294" t="s">
        <v>202</v>
      </c>
      <c r="Z26" s="82" t="s">
        <v>237</v>
      </c>
      <c r="AA26" s="82" t="s">
        <v>252</v>
      </c>
      <c r="AB26" s="82" t="s">
        <v>250</v>
      </c>
      <c r="AC26" s="275"/>
      <c r="AD26" s="83"/>
      <c r="AE26" s="82" t="s">
        <v>253</v>
      </c>
      <c r="AF26" s="82" t="s">
        <v>250</v>
      </c>
      <c r="AG26" s="82" t="s">
        <v>237</v>
      </c>
      <c r="AH26" s="82" t="s">
        <v>252</v>
      </c>
      <c r="AI26" s="301" t="s">
        <v>203</v>
      </c>
      <c r="AJ26" s="84" t="s">
        <v>30</v>
      </c>
      <c r="AK26" s="19" t="s">
        <v>133</v>
      </c>
      <c r="AL26" s="4"/>
    </row>
    <row r="27" spans="1:38" ht="24.9" customHeight="1" x14ac:dyDescent="0.2">
      <c r="A27" s="3">
        <v>16</v>
      </c>
      <c r="B27" s="19" t="s">
        <v>134</v>
      </c>
      <c r="C27" s="81" t="s">
        <v>237</v>
      </c>
      <c r="D27" s="82" t="s">
        <v>252</v>
      </c>
      <c r="E27" s="302" t="s">
        <v>206</v>
      </c>
      <c r="F27" s="82" t="s">
        <v>250</v>
      </c>
      <c r="G27" s="82" t="s">
        <v>253</v>
      </c>
      <c r="H27" s="82" t="s">
        <v>103</v>
      </c>
      <c r="I27" s="83"/>
      <c r="J27" s="294" t="s">
        <v>202</v>
      </c>
      <c r="K27" s="82" t="s">
        <v>252</v>
      </c>
      <c r="L27" s="82" t="s">
        <v>237</v>
      </c>
      <c r="M27" s="82" t="s">
        <v>250</v>
      </c>
      <c r="N27" s="304" t="s">
        <v>207</v>
      </c>
      <c r="O27" s="82" t="s">
        <v>30</v>
      </c>
      <c r="P27" s="83"/>
      <c r="Q27" s="82" t="s">
        <v>251</v>
      </c>
      <c r="R27" s="82" t="s">
        <v>253</v>
      </c>
      <c r="S27" s="82" t="s">
        <v>237</v>
      </c>
      <c r="T27" s="294" t="s">
        <v>202</v>
      </c>
      <c r="U27" s="82" t="s">
        <v>252</v>
      </c>
      <c r="V27" s="82" t="s">
        <v>31</v>
      </c>
      <c r="W27" s="275"/>
      <c r="X27" s="82" t="s">
        <v>237</v>
      </c>
      <c r="Y27" s="294" t="s">
        <v>202</v>
      </c>
      <c r="Z27" s="82" t="s">
        <v>253</v>
      </c>
      <c r="AA27" s="82" t="s">
        <v>250</v>
      </c>
      <c r="AB27" s="82" t="s">
        <v>251</v>
      </c>
      <c r="AC27" s="275"/>
      <c r="AD27" s="83"/>
      <c r="AE27" s="82" t="s">
        <v>252</v>
      </c>
      <c r="AF27" s="82" t="s">
        <v>253</v>
      </c>
      <c r="AG27" s="82" t="s">
        <v>251</v>
      </c>
      <c r="AH27" s="301" t="s">
        <v>203</v>
      </c>
      <c r="AI27" s="82" t="s">
        <v>250</v>
      </c>
      <c r="AJ27" s="84" t="s">
        <v>30</v>
      </c>
      <c r="AK27" s="19" t="s">
        <v>134</v>
      </c>
      <c r="AL27" s="4"/>
    </row>
    <row r="28" spans="1:38" ht="9.9" customHeight="1" x14ac:dyDescent="0.2">
      <c r="A28" s="3"/>
      <c r="B28" s="34"/>
      <c r="C28" s="85"/>
      <c r="D28" s="83"/>
      <c r="E28" s="83"/>
      <c r="F28" s="83"/>
      <c r="G28" s="83"/>
      <c r="H28" s="83"/>
      <c r="I28" s="86"/>
      <c r="J28" s="83"/>
      <c r="K28" s="83"/>
      <c r="L28" s="83"/>
      <c r="M28" s="83"/>
      <c r="N28" s="83"/>
      <c r="O28" s="83"/>
      <c r="P28" s="86"/>
      <c r="Q28" s="83"/>
      <c r="R28" s="83"/>
      <c r="S28" s="83"/>
      <c r="T28" s="83"/>
      <c r="U28" s="83"/>
      <c r="V28" s="83"/>
      <c r="W28" s="86"/>
      <c r="X28" s="83"/>
      <c r="Y28" s="83"/>
      <c r="Z28" s="83"/>
      <c r="AA28" s="83"/>
      <c r="AB28" s="83"/>
      <c r="AC28" s="275"/>
      <c r="AD28" s="86"/>
      <c r="AE28" s="83"/>
      <c r="AF28" s="83"/>
      <c r="AG28" s="83"/>
      <c r="AH28" s="83"/>
      <c r="AI28" s="83"/>
      <c r="AJ28" s="87"/>
      <c r="AK28" s="34"/>
      <c r="AL28" s="4"/>
    </row>
    <row r="29" spans="1:38" ht="24.9" customHeight="1" thickBot="1" x14ac:dyDescent="0.25">
      <c r="A29" s="3">
        <v>17</v>
      </c>
      <c r="B29" s="18" t="s">
        <v>12</v>
      </c>
      <c r="C29" s="306" t="s">
        <v>209</v>
      </c>
      <c r="D29" s="307" t="s">
        <v>208</v>
      </c>
      <c r="E29" s="313" t="s">
        <v>202</v>
      </c>
      <c r="F29" s="88" t="s">
        <v>252</v>
      </c>
      <c r="G29" s="88" t="s">
        <v>273</v>
      </c>
      <c r="H29" s="88" t="s">
        <v>103</v>
      </c>
      <c r="I29" s="89"/>
      <c r="J29" s="88" t="s">
        <v>257</v>
      </c>
      <c r="K29" s="88" t="s">
        <v>250</v>
      </c>
      <c r="L29" s="88" t="s">
        <v>203</v>
      </c>
      <c r="M29" s="88" t="s">
        <v>253</v>
      </c>
      <c r="N29" s="88" t="s">
        <v>256</v>
      </c>
      <c r="O29" s="88" t="s">
        <v>30</v>
      </c>
      <c r="P29" s="89"/>
      <c r="Q29" s="88" t="s">
        <v>257</v>
      </c>
      <c r="R29" s="88" t="s">
        <v>206</v>
      </c>
      <c r="S29" s="88" t="s">
        <v>206</v>
      </c>
      <c r="T29" s="88" t="s">
        <v>256</v>
      </c>
      <c r="U29" s="88" t="s">
        <v>251</v>
      </c>
      <c r="V29" s="88" t="s">
        <v>31</v>
      </c>
      <c r="W29" s="89"/>
      <c r="X29" s="88" t="s">
        <v>250</v>
      </c>
      <c r="Y29" s="313" t="s">
        <v>202</v>
      </c>
      <c r="Z29" s="88" t="s">
        <v>252</v>
      </c>
      <c r="AA29" s="88" t="s">
        <v>251</v>
      </c>
      <c r="AB29" s="88" t="s">
        <v>237</v>
      </c>
      <c r="AC29" s="276"/>
      <c r="AD29" s="89"/>
      <c r="AE29" s="88" t="s">
        <v>203</v>
      </c>
      <c r="AF29" s="88" t="s">
        <v>237</v>
      </c>
      <c r="AG29" s="88" t="s">
        <v>253</v>
      </c>
      <c r="AH29" s="88" t="s">
        <v>256</v>
      </c>
      <c r="AI29" s="313" t="s">
        <v>202</v>
      </c>
      <c r="AJ29" s="90" t="s">
        <v>30</v>
      </c>
      <c r="AK29" s="18" t="s">
        <v>12</v>
      </c>
      <c r="AL29" s="4"/>
    </row>
    <row r="30" spans="1:38" x14ac:dyDescent="0.2">
      <c r="A30" s="3"/>
      <c r="B30" s="5"/>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4"/>
    </row>
    <row r="31" spans="1:38"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sheetData>
  <customSheetViews>
    <customSheetView guid="{588B52CB-128D-4476-A8D0-8A203A5F17F0}" scale="70" showPageBreaks="1" printArea="1" hiddenRows="1" topLeftCell="A5">
      <selection activeCell="Z20" sqref="Z20"/>
      <pageMargins left="0.35433070866141736" right="0.59055118110236227" top="0.78740157480314965" bottom="0.78740157480314965" header="0.51181102362204722" footer="0.51181102362204722"/>
      <printOptions horizontalCentered="1" verticalCentered="1"/>
      <pageSetup paperSize="9" scale="87" orientation="landscape" r:id="rId1"/>
      <headerFooter alignWithMargins="0"/>
    </customSheetView>
  </customSheetViews>
  <mergeCells count="8">
    <mergeCell ref="AF3:AJ3"/>
    <mergeCell ref="AK7:AK8"/>
    <mergeCell ref="B7:B8"/>
    <mergeCell ref="AE7:AJ7"/>
    <mergeCell ref="J7:O7"/>
    <mergeCell ref="Q7:V7"/>
    <mergeCell ref="X7:AC7"/>
    <mergeCell ref="C7:H7"/>
  </mergeCells>
  <phoneticPr fontId="7"/>
  <printOptions horizontalCentered="1" verticalCentered="1"/>
  <pageMargins left="0.35433070866141736" right="0.59055118110236227" top="0.78740157480314965" bottom="0.78740157480314965" header="0.51181102362204722" footer="0.51181102362204722"/>
  <pageSetup paperSize="9" scale="87"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AG307"/>
  <sheetViews>
    <sheetView showGridLines="0" showZeros="0" view="pageBreakPreview" zoomScale="70" zoomScaleNormal="70" zoomScaleSheetLayoutView="70" workbookViewId="0">
      <selection activeCell="C2" sqref="C2"/>
    </sheetView>
  </sheetViews>
  <sheetFormatPr defaultColWidth="2.6328125" defaultRowHeight="27" customHeight="1" x14ac:dyDescent="0.2"/>
  <cols>
    <col min="1" max="1" width="2.6328125" style="162"/>
    <col min="2" max="2" width="9.36328125" style="162" customWidth="1"/>
    <col min="3" max="3" width="6.6328125" style="162" customWidth="1"/>
    <col min="4" max="4" width="7.1796875" style="164" customWidth="1"/>
    <col min="5" max="33" width="5.08984375" style="163" customWidth="1"/>
    <col min="34" max="34" width="2.6328125" style="162"/>
    <col min="35" max="35" width="2.6328125" style="162" customWidth="1"/>
    <col min="36" max="39" width="2.6328125" style="162"/>
    <col min="40" max="40" width="3" style="162" bestFit="1" customWidth="1"/>
    <col min="41" max="16384" width="2.6328125" style="162"/>
  </cols>
  <sheetData>
    <row r="2" spans="3:33" s="203" customFormat="1" ht="27" customHeight="1" x14ac:dyDescent="0.2">
      <c r="C2" s="269" t="e">
        <f>#REF!</f>
        <v>#REF!</v>
      </c>
      <c r="D2" s="268"/>
      <c r="E2" s="163"/>
      <c r="F2" s="163"/>
      <c r="G2" s="348" t="s">
        <v>191</v>
      </c>
      <c r="H2" s="348"/>
      <c r="I2" s="348"/>
      <c r="J2" s="348"/>
      <c r="K2" s="348"/>
      <c r="L2" s="348"/>
      <c r="M2" s="348"/>
      <c r="N2" s="204"/>
      <c r="O2" s="204"/>
      <c r="P2" s="204"/>
      <c r="Q2" s="204"/>
      <c r="R2" s="204"/>
      <c r="S2" s="205" t="s">
        <v>100</v>
      </c>
      <c r="T2" s="204"/>
      <c r="U2" s="204"/>
      <c r="V2" s="204"/>
      <c r="W2" s="204"/>
      <c r="X2" s="204"/>
      <c r="Y2" s="204"/>
      <c r="Z2" s="204"/>
      <c r="AA2" s="204"/>
      <c r="AB2" s="204"/>
      <c r="AC2" s="349">
        <v>45413</v>
      </c>
      <c r="AD2" s="349"/>
      <c r="AE2" s="349"/>
      <c r="AF2" s="349"/>
      <c r="AG2" s="349"/>
    </row>
    <row r="3" spans="3:33" ht="27" customHeight="1" x14ac:dyDescent="0.2">
      <c r="D3" s="262"/>
    </row>
    <row r="4" spans="3:33" ht="27" customHeight="1" x14ac:dyDescent="0.2">
      <c r="C4" s="202"/>
      <c r="D4" s="201"/>
      <c r="E4" s="187" t="s">
        <v>99</v>
      </c>
      <c r="F4" s="186"/>
      <c r="G4" s="186"/>
      <c r="H4" s="186"/>
      <c r="I4" s="186"/>
      <c r="J4" s="185"/>
      <c r="K4" s="187" t="s">
        <v>3</v>
      </c>
      <c r="L4" s="186"/>
      <c r="M4" s="186"/>
      <c r="N4" s="186"/>
      <c r="O4" s="186"/>
      <c r="P4" s="185"/>
      <c r="Q4" s="187" t="s">
        <v>5</v>
      </c>
      <c r="R4" s="186"/>
      <c r="S4" s="186"/>
      <c r="T4" s="186"/>
      <c r="U4" s="186"/>
      <c r="V4" s="185"/>
      <c r="W4" s="187" t="s">
        <v>7</v>
      </c>
      <c r="X4" s="186"/>
      <c r="Y4" s="186"/>
      <c r="Z4" s="186"/>
      <c r="AA4" s="185"/>
      <c r="AB4" s="187" t="s">
        <v>9</v>
      </c>
      <c r="AC4" s="186"/>
      <c r="AD4" s="186"/>
      <c r="AE4" s="186"/>
      <c r="AF4" s="186"/>
      <c r="AG4" s="185"/>
    </row>
    <row r="5" spans="3:33" ht="27" customHeight="1" thickBot="1" x14ac:dyDescent="0.25">
      <c r="C5" s="200"/>
      <c r="E5" s="181">
        <v>1</v>
      </c>
      <c r="F5" s="179">
        <v>2</v>
      </c>
      <c r="G5" s="179">
        <v>3</v>
      </c>
      <c r="H5" s="179">
        <v>4</v>
      </c>
      <c r="I5" s="182">
        <v>5</v>
      </c>
      <c r="J5" s="178">
        <v>6</v>
      </c>
      <c r="K5" s="181">
        <v>1</v>
      </c>
      <c r="L5" s="179">
        <v>2</v>
      </c>
      <c r="M5" s="179">
        <v>3</v>
      </c>
      <c r="N5" s="179">
        <v>4</v>
      </c>
      <c r="O5" s="179">
        <v>5</v>
      </c>
      <c r="P5" s="178">
        <v>6</v>
      </c>
      <c r="Q5" s="181">
        <v>1</v>
      </c>
      <c r="R5" s="179">
        <v>2</v>
      </c>
      <c r="S5" s="179">
        <v>3</v>
      </c>
      <c r="T5" s="179">
        <v>4</v>
      </c>
      <c r="U5" s="179">
        <v>5</v>
      </c>
      <c r="V5" s="178">
        <v>6</v>
      </c>
      <c r="W5" s="181">
        <v>1</v>
      </c>
      <c r="X5" s="179">
        <v>2</v>
      </c>
      <c r="Y5" s="179">
        <v>3</v>
      </c>
      <c r="Z5" s="179">
        <v>4</v>
      </c>
      <c r="AA5" s="178">
        <v>5</v>
      </c>
      <c r="AB5" s="181">
        <v>1</v>
      </c>
      <c r="AC5" s="179">
        <v>2</v>
      </c>
      <c r="AD5" s="179">
        <v>3</v>
      </c>
      <c r="AE5" s="179">
        <v>4</v>
      </c>
      <c r="AF5" s="179">
        <v>5</v>
      </c>
      <c r="AG5" s="178">
        <v>6</v>
      </c>
    </row>
    <row r="6" spans="3:33" ht="27" customHeight="1" thickTop="1" x14ac:dyDescent="0.2">
      <c r="C6" s="197" t="str">
        <f>'クラス別一覧（入力）'!B9</f>
        <v>1A</v>
      </c>
      <c r="D6" s="196"/>
      <c r="E6" s="237" t="str">
        <f>'クラス別一覧（入力）'!C9</f>
        <v>数</v>
      </c>
      <c r="F6" s="238" t="str">
        <f>'クラス別一覧（入力）'!D9</f>
        <v>音</v>
      </c>
      <c r="G6" s="238" t="str">
        <f>'クラス別一覧（入力）'!E9</f>
        <v>理</v>
      </c>
      <c r="H6" s="238" t="str">
        <f>'クラス別一覧（入力）'!F9</f>
        <v>保体</v>
      </c>
      <c r="I6" s="239" t="str">
        <f>'クラス別一覧（入力）'!G9</f>
        <v>社</v>
      </c>
      <c r="J6" s="240" t="str">
        <f>'クラス別一覧（入力）'!H9</f>
        <v>道</v>
      </c>
      <c r="K6" s="237" t="str">
        <f>'クラス別一覧（入力）'!J9</f>
        <v>技</v>
      </c>
      <c r="L6" s="238" t="str">
        <f>'クラス別一覧（入力）'!K9</f>
        <v>家</v>
      </c>
      <c r="M6" s="238" t="str">
        <f>'クラス別一覧（入力）'!L9</f>
        <v>理</v>
      </c>
      <c r="N6" s="238" t="str">
        <f>'クラス別一覧（入力）'!M9</f>
        <v>国</v>
      </c>
      <c r="O6" s="238" t="str">
        <f>'クラス別一覧（入力）'!N9</f>
        <v>保体</v>
      </c>
      <c r="P6" s="240" t="str">
        <f>'クラス別一覧（入力）'!O9</f>
        <v>英</v>
      </c>
      <c r="Q6" s="237" t="str">
        <f>'クラス別一覧（入力）'!Q9</f>
        <v>社</v>
      </c>
      <c r="R6" s="238" t="str">
        <f>'クラス別一覧（入力）'!R9</f>
        <v>音美</v>
      </c>
      <c r="S6" s="238" t="str">
        <f>'クラス別一覧（入力）'!S9</f>
        <v>数</v>
      </c>
      <c r="T6" s="238" t="str">
        <f>'クラス別一覧（入力）'!T9</f>
        <v>国</v>
      </c>
      <c r="U6" s="238" t="str">
        <f>'クラス別一覧（入力）'!U9</f>
        <v>英</v>
      </c>
      <c r="V6" s="240" t="str">
        <f>'クラス別一覧（入力）'!V9</f>
        <v>学</v>
      </c>
      <c r="W6" s="237" t="str">
        <f>'クラス別一覧（入力）'!X9</f>
        <v>美</v>
      </c>
      <c r="X6" s="238" t="str">
        <f>'クラス別一覧（入力）'!Y9</f>
        <v>国</v>
      </c>
      <c r="Y6" s="238" t="str">
        <f>'クラス別一覧（入力）'!Z9</f>
        <v>英</v>
      </c>
      <c r="Z6" s="238" t="str">
        <f>'クラス別一覧（入力）'!AA9</f>
        <v>理</v>
      </c>
      <c r="AA6" s="240" t="str">
        <f>'クラス別一覧（入力）'!AB9</f>
        <v>数</v>
      </c>
      <c r="AB6" s="237" t="str">
        <f>'クラス別一覧（入力）'!AE9</f>
        <v>社</v>
      </c>
      <c r="AC6" s="238" t="str">
        <f>'クラス別一覧（入力）'!AF9</f>
        <v>数</v>
      </c>
      <c r="AD6" s="238" t="str">
        <f>'クラス別一覧（入力）'!AG9</f>
        <v>保体</v>
      </c>
      <c r="AE6" s="238" t="str">
        <f>'クラス別一覧（入力）'!AH9</f>
        <v>英</v>
      </c>
      <c r="AF6" s="238" t="str">
        <f>'クラス別一覧（入力）'!AI9</f>
        <v>国</v>
      </c>
      <c r="AG6" s="241" t="str">
        <f>'クラス別一覧（入力）'!AJ9</f>
        <v>総</v>
      </c>
    </row>
    <row r="7" spans="3:33" ht="27" customHeight="1" x14ac:dyDescent="0.2">
      <c r="C7" s="195" t="str">
        <f>'クラス別一覧（入力）'!B10</f>
        <v>1B</v>
      </c>
      <c r="D7" s="194"/>
      <c r="E7" s="242" t="str">
        <f>'クラス別一覧（入力）'!C10</f>
        <v>音</v>
      </c>
      <c r="F7" s="243" t="str">
        <f>'クラス別一覧（入力）'!D10</f>
        <v>数</v>
      </c>
      <c r="G7" s="243" t="str">
        <f>'クラス別一覧（入力）'!E10</f>
        <v>国</v>
      </c>
      <c r="H7" s="243" t="str">
        <f>'クラス別一覧（入力）'!F10</f>
        <v>保体</v>
      </c>
      <c r="I7" s="244" t="str">
        <f>'クラス別一覧（入力）'!G10</f>
        <v>英</v>
      </c>
      <c r="J7" s="245" t="str">
        <f>'クラス別一覧（入力）'!H10</f>
        <v>道</v>
      </c>
      <c r="K7" s="242" t="str">
        <f>'クラス別一覧（入力）'!J10</f>
        <v>家</v>
      </c>
      <c r="L7" s="243" t="str">
        <f>'クラス別一覧（入力）'!K10</f>
        <v>技</v>
      </c>
      <c r="M7" s="243" t="str">
        <f>'クラス別一覧（入力）'!L10</f>
        <v>国</v>
      </c>
      <c r="N7" s="243" t="str">
        <f>'クラス別一覧（入力）'!M10</f>
        <v>社</v>
      </c>
      <c r="O7" s="243" t="str">
        <f>'クラス別一覧（入力）'!N10</f>
        <v>保体</v>
      </c>
      <c r="P7" s="245" t="str">
        <f>'クラス別一覧（入力）'!O10</f>
        <v>理</v>
      </c>
      <c r="Q7" s="242" t="str">
        <f>'クラス別一覧（入力）'!Q10</f>
        <v>数</v>
      </c>
      <c r="R7" s="243" t="str">
        <f>'クラス別一覧（入力）'!R10</f>
        <v>美音</v>
      </c>
      <c r="S7" s="243" t="str">
        <f>'クラス別一覧（入力）'!S10</f>
        <v>英</v>
      </c>
      <c r="T7" s="243" t="str">
        <f>'クラス別一覧（入力）'!T10</f>
        <v>社</v>
      </c>
      <c r="U7" s="243" t="str">
        <f>'クラス別一覧（入力）'!U10</f>
        <v>理</v>
      </c>
      <c r="V7" s="245" t="str">
        <f>'クラス別一覧（入力）'!V10</f>
        <v>学</v>
      </c>
      <c r="W7" s="242" t="str">
        <f>'クラス別一覧（入力）'!X10</f>
        <v>数</v>
      </c>
      <c r="X7" s="243" t="str">
        <f>'クラス別一覧（入力）'!Y10</f>
        <v>英</v>
      </c>
      <c r="Y7" s="243" t="str">
        <f>'クラス別一覧（入力）'!Z10</f>
        <v>美</v>
      </c>
      <c r="Z7" s="243" t="str">
        <f>'クラス別一覧（入力）'!AA10</f>
        <v>国</v>
      </c>
      <c r="AA7" s="245" t="str">
        <f>'クラス別一覧（入力）'!AB10</f>
        <v>社</v>
      </c>
      <c r="AB7" s="242" t="str">
        <f>'クラス別一覧（入力）'!AE10</f>
        <v>英</v>
      </c>
      <c r="AC7" s="243" t="str">
        <f>'クラス別一覧（入力）'!AF10</f>
        <v>国</v>
      </c>
      <c r="AD7" s="243" t="str">
        <f>'クラス別一覧（入力）'!AG10</f>
        <v>保体</v>
      </c>
      <c r="AE7" s="243" t="str">
        <f>'クラス別一覧（入力）'!AH10</f>
        <v>理</v>
      </c>
      <c r="AF7" s="243" t="str">
        <f>'クラス別一覧（入力）'!AI10</f>
        <v>数</v>
      </c>
      <c r="AG7" s="246" t="str">
        <f>'クラス別一覧（入力）'!AJ10</f>
        <v>総</v>
      </c>
    </row>
    <row r="8" spans="3:33" ht="27" customHeight="1" x14ac:dyDescent="0.2">
      <c r="C8" s="199" t="str">
        <f>'クラス別一覧（入力）'!B11</f>
        <v>1C</v>
      </c>
      <c r="D8" s="198"/>
      <c r="E8" s="247" t="str">
        <f>'クラス別一覧（入力）'!C11</f>
        <v>英</v>
      </c>
      <c r="F8" s="248" t="str">
        <f>'クラス別一覧（入力）'!D11</f>
        <v>保体</v>
      </c>
      <c r="G8" s="248" t="str">
        <f>'クラス別一覧（入力）'!E11</f>
        <v>数</v>
      </c>
      <c r="H8" s="248" t="str">
        <f>'クラス別一覧（入力）'!F11</f>
        <v>国</v>
      </c>
      <c r="I8" s="249" t="str">
        <f>'クラス別一覧（入力）'!G11</f>
        <v>音</v>
      </c>
      <c r="J8" s="250" t="str">
        <f>'クラス別一覧（入力）'!H11</f>
        <v>道</v>
      </c>
      <c r="K8" s="247" t="str">
        <f>'クラス別一覧（入力）'!J11</f>
        <v>理</v>
      </c>
      <c r="L8" s="248" t="str">
        <f>'クラス別一覧（入力）'!K11</f>
        <v>国</v>
      </c>
      <c r="M8" s="248" t="str">
        <f>'クラス別一覧（入力）'!L11</f>
        <v>英</v>
      </c>
      <c r="N8" s="248" t="str">
        <f>'クラス別一覧（入力）'!M11</f>
        <v>保体</v>
      </c>
      <c r="O8" s="248" t="str">
        <f>'クラス別一覧（入力）'!N11</f>
        <v>美</v>
      </c>
      <c r="P8" s="250" t="str">
        <f>'クラス別一覧（入力）'!O11</f>
        <v>数</v>
      </c>
      <c r="Q8" s="247" t="str">
        <f>'クラス別一覧（入力）'!Q11</f>
        <v>音美</v>
      </c>
      <c r="R8" s="248" t="str">
        <f>'クラス別一覧（入力）'!R11</f>
        <v>数</v>
      </c>
      <c r="S8" s="248" t="str">
        <f>'クラス別一覧（入力）'!S11</f>
        <v>社</v>
      </c>
      <c r="T8" s="248" t="str">
        <f>'クラス別一覧（入力）'!T11</f>
        <v>理</v>
      </c>
      <c r="U8" s="248" t="str">
        <f>'クラス別一覧（入力）'!U11</f>
        <v>英</v>
      </c>
      <c r="V8" s="250" t="str">
        <f>'クラス別一覧（入力）'!V11</f>
        <v>学</v>
      </c>
      <c r="W8" s="247" t="str">
        <f>'クラス別一覧（入力）'!X11</f>
        <v>英</v>
      </c>
      <c r="X8" s="248" t="str">
        <f>'クラス別一覧（入力）'!Y11</f>
        <v>数</v>
      </c>
      <c r="Y8" s="248" t="str">
        <f>'クラス別一覧（入力）'!Z11</f>
        <v>国</v>
      </c>
      <c r="Z8" s="248" t="str">
        <f>'クラス別一覧（入力）'!AA11</f>
        <v>社</v>
      </c>
      <c r="AA8" s="250" t="str">
        <f>'クラス別一覧（入力）'!AB11</f>
        <v>保体</v>
      </c>
      <c r="AB8" s="247" t="str">
        <f>'クラス別一覧（入力）'!AE11</f>
        <v>家</v>
      </c>
      <c r="AC8" s="248" t="str">
        <f>'クラス別一覧（入力）'!AF11</f>
        <v>技</v>
      </c>
      <c r="AD8" s="248" t="str">
        <f>'クラス別一覧（入力）'!AG11</f>
        <v>理</v>
      </c>
      <c r="AE8" s="248" t="str">
        <f>'クラス別一覧（入力）'!AH11</f>
        <v>国</v>
      </c>
      <c r="AF8" s="248" t="str">
        <f>'クラス別一覧（入力）'!AI11</f>
        <v>社</v>
      </c>
      <c r="AG8" s="251" t="str">
        <f>'クラス別一覧（入力）'!AJ11</f>
        <v>総</v>
      </c>
    </row>
    <row r="9" spans="3:33" ht="27" customHeight="1" x14ac:dyDescent="0.2">
      <c r="C9" s="199" t="str">
        <f>'クラス別一覧（入力）'!B12</f>
        <v>1D</v>
      </c>
      <c r="D9" s="198"/>
      <c r="E9" s="247" t="str">
        <f>'クラス別一覧（入力）'!C12</f>
        <v>社</v>
      </c>
      <c r="F9" s="248" t="str">
        <f>'クラス別一覧（入力）'!D12</f>
        <v>保体</v>
      </c>
      <c r="G9" s="248" t="str">
        <f>'クラス別一覧（入力）'!E12</f>
        <v>国</v>
      </c>
      <c r="H9" s="248" t="str">
        <f>'クラス別一覧（入力）'!F12</f>
        <v>音</v>
      </c>
      <c r="I9" s="249" t="str">
        <f>'クラス別一覧（入力）'!G12</f>
        <v>数</v>
      </c>
      <c r="J9" s="250" t="str">
        <f>'クラス別一覧（入力）'!H12</f>
        <v>道</v>
      </c>
      <c r="K9" s="247" t="str">
        <f>'クラス別一覧（入力）'!J12</f>
        <v>国</v>
      </c>
      <c r="L9" s="248" t="str">
        <f>'クラス別一覧（入力）'!K12</f>
        <v>理</v>
      </c>
      <c r="M9" s="248" t="str">
        <f>'クラス別一覧（入力）'!L12</f>
        <v>数</v>
      </c>
      <c r="N9" s="248" t="str">
        <f>'クラス別一覧（入力）'!M12</f>
        <v>保体</v>
      </c>
      <c r="O9" s="248" t="str">
        <f>'クラス別一覧（入力）'!N12</f>
        <v>英</v>
      </c>
      <c r="P9" s="250" t="str">
        <f>'クラス別一覧（入力）'!O12</f>
        <v>美</v>
      </c>
      <c r="Q9" s="247" t="str">
        <f>'クラス別一覧（入力）'!Q12</f>
        <v>美音</v>
      </c>
      <c r="R9" s="248" t="str">
        <f>'クラス別一覧（入力）'!R12</f>
        <v>国</v>
      </c>
      <c r="S9" s="248" t="str">
        <f>'クラス別一覧（入力）'!S12</f>
        <v>理</v>
      </c>
      <c r="T9" s="248" t="str">
        <f>'クラス別一覧（入力）'!T12</f>
        <v>英</v>
      </c>
      <c r="U9" s="248" t="str">
        <f>'クラス別一覧（入力）'!U12</f>
        <v>数</v>
      </c>
      <c r="V9" s="250" t="str">
        <f>'クラス別一覧（入力）'!V12</f>
        <v>学</v>
      </c>
      <c r="W9" s="247" t="str">
        <f>'クラス別一覧（入力）'!X12</f>
        <v>国</v>
      </c>
      <c r="X9" s="248" t="str">
        <f>'クラス別一覧（入力）'!Y12</f>
        <v>数</v>
      </c>
      <c r="Y9" s="248" t="str">
        <f>'クラス別一覧（入力）'!Z12</f>
        <v>社</v>
      </c>
      <c r="Z9" s="248" t="str">
        <f>'クラス別一覧（入力）'!AA12</f>
        <v>英</v>
      </c>
      <c r="AA9" s="250" t="str">
        <f>'クラス別一覧（入力）'!AB12</f>
        <v>保体</v>
      </c>
      <c r="AB9" s="247" t="str">
        <f>'クラス別一覧（入力）'!AE12</f>
        <v>技</v>
      </c>
      <c r="AC9" s="248" t="str">
        <f>'クラス別一覧（入力）'!AF12</f>
        <v>家</v>
      </c>
      <c r="AD9" s="248" t="str">
        <f>'クラス別一覧（入力）'!AG12</f>
        <v>英</v>
      </c>
      <c r="AE9" s="248" t="str">
        <f>'クラス別一覧（入力）'!AH12</f>
        <v>社</v>
      </c>
      <c r="AF9" s="248" t="str">
        <f>'クラス別一覧（入力）'!AI12</f>
        <v>理</v>
      </c>
      <c r="AG9" s="251" t="str">
        <f>'クラス別一覧（入力）'!AJ12</f>
        <v>総</v>
      </c>
    </row>
    <row r="10" spans="3:33" ht="27" customHeight="1" x14ac:dyDescent="0.2">
      <c r="C10" s="199" t="str">
        <f>'クラス別一覧（入力）'!B13</f>
        <v>1E</v>
      </c>
      <c r="D10" s="198"/>
      <c r="E10" s="247" t="str">
        <f>'クラス別一覧（入力）'!C13</f>
        <v>国</v>
      </c>
      <c r="F10" s="248" t="str">
        <f>'クラス別一覧（入力）'!D13</f>
        <v>理</v>
      </c>
      <c r="G10" s="248" t="str">
        <f>'クラス別一覧（入力）'!E13</f>
        <v>保体</v>
      </c>
      <c r="H10" s="248" t="str">
        <f>'クラス別一覧（入力）'!F13</f>
        <v>数</v>
      </c>
      <c r="I10" s="249" t="str">
        <f>'クラス別一覧（入力）'!G13</f>
        <v>社</v>
      </c>
      <c r="J10" s="250" t="str">
        <f>'クラス別一覧（入力）'!H13</f>
        <v>道</v>
      </c>
      <c r="K10" s="247" t="str">
        <f>'クラス別一覧（入力）'!J13</f>
        <v>社</v>
      </c>
      <c r="L10" s="248" t="str">
        <f>'クラス別一覧（入力）'!K13</f>
        <v>音美</v>
      </c>
      <c r="M10" s="248" t="str">
        <f>'クラス別一覧（入力）'!L13</f>
        <v>数</v>
      </c>
      <c r="N10" s="248" t="str">
        <f>'クラス別一覧（入力）'!M13</f>
        <v>英</v>
      </c>
      <c r="O10" s="248" t="str">
        <f>'クラス別一覧（入力）'!N13</f>
        <v>理</v>
      </c>
      <c r="P10" s="250" t="str">
        <f>'クラス別一覧（入力）'!O13</f>
        <v>国</v>
      </c>
      <c r="Q10" s="247" t="str">
        <f>'クラス別一覧（入力）'!Q13</f>
        <v>数</v>
      </c>
      <c r="R10" s="248" t="str">
        <f>'クラス別一覧（入力）'!R13</f>
        <v>英</v>
      </c>
      <c r="S10" s="248" t="str">
        <f>'クラス別一覧（入力）'!S13</f>
        <v>家</v>
      </c>
      <c r="T10" s="248" t="str">
        <f>'クラス別一覧（入力）'!T13</f>
        <v>技</v>
      </c>
      <c r="U10" s="248" t="str">
        <f>'クラス別一覧（入力）'!U13</f>
        <v>保体</v>
      </c>
      <c r="V10" s="250" t="str">
        <f>'クラス別一覧（入力）'!V13</f>
        <v>学</v>
      </c>
      <c r="W10" s="247" t="str">
        <f>'クラス別一覧（入力）'!X13</f>
        <v>音</v>
      </c>
      <c r="X10" s="248" t="str">
        <f>'クラス別一覧（入力）'!Y13</f>
        <v>英</v>
      </c>
      <c r="Y10" s="248" t="str">
        <f>'クラス別一覧（入力）'!Z13</f>
        <v>理</v>
      </c>
      <c r="Z10" s="248" t="str">
        <f>'クラス別一覧（入力）'!AA13</f>
        <v>美</v>
      </c>
      <c r="AA10" s="250" t="str">
        <f>'クラス別一覧（入力）'!AB13</f>
        <v>国</v>
      </c>
      <c r="AB10" s="247" t="str">
        <f>'クラス別一覧（入力）'!AE13</f>
        <v>数</v>
      </c>
      <c r="AC10" s="248" t="str">
        <f>'クラス別一覧（入力）'!AF13</f>
        <v>社</v>
      </c>
      <c r="AD10" s="248" t="str">
        <f>'クラス別一覧（入力）'!AG13</f>
        <v>国</v>
      </c>
      <c r="AE10" s="248" t="str">
        <f>'クラス別一覧（入力）'!AH13</f>
        <v>保体</v>
      </c>
      <c r="AF10" s="248" t="str">
        <f>'クラス別一覧（入力）'!AI13</f>
        <v>英</v>
      </c>
      <c r="AG10" s="251" t="str">
        <f>'クラス別一覧（入力）'!AJ13</f>
        <v>総</v>
      </c>
    </row>
    <row r="11" spans="3:33" ht="27" customHeight="1" thickBot="1" x14ac:dyDescent="0.25">
      <c r="C11" s="199" t="str">
        <f>'クラス別一覧（入力）'!B14</f>
        <v>1F</v>
      </c>
      <c r="D11" s="198"/>
      <c r="E11" s="247" t="str">
        <f>'クラス別一覧（入力）'!C14</f>
        <v>数</v>
      </c>
      <c r="F11" s="248" t="str">
        <f>'クラス別一覧（入力）'!D14</f>
        <v>英</v>
      </c>
      <c r="G11" s="248" t="str">
        <f>'クラス別一覧（入力）'!E14</f>
        <v>保体</v>
      </c>
      <c r="H11" s="248" t="str">
        <f>'クラス別一覧（入力）'!F14</f>
        <v>国</v>
      </c>
      <c r="I11" s="249" t="str">
        <f>'クラス別一覧（入力）'!G14</f>
        <v>理</v>
      </c>
      <c r="J11" s="250" t="str">
        <f>'クラス別一覧（入力）'!H14</f>
        <v>道</v>
      </c>
      <c r="K11" s="247" t="str">
        <f>'クラス別一覧（入力）'!J14</f>
        <v>英</v>
      </c>
      <c r="L11" s="248" t="str">
        <f>'クラス別一覧（入力）'!K14</f>
        <v>美音</v>
      </c>
      <c r="M11" s="248" t="str">
        <f>'クラス別一覧（入力）'!L14</f>
        <v>社</v>
      </c>
      <c r="N11" s="248" t="str">
        <f>'クラス別一覧（入力）'!M14</f>
        <v>理</v>
      </c>
      <c r="O11" s="248" t="str">
        <f>'クラス別一覧（入力）'!N14</f>
        <v>国</v>
      </c>
      <c r="P11" s="250" t="str">
        <f>'クラス別一覧（入力）'!O14</f>
        <v>数</v>
      </c>
      <c r="Q11" s="247" t="str">
        <f>'クラス別一覧（入力）'!Q14</f>
        <v>国</v>
      </c>
      <c r="R11" s="248" t="str">
        <f>'クラス別一覧（入力）'!R14</f>
        <v>理</v>
      </c>
      <c r="S11" s="248" t="str">
        <f>'クラス別一覧（入力）'!S14</f>
        <v>技</v>
      </c>
      <c r="T11" s="248" t="str">
        <f>'クラス別一覧（入力）'!T14</f>
        <v>家</v>
      </c>
      <c r="U11" s="248" t="str">
        <f>'クラス別一覧（入力）'!U14</f>
        <v>保体</v>
      </c>
      <c r="V11" s="250" t="str">
        <f>'クラス別一覧（入力）'!V14</f>
        <v>学</v>
      </c>
      <c r="W11" s="247" t="str">
        <f>'クラス別一覧（入力）'!X14</f>
        <v>社</v>
      </c>
      <c r="X11" s="248" t="str">
        <f>'クラス別一覧（入力）'!Y14</f>
        <v>音</v>
      </c>
      <c r="Y11" s="248" t="str">
        <f>'クラス別一覧（入力）'!Z14</f>
        <v>英</v>
      </c>
      <c r="Z11" s="248" t="str">
        <f>'クラス別一覧（入力）'!AA14</f>
        <v>国</v>
      </c>
      <c r="AA11" s="250" t="str">
        <f>'クラス別一覧（入力）'!AB14</f>
        <v>数</v>
      </c>
      <c r="AB11" s="247" t="str">
        <f>'クラス別一覧（入力）'!AE14</f>
        <v>社</v>
      </c>
      <c r="AC11" s="248" t="str">
        <f>'クラス別一覧（入力）'!AF14</f>
        <v>英</v>
      </c>
      <c r="AD11" s="248" t="str">
        <f>'クラス別一覧（入力）'!AG14</f>
        <v>数</v>
      </c>
      <c r="AE11" s="248" t="str">
        <f>'クラス別一覧（入力）'!AH14</f>
        <v>保体</v>
      </c>
      <c r="AF11" s="248" t="str">
        <f>'クラス別一覧（入力）'!AI14</f>
        <v>美</v>
      </c>
      <c r="AG11" s="251" t="str">
        <f>'クラス別一覧（入力）'!AJ14</f>
        <v>総</v>
      </c>
    </row>
    <row r="12" spans="3:33" ht="27" customHeight="1" thickTop="1" x14ac:dyDescent="0.2">
      <c r="C12" s="197" t="str">
        <f>'クラス別一覧（入力）'!B16</f>
        <v>2A</v>
      </c>
      <c r="D12" s="196"/>
      <c r="E12" s="237" t="str">
        <f>'クラス別一覧（入力）'!C16</f>
        <v>保体</v>
      </c>
      <c r="F12" s="238" t="str">
        <f>'クラス別一覧（入力）'!D16</f>
        <v>数</v>
      </c>
      <c r="G12" s="238" t="str">
        <f>'クラス別一覧（入力）'!E16</f>
        <v>社</v>
      </c>
      <c r="H12" s="238" t="str">
        <f>'クラス別一覧（入力）'!F16</f>
        <v>理</v>
      </c>
      <c r="I12" s="239" t="str">
        <f>'クラス別一覧（入力）'!G16</f>
        <v>国Ⅰ</v>
      </c>
      <c r="J12" s="240" t="str">
        <f>'クラス別一覧（入力）'!H16</f>
        <v>道</v>
      </c>
      <c r="K12" s="237" t="str">
        <f>'クラス別一覧（入力）'!J16</f>
        <v>英</v>
      </c>
      <c r="L12" s="238" t="str">
        <f>'クラス別一覧（入力）'!K16</f>
        <v>美</v>
      </c>
      <c r="M12" s="238" t="str">
        <f>'クラス別一覧（入力）'!L16</f>
        <v>理</v>
      </c>
      <c r="N12" s="238" t="str">
        <f>'クラス別一覧（入力）'!M16</f>
        <v>数</v>
      </c>
      <c r="O12" s="238" t="str">
        <f>'クラス別一覧（入力）'!N16</f>
        <v>国Ⅱ</v>
      </c>
      <c r="P12" s="240" t="str">
        <f>'クラス別一覧（入力）'!O16</f>
        <v>総</v>
      </c>
      <c r="Q12" s="237" t="str">
        <f>'クラス別一覧（入力）'!Q16</f>
        <v>保体</v>
      </c>
      <c r="R12" s="238" t="str">
        <f>'クラス別一覧（入力）'!R16</f>
        <v>社</v>
      </c>
      <c r="S12" s="238" t="str">
        <f>'クラス別一覧（入力）'!S16</f>
        <v>数</v>
      </c>
      <c r="T12" s="238" t="str">
        <f>'クラス別一覧（入力）'!T16</f>
        <v>英</v>
      </c>
      <c r="U12" s="238" t="str">
        <f>'クラス別一覧（入力）'!U16</f>
        <v>技</v>
      </c>
      <c r="V12" s="240" t="str">
        <f>'クラス別一覧（入力）'!V16</f>
        <v>学</v>
      </c>
      <c r="W12" s="237" t="str">
        <f>'クラス別一覧（入力）'!X16</f>
        <v>理</v>
      </c>
      <c r="X12" s="238" t="str">
        <f>'クラス別一覧（入力）'!Y16</f>
        <v>家</v>
      </c>
      <c r="Y12" s="238" t="str">
        <f>'クラス別一覧（入力）'!Z16</f>
        <v>国Ⅰ</v>
      </c>
      <c r="Z12" s="238" t="str">
        <f>'クラス別一覧（入力）'!AA16</f>
        <v>保体</v>
      </c>
      <c r="AA12" s="240" t="str">
        <f>'クラス別一覧（入力）'!AB16</f>
        <v>英</v>
      </c>
      <c r="AB12" s="237" t="str">
        <f>'クラス別一覧（入力）'!AE16</f>
        <v>理</v>
      </c>
      <c r="AC12" s="238" t="str">
        <f>'クラス別一覧（入力）'!AF16</f>
        <v>国Ⅰ</v>
      </c>
      <c r="AD12" s="238" t="str">
        <f>'クラス別一覧（入力）'!AG16</f>
        <v>音</v>
      </c>
      <c r="AE12" s="238" t="str">
        <f>'クラス別一覧（入力）'!AH16</f>
        <v>英</v>
      </c>
      <c r="AF12" s="238" t="str">
        <f>'クラス別一覧（入力）'!AI16</f>
        <v>社</v>
      </c>
      <c r="AG12" s="241" t="str">
        <f>'クラス別一覧（入力）'!AJ16</f>
        <v>総</v>
      </c>
    </row>
    <row r="13" spans="3:33" ht="27" customHeight="1" x14ac:dyDescent="0.2">
      <c r="C13" s="195" t="str">
        <f>'クラス別一覧（入力）'!B17</f>
        <v>2B</v>
      </c>
      <c r="D13" s="194"/>
      <c r="E13" s="242" t="str">
        <f>'クラス別一覧（入力）'!C17</f>
        <v>保体</v>
      </c>
      <c r="F13" s="243" t="str">
        <f>'クラス別一覧（入力）'!D17</f>
        <v>国Ⅱ</v>
      </c>
      <c r="G13" s="243" t="str">
        <f>'クラス別一覧（入力）'!E17</f>
        <v>数</v>
      </c>
      <c r="H13" s="243" t="str">
        <f>'クラス別一覧（入力）'!F17</f>
        <v>社</v>
      </c>
      <c r="I13" s="244" t="str">
        <f>'クラス別一覧（入力）'!G17</f>
        <v>家</v>
      </c>
      <c r="J13" s="245" t="str">
        <f>'クラス別一覧（入力）'!H17</f>
        <v>道</v>
      </c>
      <c r="K13" s="242" t="str">
        <f>'クラス別一覧（入力）'!J17</f>
        <v>理</v>
      </c>
      <c r="L13" s="243" t="str">
        <f>'クラス別一覧（入力）'!K17</f>
        <v>英</v>
      </c>
      <c r="M13" s="243" t="str">
        <f>'クラス別一覧（入力）'!L17</f>
        <v>美</v>
      </c>
      <c r="N13" s="243" t="str">
        <f>'クラス別一覧（入力）'!M17</f>
        <v>社</v>
      </c>
      <c r="O13" s="243" t="str">
        <f>'クラス別一覧（入力）'!N17</f>
        <v>国Ⅰ</v>
      </c>
      <c r="P13" s="245" t="str">
        <f>'クラス別一覧（入力）'!O17</f>
        <v>総</v>
      </c>
      <c r="Q13" s="242" t="str">
        <f>'クラス別一覧（入力）'!Q17</f>
        <v>保体</v>
      </c>
      <c r="R13" s="243" t="str">
        <f>'クラス別一覧（入力）'!R17</f>
        <v>国Ⅰ</v>
      </c>
      <c r="S13" s="243" t="str">
        <f>'クラス別一覧（入力）'!S17</f>
        <v>社</v>
      </c>
      <c r="T13" s="243" t="str">
        <f>'クラス別一覧（入力）'!T17</f>
        <v>理</v>
      </c>
      <c r="U13" s="243" t="str">
        <f>'クラス別一覧（入力）'!U17</f>
        <v>英</v>
      </c>
      <c r="V13" s="245" t="str">
        <f>'クラス別一覧（入力）'!V17</f>
        <v>学</v>
      </c>
      <c r="W13" s="242" t="str">
        <f>'クラス別一覧（入力）'!X17</f>
        <v>英</v>
      </c>
      <c r="X13" s="243" t="str">
        <f>'クラス別一覧（入力）'!Y17</f>
        <v>技</v>
      </c>
      <c r="Y13" s="243" t="str">
        <f>'クラス別一覧（入力）'!Z17</f>
        <v>理</v>
      </c>
      <c r="Z13" s="243" t="str">
        <f>'クラス別一覧（入力）'!AA17</f>
        <v>保体</v>
      </c>
      <c r="AA13" s="245" t="str">
        <f>'クラス別一覧（入力）'!AB17</f>
        <v>数</v>
      </c>
      <c r="AB13" s="242" t="str">
        <f>'クラス別一覧（入力）'!AE17</f>
        <v>数</v>
      </c>
      <c r="AC13" s="243" t="str">
        <f>'クラス別一覧（入力）'!AF17</f>
        <v>音</v>
      </c>
      <c r="AD13" s="243" t="str">
        <f>'クラス別一覧（入力）'!AG17</f>
        <v>英</v>
      </c>
      <c r="AE13" s="243" t="str">
        <f>'クラス別一覧（入力）'!AH17</f>
        <v>理</v>
      </c>
      <c r="AF13" s="243" t="str">
        <f>'クラス別一覧（入力）'!AI17</f>
        <v>国Ⅰ</v>
      </c>
      <c r="AG13" s="246" t="str">
        <f>'クラス別一覧（入力）'!AJ17</f>
        <v>総</v>
      </c>
    </row>
    <row r="14" spans="3:33" ht="27" customHeight="1" x14ac:dyDescent="0.2">
      <c r="C14" s="199" t="str">
        <f>'クラス別一覧（入力）'!B18</f>
        <v>2C</v>
      </c>
      <c r="D14" s="198"/>
      <c r="E14" s="247" t="str">
        <f>'クラス別一覧（入力）'!C18</f>
        <v>理</v>
      </c>
      <c r="F14" s="248" t="str">
        <f>'クラス別一覧（入力）'!D18</f>
        <v>英</v>
      </c>
      <c r="G14" s="248" t="str">
        <f>'クラス別一覧（入力）'!E18</f>
        <v>社</v>
      </c>
      <c r="H14" s="248" t="str">
        <f>'クラス別一覧（入力）'!F18</f>
        <v>技</v>
      </c>
      <c r="I14" s="249" t="str">
        <f>'クラス別一覧（入力）'!G18</f>
        <v>国Ⅱ</v>
      </c>
      <c r="J14" s="250" t="str">
        <f>'クラス別一覧（入力）'!H18</f>
        <v>道</v>
      </c>
      <c r="K14" s="247" t="str">
        <f>'クラス別一覧（入力）'!J18</f>
        <v>国Ⅰ</v>
      </c>
      <c r="L14" s="248" t="str">
        <f>'クラス別一覧（入力）'!K18</f>
        <v>保体</v>
      </c>
      <c r="M14" s="248" t="str">
        <f>'クラス別一覧（入力）'!L18</f>
        <v>英</v>
      </c>
      <c r="N14" s="248" t="str">
        <f>'クラス別一覧（入力）'!M18</f>
        <v>理</v>
      </c>
      <c r="O14" s="248" t="str">
        <f>'クラス別一覧（入力）'!N18</f>
        <v>数</v>
      </c>
      <c r="P14" s="250" t="str">
        <f>'クラス別一覧（入力）'!O18</f>
        <v>総</v>
      </c>
      <c r="Q14" s="247" t="str">
        <f>'クラス別一覧（入力）'!Q18</f>
        <v>社</v>
      </c>
      <c r="R14" s="248" t="str">
        <f>'クラス別一覧（入力）'!R18</f>
        <v>数</v>
      </c>
      <c r="S14" s="248" t="str">
        <f>'クラス別一覧（入力）'!S18</f>
        <v>保体</v>
      </c>
      <c r="T14" s="248" t="str">
        <f>'クラス別一覧（入力）'!T18</f>
        <v>国Ⅰ</v>
      </c>
      <c r="U14" s="248" t="str">
        <f>'クラス別一覧（入力）'!U18</f>
        <v>理</v>
      </c>
      <c r="V14" s="250" t="str">
        <f>'クラス別一覧（入力）'!V18</f>
        <v>学</v>
      </c>
      <c r="W14" s="247" t="str">
        <f>'クラス別一覧（入力）'!X18</f>
        <v>数</v>
      </c>
      <c r="X14" s="248" t="str">
        <f>'クラス別一覧（入力）'!Y18</f>
        <v>社</v>
      </c>
      <c r="Y14" s="248" t="str">
        <f>'クラス別一覧（入力）'!Z18</f>
        <v>家</v>
      </c>
      <c r="Z14" s="248" t="str">
        <f>'クラス別一覧（入力）'!AA18</f>
        <v>英</v>
      </c>
      <c r="AA14" s="250" t="str">
        <f>'クラス別一覧（入力）'!AB18</f>
        <v>音</v>
      </c>
      <c r="AB14" s="247" t="str">
        <f>'クラス別一覧（入力）'!AE18</f>
        <v>国Ⅰ</v>
      </c>
      <c r="AC14" s="248" t="str">
        <f>'クラス別一覧（入力）'!AF18</f>
        <v>理</v>
      </c>
      <c r="AD14" s="248" t="str">
        <f>'クラス別一覧（入力）'!AG18</f>
        <v>美</v>
      </c>
      <c r="AE14" s="248" t="str">
        <f>'クラス別一覧（入力）'!AH18</f>
        <v>英</v>
      </c>
      <c r="AF14" s="248" t="str">
        <f>'クラス別一覧（入力）'!AI18</f>
        <v>保体</v>
      </c>
      <c r="AG14" s="251" t="str">
        <f>'クラス別一覧（入力）'!AJ18</f>
        <v>総</v>
      </c>
    </row>
    <row r="15" spans="3:33" ht="27" customHeight="1" x14ac:dyDescent="0.2">
      <c r="C15" s="199" t="str">
        <f>'クラス別一覧（入力）'!B19</f>
        <v>2D</v>
      </c>
      <c r="D15" s="198"/>
      <c r="E15" s="247" t="str">
        <f>'クラス別一覧（入力）'!C19</f>
        <v>英</v>
      </c>
      <c r="F15" s="248" t="str">
        <f>'クラス別一覧（入力）'!D19</f>
        <v>社</v>
      </c>
      <c r="G15" s="248" t="str">
        <f>'クラス別一覧（入力）'!E19</f>
        <v>理</v>
      </c>
      <c r="H15" s="248" t="str">
        <f>'クラス別一覧（入力）'!F19</f>
        <v>国Ⅰ</v>
      </c>
      <c r="I15" s="249" t="str">
        <f>'クラス別一覧（入力）'!G19</f>
        <v>技</v>
      </c>
      <c r="J15" s="250" t="str">
        <f>'クラス別一覧（入力）'!H19</f>
        <v>道</v>
      </c>
      <c r="K15" s="247" t="str">
        <f>'クラス別一覧（入力）'!J19</f>
        <v>数</v>
      </c>
      <c r="L15" s="248" t="str">
        <f>'クラス別一覧（入力）'!K19</f>
        <v>社</v>
      </c>
      <c r="M15" s="248" t="str">
        <f>'クラス別一覧（入力）'!L19</f>
        <v>保体</v>
      </c>
      <c r="N15" s="248" t="str">
        <f>'クラス別一覧（入力）'!M19</f>
        <v>国Ⅱ</v>
      </c>
      <c r="O15" s="248" t="str">
        <f>'クラス別一覧（入力）'!N19</f>
        <v>英</v>
      </c>
      <c r="P15" s="250" t="str">
        <f>'クラス別一覧（入力）'!O19</f>
        <v>総</v>
      </c>
      <c r="Q15" s="247" t="str">
        <f>'クラス別一覧（入力）'!Q19</f>
        <v>国Ⅰ</v>
      </c>
      <c r="R15" s="248" t="str">
        <f>'クラス別一覧（入力）'!R19</f>
        <v>保体</v>
      </c>
      <c r="S15" s="248" t="str">
        <f>'クラス別一覧（入力）'!S19</f>
        <v>理</v>
      </c>
      <c r="T15" s="248" t="str">
        <f>'クラス別一覧（入力）'!T19</f>
        <v>数</v>
      </c>
      <c r="U15" s="248" t="str">
        <f>'クラス別一覧（入力）'!U19</f>
        <v>音</v>
      </c>
      <c r="V15" s="250" t="str">
        <f>'クラス別一覧（入力）'!V19</f>
        <v>学</v>
      </c>
      <c r="W15" s="247" t="str">
        <f>'クラス別一覧（入力）'!X19</f>
        <v>家</v>
      </c>
      <c r="X15" s="248" t="str">
        <f>'クラス別一覧（入力）'!Y19</f>
        <v>国Ⅰ</v>
      </c>
      <c r="Y15" s="248" t="str">
        <f>'クラス別一覧（入力）'!Z19</f>
        <v>保体</v>
      </c>
      <c r="Z15" s="248" t="str">
        <f>'クラス別一覧（入力）'!AA19</f>
        <v>英</v>
      </c>
      <c r="AA15" s="250" t="str">
        <f>'クラス別一覧（入力）'!AB19</f>
        <v>理</v>
      </c>
      <c r="AB15" s="247" t="str">
        <f>'クラス別一覧（入力）'!AE19</f>
        <v>社</v>
      </c>
      <c r="AC15" s="248" t="str">
        <f>'クラス別一覧（入力）'!AF19</f>
        <v>美</v>
      </c>
      <c r="AD15" s="248" t="str">
        <f>'クラス別一覧（入力）'!AG19</f>
        <v>理</v>
      </c>
      <c r="AE15" s="248" t="str">
        <f>'クラス別一覧（入力）'!AH19</f>
        <v>数</v>
      </c>
      <c r="AF15" s="248" t="str">
        <f>'クラス別一覧（入力）'!AI19</f>
        <v>英</v>
      </c>
      <c r="AG15" s="251" t="str">
        <f>'クラス別一覧（入力）'!AJ19</f>
        <v>総</v>
      </c>
    </row>
    <row r="16" spans="3:33" ht="27" customHeight="1" thickBot="1" x14ac:dyDescent="0.25">
      <c r="C16" s="199" t="str">
        <f>'クラス別一覧（入力）'!B20</f>
        <v>2E</v>
      </c>
      <c r="D16" s="198"/>
      <c r="E16" s="247" t="str">
        <f>'クラス別一覧（入力）'!C20</f>
        <v>数</v>
      </c>
      <c r="F16" s="248" t="str">
        <f>'クラス別一覧（入力）'!D20</f>
        <v>理</v>
      </c>
      <c r="G16" s="248" t="str">
        <f>'クラス別一覧（入力）'!E20</f>
        <v>国Ⅰ</v>
      </c>
      <c r="H16" s="248" t="str">
        <f>'クラス別一覧（入力）'!F20</f>
        <v>家</v>
      </c>
      <c r="I16" s="249" t="str">
        <f>'クラス別一覧（入力）'!G20</f>
        <v>英</v>
      </c>
      <c r="J16" s="250" t="str">
        <f>'クラス別一覧（入力）'!H20</f>
        <v>道</v>
      </c>
      <c r="K16" s="247" t="str">
        <f>'クラス別一覧（入力）'!J20</f>
        <v>社</v>
      </c>
      <c r="L16" s="248" t="str">
        <f>'クラス別一覧（入力）'!K20</f>
        <v>数</v>
      </c>
      <c r="M16" s="248" t="str">
        <f>'クラス別一覧（入力）'!L20</f>
        <v>保体</v>
      </c>
      <c r="N16" s="248" t="str">
        <f>'クラス別一覧（入力）'!M20</f>
        <v>国Ⅰ</v>
      </c>
      <c r="O16" s="248" t="str">
        <f>'クラス別一覧（入力）'!N20</f>
        <v>理</v>
      </c>
      <c r="P16" s="250" t="str">
        <f>'クラス別一覧（入力）'!O20</f>
        <v>総</v>
      </c>
      <c r="Q16" s="247" t="str">
        <f>'クラス別一覧（入力）'!Q20</f>
        <v>理</v>
      </c>
      <c r="R16" s="248" t="str">
        <f>'クラス別一覧（入力）'!R20</f>
        <v>保体</v>
      </c>
      <c r="S16" s="248" t="str">
        <f>'クラス別一覧（入力）'!S20</f>
        <v>英</v>
      </c>
      <c r="T16" s="248" t="str">
        <f>'クラス別一覧（入力）'!T20</f>
        <v>音</v>
      </c>
      <c r="U16" s="248" t="str">
        <f>'クラス別一覧（入力）'!U20</f>
        <v>国Ⅰ</v>
      </c>
      <c r="V16" s="250" t="str">
        <f>'クラス別一覧（入力）'!V20</f>
        <v>学</v>
      </c>
      <c r="W16" s="247" t="str">
        <f>'クラス別一覧（入力）'!X20</f>
        <v>技</v>
      </c>
      <c r="X16" s="248" t="str">
        <f>'クラス別一覧（入力）'!Y20</f>
        <v>理</v>
      </c>
      <c r="Y16" s="248" t="str">
        <f>'クラス別一覧（入力）'!Z20</f>
        <v>保体</v>
      </c>
      <c r="Z16" s="248" t="str">
        <f>'クラス別一覧（入力）'!AA20</f>
        <v>社</v>
      </c>
      <c r="AA16" s="250" t="str">
        <f>'クラス別一覧（入力）'!AB20</f>
        <v>英</v>
      </c>
      <c r="AB16" s="247" t="str">
        <f>'クラス別一覧（入力）'!AE20</f>
        <v>英</v>
      </c>
      <c r="AC16" s="248" t="str">
        <f>'クラス別一覧（入力）'!AF20</f>
        <v>数</v>
      </c>
      <c r="AD16" s="248" t="str">
        <f>'クラス別一覧（入力）'!AG20</f>
        <v>社</v>
      </c>
      <c r="AE16" s="248" t="str">
        <f>'クラス別一覧（入力）'!AH20</f>
        <v>美</v>
      </c>
      <c r="AF16" s="248" t="str">
        <f>'クラス別一覧（入力）'!AI20</f>
        <v>国Ⅱ</v>
      </c>
      <c r="AG16" s="251" t="str">
        <f>'クラス別一覧（入力）'!AJ20</f>
        <v>総</v>
      </c>
    </row>
    <row r="17" spans="3:33" ht="27" hidden="1" customHeight="1" thickBot="1" x14ac:dyDescent="0.25">
      <c r="C17" s="193" t="str">
        <f>'クラス別一覧（入力）'!B21</f>
        <v>2F</v>
      </c>
      <c r="D17" s="192"/>
      <c r="E17" s="252">
        <f>'クラス別一覧（入力）'!C21</f>
        <v>0</v>
      </c>
      <c r="F17" s="253">
        <f>'クラス別一覧（入力）'!D21</f>
        <v>0</v>
      </c>
      <c r="G17" s="253">
        <f>'クラス別一覧（入力）'!E21</f>
        <v>0</v>
      </c>
      <c r="H17" s="253">
        <f>'クラス別一覧（入力）'!F21</f>
        <v>0</v>
      </c>
      <c r="I17" s="254">
        <f>'クラス別一覧（入力）'!G21</f>
        <v>0</v>
      </c>
      <c r="J17" s="255" t="str">
        <f>'クラス別一覧（入力）'!H21</f>
        <v>道</v>
      </c>
      <c r="K17" s="252">
        <f>'クラス別一覧（入力）'!J21</f>
        <v>0</v>
      </c>
      <c r="L17" s="253">
        <f>'クラス別一覧（入力）'!K21</f>
        <v>0</v>
      </c>
      <c r="M17" s="253">
        <f>'クラス別一覧（入力）'!L21</f>
        <v>0</v>
      </c>
      <c r="N17" s="253">
        <f>'クラス別一覧（入力）'!M21</f>
        <v>0</v>
      </c>
      <c r="O17" s="253">
        <f>'クラス別一覧（入力）'!N21</f>
        <v>0</v>
      </c>
      <c r="P17" s="255">
        <f>'クラス別一覧（入力）'!O21</f>
        <v>0</v>
      </c>
      <c r="Q17" s="252">
        <f>'クラス別一覧（入力）'!Q21</f>
        <v>0</v>
      </c>
      <c r="R17" s="253">
        <f>'クラス別一覧（入力）'!R21</f>
        <v>0</v>
      </c>
      <c r="S17" s="253">
        <f>'クラス別一覧（入力）'!S21</f>
        <v>0</v>
      </c>
      <c r="T17" s="253">
        <f>'クラス別一覧（入力）'!T21</f>
        <v>0</v>
      </c>
      <c r="U17" s="253">
        <f>'クラス別一覧（入力）'!U21</f>
        <v>0</v>
      </c>
      <c r="V17" s="255" t="str">
        <f>'クラス別一覧（入力）'!V21</f>
        <v>学</v>
      </c>
      <c r="W17" s="252">
        <f>'クラス別一覧（入力）'!X21</f>
        <v>0</v>
      </c>
      <c r="X17" s="253">
        <f>'クラス別一覧（入力）'!Y21</f>
        <v>0</v>
      </c>
      <c r="Y17" s="253">
        <f>'クラス別一覧（入力）'!Z21</f>
        <v>0</v>
      </c>
      <c r="Z17" s="253">
        <f>'クラス別一覧（入力）'!AA21</f>
        <v>0</v>
      </c>
      <c r="AA17" s="255">
        <f>'クラス別一覧（入力）'!AB21</f>
        <v>0</v>
      </c>
      <c r="AB17" s="252">
        <f>'クラス別一覧（入力）'!AE21</f>
        <v>0</v>
      </c>
      <c r="AC17" s="253">
        <f>'クラス別一覧（入力）'!AF21</f>
        <v>0</v>
      </c>
      <c r="AD17" s="253">
        <f>'クラス別一覧（入力）'!AG21</f>
        <v>0</v>
      </c>
      <c r="AE17" s="253">
        <f>'クラス別一覧（入力）'!AH21</f>
        <v>0</v>
      </c>
      <c r="AF17" s="253">
        <f>'クラス別一覧（入力）'!AI21</f>
        <v>0</v>
      </c>
      <c r="AG17" s="256">
        <f>'クラス別一覧（入力）'!AJ21</f>
        <v>0</v>
      </c>
    </row>
    <row r="18" spans="3:33" ht="27" customHeight="1" thickTop="1" x14ac:dyDescent="0.2">
      <c r="C18" s="197" t="str">
        <f>'クラス別一覧（入力）'!B23</f>
        <v>３Ａ</v>
      </c>
      <c r="D18" s="196"/>
      <c r="E18" s="237" t="str">
        <f>'クラス別一覧（入力）'!C23</f>
        <v>国</v>
      </c>
      <c r="F18" s="238" t="str">
        <f>'クラス別一覧（入力）'!D23</f>
        <v>社</v>
      </c>
      <c r="G18" s="238" t="str">
        <f>'クラス別一覧（入力）'!E23</f>
        <v>英</v>
      </c>
      <c r="H18" s="238" t="str">
        <f>'クラス別一覧（入力）'!F23</f>
        <v>理</v>
      </c>
      <c r="I18" s="239" t="str">
        <f>'クラス別一覧（入力）'!G23</f>
        <v>美</v>
      </c>
      <c r="J18" s="240" t="str">
        <f>'クラス別一覧（入力）'!H23</f>
        <v>道</v>
      </c>
      <c r="K18" s="237" t="str">
        <f>'クラス別一覧（入力）'!J23</f>
        <v>理</v>
      </c>
      <c r="L18" s="238" t="str">
        <f>'クラス別一覧（入力）'!K23</f>
        <v>保体</v>
      </c>
      <c r="M18" s="238" t="str">
        <f>'クラス別一覧（入力）'!L23</f>
        <v>数</v>
      </c>
      <c r="N18" s="238" t="str">
        <f>'クラス別一覧（入力）'!M23</f>
        <v>技家</v>
      </c>
      <c r="O18" s="238" t="str">
        <f>'クラス別一覧（入力）'!N23</f>
        <v>社</v>
      </c>
      <c r="P18" s="240" t="str">
        <f>'クラス別一覧（入力）'!O23</f>
        <v>総</v>
      </c>
      <c r="Q18" s="237" t="str">
        <f>'クラス別一覧（入力）'!Q23</f>
        <v>英</v>
      </c>
      <c r="R18" s="238" t="str">
        <f>'クラス別一覧（入力）'!R23</f>
        <v>国</v>
      </c>
      <c r="S18" s="238" t="str">
        <f>'クラス別一覧（入力）'!S23</f>
        <v>保体</v>
      </c>
      <c r="T18" s="238" t="str">
        <f>'クラス別一覧（入力）'!T23</f>
        <v>理</v>
      </c>
      <c r="U18" s="238" t="str">
        <f>'クラス別一覧（入力）'!U23</f>
        <v>数</v>
      </c>
      <c r="V18" s="240" t="str">
        <f>'クラス別一覧（入力）'!V23</f>
        <v>学</v>
      </c>
      <c r="W18" s="237" t="str">
        <f>'クラス別一覧（入力）'!X23</f>
        <v>社</v>
      </c>
      <c r="X18" s="238" t="str">
        <f>'クラス別一覧（入力）'!Y23</f>
        <v>理</v>
      </c>
      <c r="Y18" s="238" t="str">
        <f>'クラス別一覧（入力）'!Z23</f>
        <v>数</v>
      </c>
      <c r="Z18" s="238" t="str">
        <f>'クラス別一覧（入力）'!AA23</f>
        <v>音</v>
      </c>
      <c r="AA18" s="240" t="str">
        <f>'クラス別一覧（入力）'!AB23</f>
        <v>英</v>
      </c>
      <c r="AB18" s="237" t="str">
        <f>'クラス別一覧（入力）'!AE23</f>
        <v>保体</v>
      </c>
      <c r="AC18" s="238" t="str">
        <f>'クラス別一覧（入力）'!AF23</f>
        <v>国</v>
      </c>
      <c r="AD18" s="238" t="str">
        <f>'クラス別一覧（入力）'!AG23</f>
        <v>数</v>
      </c>
      <c r="AE18" s="238" t="str">
        <f>'クラス別一覧（入力）'!AH23</f>
        <v>社</v>
      </c>
      <c r="AF18" s="238" t="str">
        <f>'クラス別一覧（入力）'!AI23</f>
        <v>英</v>
      </c>
      <c r="AG18" s="241" t="str">
        <f>'クラス別一覧（入力）'!AJ23</f>
        <v>総</v>
      </c>
    </row>
    <row r="19" spans="3:33" ht="27" customHeight="1" x14ac:dyDescent="0.2">
      <c r="C19" s="195" t="str">
        <f>'クラス別一覧（入力）'!B24</f>
        <v>３Ｂ</v>
      </c>
      <c r="D19" s="194"/>
      <c r="E19" s="242" t="str">
        <f>'クラス別一覧（入力）'!C24</f>
        <v>理</v>
      </c>
      <c r="F19" s="243" t="str">
        <f>'クラス別一覧（入力）'!D24</f>
        <v>英</v>
      </c>
      <c r="G19" s="243" t="str">
        <f>'クラス別一覧（入力）'!E24</f>
        <v>社</v>
      </c>
      <c r="H19" s="243" t="str">
        <f>'クラス別一覧（入力）'!F24</f>
        <v>国</v>
      </c>
      <c r="I19" s="244" t="str">
        <f>'クラス別一覧（入力）'!G24</f>
        <v>保体</v>
      </c>
      <c r="J19" s="245" t="str">
        <f>'クラス別一覧（入力）'!H24</f>
        <v>道</v>
      </c>
      <c r="K19" s="242" t="str">
        <f>'クラス別一覧（入力）'!J24</f>
        <v>数</v>
      </c>
      <c r="L19" s="243" t="str">
        <f>'クラス別一覧（入力）'!K24</f>
        <v>国</v>
      </c>
      <c r="M19" s="243" t="str">
        <f>'クラス別一覧（入力）'!L24</f>
        <v>社</v>
      </c>
      <c r="N19" s="243" t="str">
        <f>'クラス別一覧（入力）'!M24</f>
        <v>技家</v>
      </c>
      <c r="O19" s="243" t="str">
        <f>'クラス別一覧（入力）'!N24</f>
        <v>音</v>
      </c>
      <c r="P19" s="245" t="str">
        <f>'クラス別一覧（入力）'!O24</f>
        <v>総</v>
      </c>
      <c r="Q19" s="242" t="str">
        <f>'クラス別一覧（入力）'!Q24</f>
        <v>社</v>
      </c>
      <c r="R19" s="243" t="str">
        <f>'クラス別一覧（入力）'!R24</f>
        <v>英</v>
      </c>
      <c r="S19" s="243" t="str">
        <f>'クラス別一覧（入力）'!S24</f>
        <v>数</v>
      </c>
      <c r="T19" s="243" t="str">
        <f>'クラス別一覧（入力）'!T24</f>
        <v>美</v>
      </c>
      <c r="U19" s="243" t="str">
        <f>'クラス別一覧（入力）'!U24</f>
        <v>理</v>
      </c>
      <c r="V19" s="245" t="str">
        <f>'クラス別一覧（入力）'!V24</f>
        <v>学</v>
      </c>
      <c r="W19" s="242" t="str">
        <f>'クラス別一覧（入力）'!X24</f>
        <v>保体</v>
      </c>
      <c r="X19" s="243" t="str">
        <f>'クラス別一覧（入力）'!Y24</f>
        <v>英</v>
      </c>
      <c r="Y19" s="243" t="str">
        <f>'クラス別一覧（入力）'!Z24</f>
        <v>数</v>
      </c>
      <c r="Z19" s="243" t="str">
        <f>'クラス別一覧（入力）'!AA24</f>
        <v>理</v>
      </c>
      <c r="AA19" s="245" t="str">
        <f>'クラス別一覧（入力）'!AB24</f>
        <v>社</v>
      </c>
      <c r="AB19" s="242" t="str">
        <f>'クラス別一覧（入力）'!AE24</f>
        <v>数</v>
      </c>
      <c r="AC19" s="243" t="str">
        <f>'クラス別一覧（入力）'!AF24</f>
        <v>保体</v>
      </c>
      <c r="AD19" s="243" t="str">
        <f>'クラス別一覧（入力）'!AG24</f>
        <v>理</v>
      </c>
      <c r="AE19" s="243" t="str">
        <f>'クラス別一覧（入力）'!AH24</f>
        <v>英</v>
      </c>
      <c r="AF19" s="243" t="str">
        <f>'クラス別一覧（入力）'!AI24</f>
        <v>国</v>
      </c>
      <c r="AG19" s="246" t="str">
        <f>'クラス別一覧（入力）'!AJ24</f>
        <v>総</v>
      </c>
    </row>
    <row r="20" spans="3:33" ht="27" customHeight="1" x14ac:dyDescent="0.2">
      <c r="C20" s="199" t="str">
        <f>'クラス別一覧（入力）'!B25</f>
        <v>３Ｃ</v>
      </c>
      <c r="D20" s="198"/>
      <c r="E20" s="247" t="str">
        <f>'クラス別一覧（入力）'!C25</f>
        <v>社</v>
      </c>
      <c r="F20" s="248" t="str">
        <f>'クラス別一覧（入力）'!D25</f>
        <v>理</v>
      </c>
      <c r="G20" s="248" t="str">
        <f>'クラス別一覧（入力）'!E25</f>
        <v>数</v>
      </c>
      <c r="H20" s="248" t="str">
        <f>'クラス別一覧（入力）'!F25</f>
        <v>英</v>
      </c>
      <c r="I20" s="249" t="str">
        <f>'クラス別一覧（入力）'!G25</f>
        <v>保体</v>
      </c>
      <c r="J20" s="250" t="str">
        <f>'クラス別一覧（入力）'!H25</f>
        <v>道</v>
      </c>
      <c r="K20" s="247" t="str">
        <f>'クラス別一覧（入力）'!J25</f>
        <v>社</v>
      </c>
      <c r="L20" s="248" t="str">
        <f>'クラス別一覧（入力）'!K25</f>
        <v>数</v>
      </c>
      <c r="M20" s="248" t="str">
        <f>'クラス別一覧（入力）'!L25</f>
        <v>国</v>
      </c>
      <c r="N20" s="248" t="str">
        <f>'クラス別一覧（入力）'!M25</f>
        <v>音</v>
      </c>
      <c r="O20" s="248" t="str">
        <f>'クラス別一覧（入力）'!N25</f>
        <v>理</v>
      </c>
      <c r="P20" s="250" t="str">
        <f>'クラス別一覧（入力）'!O25</f>
        <v>総</v>
      </c>
      <c r="Q20" s="247" t="str">
        <f>'クラス別一覧（入力）'!Q25</f>
        <v>理</v>
      </c>
      <c r="R20" s="248" t="str">
        <f>'クラス別一覧（入力）'!R25</f>
        <v>英</v>
      </c>
      <c r="S20" s="248" t="str">
        <f>'クラス別一覧（入力）'!S25</f>
        <v>数</v>
      </c>
      <c r="T20" s="248" t="str">
        <f>'クラス別一覧（入力）'!T25</f>
        <v>国</v>
      </c>
      <c r="U20" s="248" t="str">
        <f>'クラス別一覧（入力）'!U25</f>
        <v>美</v>
      </c>
      <c r="V20" s="250" t="str">
        <f>'クラス別一覧（入力）'!V25</f>
        <v>学</v>
      </c>
      <c r="W20" s="247" t="str">
        <f>'クラス別一覧（入力）'!X25</f>
        <v>保体</v>
      </c>
      <c r="X20" s="248" t="str">
        <f>'クラス別一覧（入力）'!Y25</f>
        <v>英</v>
      </c>
      <c r="Y20" s="248" t="str">
        <f>'クラス別一覧（入力）'!Z25</f>
        <v>社</v>
      </c>
      <c r="Z20" s="248" t="str">
        <f>'クラス別一覧（入力）'!AA25</f>
        <v>国</v>
      </c>
      <c r="AA20" s="250" t="str">
        <f>'クラス別一覧（入力）'!AB25</f>
        <v>技家</v>
      </c>
      <c r="AB20" s="247" t="str">
        <f>'クラス別一覧（入力）'!AE25</f>
        <v>英</v>
      </c>
      <c r="AC20" s="248" t="str">
        <f>'クラス別一覧（入力）'!AF25</f>
        <v>保体</v>
      </c>
      <c r="AD20" s="248" t="str">
        <f>'クラス別一覧（入力）'!AG25</f>
        <v>社</v>
      </c>
      <c r="AE20" s="248" t="str">
        <f>'クラス別一覧（入力）'!AH25</f>
        <v>数</v>
      </c>
      <c r="AF20" s="248" t="str">
        <f>'クラス別一覧（入力）'!AI25</f>
        <v>理</v>
      </c>
      <c r="AG20" s="251" t="str">
        <f>'クラス別一覧（入力）'!AJ25</f>
        <v>総</v>
      </c>
    </row>
    <row r="21" spans="3:33" ht="27" customHeight="1" x14ac:dyDescent="0.2">
      <c r="C21" s="199" t="str">
        <f>'クラス別一覧（入力）'!B26</f>
        <v>３D</v>
      </c>
      <c r="D21" s="198"/>
      <c r="E21" s="247" t="str">
        <f>'クラス別一覧（入力）'!C26</f>
        <v>英</v>
      </c>
      <c r="F21" s="248" t="str">
        <f>'クラス別一覧（入力）'!D26</f>
        <v>数</v>
      </c>
      <c r="G21" s="248" t="str">
        <f>'クラス別一覧（入力）'!E26</f>
        <v>国</v>
      </c>
      <c r="H21" s="248" t="str">
        <f>'クラス別一覧（入力）'!F26</f>
        <v>美</v>
      </c>
      <c r="I21" s="249" t="str">
        <f>'クラス別一覧（入力）'!G26</f>
        <v>社</v>
      </c>
      <c r="J21" s="250" t="str">
        <f>'クラス別一覧（入力）'!H26</f>
        <v>道</v>
      </c>
      <c r="K21" s="247" t="str">
        <f>'クラス別一覧（入力）'!J26</f>
        <v>保体</v>
      </c>
      <c r="L21" s="248" t="str">
        <f>'クラス別一覧（入力）'!K26</f>
        <v>理</v>
      </c>
      <c r="M21" s="248" t="str">
        <f>'クラス別一覧（入力）'!L26</f>
        <v>英</v>
      </c>
      <c r="N21" s="248" t="str">
        <f>'クラス別一覧（入力）'!M26</f>
        <v>国</v>
      </c>
      <c r="O21" s="248" t="str">
        <f>'クラス別一覧（入力）'!N26</f>
        <v>技家</v>
      </c>
      <c r="P21" s="250" t="str">
        <f>'クラス別一覧（入力）'!O26</f>
        <v>総</v>
      </c>
      <c r="Q21" s="247" t="str">
        <f>'クラス別一覧（入力）'!Q26</f>
        <v>数</v>
      </c>
      <c r="R21" s="248" t="str">
        <f>'クラス別一覧（入力）'!R26</f>
        <v>社</v>
      </c>
      <c r="S21" s="248" t="str">
        <f>'クラス別一覧（入力）'!S26</f>
        <v>理</v>
      </c>
      <c r="T21" s="248" t="str">
        <f>'クラス別一覧（入力）'!T26</f>
        <v>保体</v>
      </c>
      <c r="U21" s="248" t="str">
        <f>'クラス別一覧（入力）'!U26</f>
        <v>国</v>
      </c>
      <c r="V21" s="250" t="str">
        <f>'クラス別一覧（入力）'!V26</f>
        <v>学</v>
      </c>
      <c r="W21" s="247" t="str">
        <f>'クラス別一覧（入力）'!X26</f>
        <v>理</v>
      </c>
      <c r="X21" s="248" t="str">
        <f>'クラス別一覧（入力）'!Y26</f>
        <v>保体</v>
      </c>
      <c r="Y21" s="248" t="str">
        <f>'クラス別一覧（入力）'!Z26</f>
        <v>英</v>
      </c>
      <c r="Z21" s="248" t="str">
        <f>'クラス別一覧（入力）'!AA26</f>
        <v>社</v>
      </c>
      <c r="AA21" s="250" t="str">
        <f>'クラス別一覧（入力）'!AB26</f>
        <v>数</v>
      </c>
      <c r="AB21" s="247" t="str">
        <f>'クラス別一覧（入力）'!AE26</f>
        <v>理</v>
      </c>
      <c r="AC21" s="248" t="str">
        <f>'クラス別一覧（入力）'!AF26</f>
        <v>数</v>
      </c>
      <c r="AD21" s="248" t="str">
        <f>'クラス別一覧（入力）'!AG26</f>
        <v>英</v>
      </c>
      <c r="AE21" s="248" t="str">
        <f>'クラス別一覧（入力）'!AH26</f>
        <v>社</v>
      </c>
      <c r="AF21" s="248" t="str">
        <f>'クラス別一覧（入力）'!AI26</f>
        <v>音</v>
      </c>
      <c r="AG21" s="251" t="str">
        <f>'クラス別一覧（入力）'!AJ26</f>
        <v>総</v>
      </c>
    </row>
    <row r="22" spans="3:33" ht="27" customHeight="1" thickBot="1" x14ac:dyDescent="0.25">
      <c r="C22" s="199" t="str">
        <f>'クラス別一覧（入力）'!B27</f>
        <v>３E</v>
      </c>
      <c r="D22" s="198"/>
      <c r="E22" s="247" t="str">
        <f>'クラス別一覧（入力）'!C27</f>
        <v>英</v>
      </c>
      <c r="F22" s="248" t="str">
        <f>'クラス別一覧（入力）'!D27</f>
        <v>社</v>
      </c>
      <c r="G22" s="248" t="str">
        <f>'クラス別一覧（入力）'!E27</f>
        <v>美</v>
      </c>
      <c r="H22" s="248" t="str">
        <f>'クラス別一覧（入力）'!F27</f>
        <v>数</v>
      </c>
      <c r="I22" s="249" t="str">
        <f>'クラス別一覧（入力）'!G27</f>
        <v>理</v>
      </c>
      <c r="J22" s="250" t="str">
        <f>'クラス別一覧（入力）'!H27</f>
        <v>道</v>
      </c>
      <c r="K22" s="247" t="str">
        <f>'クラス別一覧（入力）'!J27</f>
        <v>保体</v>
      </c>
      <c r="L22" s="248" t="str">
        <f>'クラス別一覧（入力）'!K27</f>
        <v>社</v>
      </c>
      <c r="M22" s="248" t="str">
        <f>'クラス別一覧（入力）'!L27</f>
        <v>英</v>
      </c>
      <c r="N22" s="248" t="str">
        <f>'クラス別一覧（入力）'!M27</f>
        <v>数</v>
      </c>
      <c r="O22" s="248" t="str">
        <f>'クラス別一覧（入力）'!N27</f>
        <v>技家</v>
      </c>
      <c r="P22" s="250" t="str">
        <f>'クラス別一覧（入力）'!O27</f>
        <v>総</v>
      </c>
      <c r="Q22" s="247" t="str">
        <f>'クラス別一覧（入力）'!Q27</f>
        <v>国</v>
      </c>
      <c r="R22" s="248" t="str">
        <f>'クラス別一覧（入力）'!R27</f>
        <v>理</v>
      </c>
      <c r="S22" s="248" t="str">
        <f>'クラス別一覧（入力）'!S27</f>
        <v>英</v>
      </c>
      <c r="T22" s="248" t="str">
        <f>'クラス別一覧（入力）'!T27</f>
        <v>保体</v>
      </c>
      <c r="U22" s="248" t="str">
        <f>'クラス別一覧（入力）'!U27</f>
        <v>社</v>
      </c>
      <c r="V22" s="250" t="str">
        <f>'クラス別一覧（入力）'!V27</f>
        <v>学</v>
      </c>
      <c r="W22" s="247" t="str">
        <f>'クラス別一覧（入力）'!X27</f>
        <v>英</v>
      </c>
      <c r="X22" s="248" t="str">
        <f>'クラス別一覧（入力）'!Y27</f>
        <v>保体</v>
      </c>
      <c r="Y22" s="248" t="str">
        <f>'クラス別一覧（入力）'!Z27</f>
        <v>理</v>
      </c>
      <c r="Z22" s="248" t="str">
        <f>'クラス別一覧（入力）'!AA27</f>
        <v>数</v>
      </c>
      <c r="AA22" s="250" t="str">
        <f>'クラス別一覧（入力）'!AB27</f>
        <v>国</v>
      </c>
      <c r="AB22" s="247" t="str">
        <f>'クラス別一覧（入力）'!AE27</f>
        <v>社</v>
      </c>
      <c r="AC22" s="248" t="str">
        <f>'クラス別一覧（入力）'!AF27</f>
        <v>理</v>
      </c>
      <c r="AD22" s="248" t="str">
        <f>'クラス別一覧（入力）'!AG27</f>
        <v>国</v>
      </c>
      <c r="AE22" s="248" t="str">
        <f>'クラス別一覧（入力）'!AH27</f>
        <v>音</v>
      </c>
      <c r="AF22" s="248" t="str">
        <f>'クラス別一覧（入力）'!AI27</f>
        <v>数</v>
      </c>
      <c r="AG22" s="251" t="str">
        <f>'クラス別一覧（入力）'!AJ27</f>
        <v>総</v>
      </c>
    </row>
    <row r="23" spans="3:33" ht="27" customHeight="1" thickTop="1" thickBot="1" x14ac:dyDescent="0.25">
      <c r="C23" s="191" t="str">
        <f>'クラス別一覧（入力）'!B29</f>
        <v>Ｉ・Ｊ</v>
      </c>
      <c r="D23" s="190"/>
      <c r="E23" s="257" t="str">
        <f>'クラス別一覧（入力）'!C29</f>
        <v>技</v>
      </c>
      <c r="F23" s="258" t="str">
        <f>'クラス別一覧（入力）'!D29</f>
        <v>家</v>
      </c>
      <c r="G23" s="258" t="str">
        <f>'クラス別一覧（入力）'!E29</f>
        <v>保体</v>
      </c>
      <c r="H23" s="258" t="str">
        <f>'クラス別一覧（入力）'!F29</f>
        <v>社</v>
      </c>
      <c r="I23" s="259" t="str">
        <f>'クラス別一覧（入力）'!G29</f>
        <v>作</v>
      </c>
      <c r="J23" s="260" t="str">
        <f>'クラス別一覧（入力）'!H29</f>
        <v>道</v>
      </c>
      <c r="K23" s="257" t="str">
        <f>'クラス別一覧（入力）'!J29</f>
        <v>自</v>
      </c>
      <c r="L23" s="258" t="str">
        <f>'クラス別一覧（入力）'!K29</f>
        <v>数</v>
      </c>
      <c r="M23" s="258" t="str">
        <f>'クラス別一覧（入力）'!L29</f>
        <v>音</v>
      </c>
      <c r="N23" s="258" t="str">
        <f>'クラス別一覧（入力）'!M29</f>
        <v>理</v>
      </c>
      <c r="O23" s="258" t="str">
        <f>'クラス別一覧（入力）'!N29</f>
        <v>作</v>
      </c>
      <c r="P23" s="260" t="str">
        <f>'クラス別一覧（入力）'!O29</f>
        <v>総</v>
      </c>
      <c r="Q23" s="257" t="str">
        <f>'クラス別一覧（入力）'!Q29</f>
        <v>自</v>
      </c>
      <c r="R23" s="258" t="str">
        <f>'クラス別一覧（入力）'!R29</f>
        <v>美</v>
      </c>
      <c r="S23" s="258" t="str">
        <f>'クラス別一覧（入力）'!S29</f>
        <v>美</v>
      </c>
      <c r="T23" s="258" t="str">
        <f>'クラス別一覧（入力）'!T29</f>
        <v>作</v>
      </c>
      <c r="U23" s="258" t="str">
        <f>'クラス別一覧（入力）'!U29</f>
        <v>国</v>
      </c>
      <c r="V23" s="260" t="str">
        <f>'クラス別一覧（入力）'!V29</f>
        <v>学</v>
      </c>
      <c r="W23" s="257" t="str">
        <f>'クラス別一覧（入力）'!X29</f>
        <v>数</v>
      </c>
      <c r="X23" s="258" t="str">
        <f>'クラス別一覧（入力）'!Y29</f>
        <v>保体</v>
      </c>
      <c r="Y23" s="258" t="str">
        <f>'クラス別一覧（入力）'!Z29</f>
        <v>社</v>
      </c>
      <c r="Z23" s="258" t="str">
        <f>'クラス別一覧（入力）'!AA29</f>
        <v>国</v>
      </c>
      <c r="AA23" s="260" t="str">
        <f>'クラス別一覧（入力）'!AB29</f>
        <v>英</v>
      </c>
      <c r="AB23" s="257" t="str">
        <f>'クラス別一覧（入力）'!AE29</f>
        <v>音</v>
      </c>
      <c r="AC23" s="258" t="str">
        <f>'クラス別一覧（入力）'!AF29</f>
        <v>英</v>
      </c>
      <c r="AD23" s="258" t="str">
        <f>'クラス別一覧（入力）'!AG29</f>
        <v>理</v>
      </c>
      <c r="AE23" s="258" t="str">
        <f>'クラス別一覧（入力）'!AH29</f>
        <v>作</v>
      </c>
      <c r="AF23" s="258" t="str">
        <f>'クラス別一覧（入力）'!AI29</f>
        <v>保体</v>
      </c>
      <c r="AG23" s="261" t="str">
        <f>'クラス別一覧（入力）'!AJ29</f>
        <v>総</v>
      </c>
    </row>
    <row r="24" spans="3:33" ht="27" customHeight="1" thickTop="1" x14ac:dyDescent="0.2"/>
    <row r="25" spans="3:33" ht="27" customHeight="1" x14ac:dyDescent="0.2">
      <c r="C25" s="189"/>
      <c r="D25" s="188"/>
      <c r="E25" s="187" t="s">
        <v>99</v>
      </c>
      <c r="F25" s="186"/>
      <c r="G25" s="186"/>
      <c r="H25" s="186"/>
      <c r="I25" s="186"/>
      <c r="J25" s="185"/>
      <c r="K25" s="187" t="s">
        <v>3</v>
      </c>
      <c r="L25" s="186"/>
      <c r="M25" s="186"/>
      <c r="N25" s="186"/>
      <c r="O25" s="186"/>
      <c r="P25" s="185"/>
      <c r="Q25" s="187" t="s">
        <v>5</v>
      </c>
      <c r="R25" s="186"/>
      <c r="S25" s="186"/>
      <c r="T25" s="186"/>
      <c r="U25" s="186"/>
      <c r="V25" s="185"/>
      <c r="W25" s="187" t="s">
        <v>7</v>
      </c>
      <c r="X25" s="186"/>
      <c r="Y25" s="186"/>
      <c r="Z25" s="186"/>
      <c r="AA25" s="185"/>
      <c r="AB25" s="186" t="s">
        <v>9</v>
      </c>
      <c r="AC25" s="186"/>
      <c r="AD25" s="186"/>
      <c r="AE25" s="186"/>
      <c r="AF25" s="186"/>
      <c r="AG25" s="185"/>
    </row>
    <row r="26" spans="3:33" ht="27" customHeight="1" thickBot="1" x14ac:dyDescent="0.25">
      <c r="C26" s="184"/>
      <c r="D26" s="183"/>
      <c r="E26" s="181">
        <v>1</v>
      </c>
      <c r="F26" s="179">
        <v>2</v>
      </c>
      <c r="G26" s="179">
        <v>3</v>
      </c>
      <c r="H26" s="179">
        <v>4</v>
      </c>
      <c r="I26" s="182">
        <v>5</v>
      </c>
      <c r="J26" s="178">
        <v>6</v>
      </c>
      <c r="K26" s="181">
        <v>1</v>
      </c>
      <c r="L26" s="179">
        <v>2</v>
      </c>
      <c r="M26" s="179">
        <v>3</v>
      </c>
      <c r="N26" s="179">
        <v>4</v>
      </c>
      <c r="O26" s="179">
        <v>5</v>
      </c>
      <c r="P26" s="178">
        <v>6</v>
      </c>
      <c r="Q26" s="181">
        <v>1</v>
      </c>
      <c r="R26" s="179">
        <v>2</v>
      </c>
      <c r="S26" s="179">
        <v>3</v>
      </c>
      <c r="T26" s="179">
        <v>4</v>
      </c>
      <c r="U26" s="179">
        <v>5</v>
      </c>
      <c r="V26" s="178">
        <v>6</v>
      </c>
      <c r="W26" s="181">
        <v>1</v>
      </c>
      <c r="X26" s="179">
        <v>2</v>
      </c>
      <c r="Y26" s="179">
        <v>3</v>
      </c>
      <c r="Z26" s="179">
        <v>4</v>
      </c>
      <c r="AA26" s="178">
        <v>5</v>
      </c>
      <c r="AB26" s="180">
        <v>1</v>
      </c>
      <c r="AC26" s="179">
        <v>2</v>
      </c>
      <c r="AD26" s="179">
        <v>3</v>
      </c>
      <c r="AE26" s="179">
        <v>4</v>
      </c>
      <c r="AF26" s="179">
        <v>5</v>
      </c>
      <c r="AG26" s="178">
        <v>6</v>
      </c>
    </row>
    <row r="27" spans="3:33" ht="27" customHeight="1" thickTop="1" x14ac:dyDescent="0.2">
      <c r="C27" s="173" t="str">
        <f>Sheet1!B7</f>
        <v>1A</v>
      </c>
      <c r="D27" s="172" t="str">
        <f>Sheet1!C7</f>
        <v>柿家</v>
      </c>
      <c r="E27" s="207">
        <f>Sheet1!D7</f>
        <v>0</v>
      </c>
      <c r="F27" s="208" t="str">
        <f>Sheet1!E7</f>
        <v>3A</v>
      </c>
      <c r="G27" s="208" t="str">
        <f>Sheet1!F7</f>
        <v>主</v>
      </c>
      <c r="H27" s="208">
        <f>Sheet1!G7</f>
        <v>0</v>
      </c>
      <c r="I27" s="209" t="str">
        <f>Sheet1!H7</f>
        <v>1A</v>
      </c>
      <c r="J27" s="210" t="str">
        <f>Sheet1!I7</f>
        <v>道</v>
      </c>
      <c r="K27" s="207">
        <f>Sheet1!K7</f>
        <v>0</v>
      </c>
      <c r="L27" s="208" t="str">
        <f>Sheet1!L7</f>
        <v>待機</v>
      </c>
      <c r="M27" s="208" t="str">
        <f>Sheet1!M7</f>
        <v>3A</v>
      </c>
      <c r="N27" s="208">
        <f>Sheet1!N7</f>
        <v>0</v>
      </c>
      <c r="O27" s="208">
        <f>Sheet1!O7</f>
        <v>0</v>
      </c>
      <c r="P27" s="210" t="str">
        <f>Sheet1!P7</f>
        <v>1B</v>
      </c>
      <c r="Q27" s="207" t="str">
        <f>Sheet1!R7</f>
        <v>1A</v>
      </c>
      <c r="R27" s="208">
        <f>Sheet1!S7</f>
        <v>0</v>
      </c>
      <c r="S27" s="208" t="str">
        <f>Sheet1!T7</f>
        <v>1C</v>
      </c>
      <c r="T27" s="208">
        <f>Sheet1!U7</f>
        <v>0</v>
      </c>
      <c r="U27" s="208" t="str">
        <f>Sheet1!V7</f>
        <v>1B</v>
      </c>
      <c r="V27" s="210" t="str">
        <f>Sheet1!W7</f>
        <v>学</v>
      </c>
      <c r="W27" s="207" t="str">
        <f>Sheet1!Y7</f>
        <v>1B</v>
      </c>
      <c r="X27" s="208">
        <f>Sheet1!Z7</f>
        <v>0</v>
      </c>
      <c r="Y27" s="208" t="str">
        <f>Sheet1!AA7</f>
        <v>生</v>
      </c>
      <c r="Z27" s="208" t="str">
        <f>Sheet1!AB7</f>
        <v>1C</v>
      </c>
      <c r="AA27" s="210" t="str">
        <f>Sheet1!AC7</f>
        <v>3A</v>
      </c>
      <c r="AB27" s="211" t="str">
        <f>Sheet1!AF7</f>
        <v>1A</v>
      </c>
      <c r="AC27" s="208">
        <f>Sheet1!AG7</f>
        <v>0</v>
      </c>
      <c r="AD27" s="208">
        <f>Sheet1!AH7</f>
        <v>0</v>
      </c>
      <c r="AE27" s="208" t="str">
        <f>Sheet1!AI7</f>
        <v>3A</v>
      </c>
      <c r="AF27" s="208" t="str">
        <f>Sheet1!AJ7</f>
        <v>1C</v>
      </c>
      <c r="AG27" s="212" t="str">
        <f>Sheet1!AK7</f>
        <v>総</v>
      </c>
    </row>
    <row r="28" spans="3:33" ht="27" customHeight="1" x14ac:dyDescent="0.2">
      <c r="C28" s="169" t="str">
        <f>Sheet1!B8</f>
        <v>1B</v>
      </c>
      <c r="D28" s="168" t="str">
        <f>Sheet1!C8</f>
        <v>石垣</v>
      </c>
      <c r="E28" s="213">
        <f>Sheet1!D8</f>
        <v>0</v>
      </c>
      <c r="F28" s="214">
        <f>Sheet1!E8</f>
        <v>0</v>
      </c>
      <c r="G28" s="214" t="str">
        <f>Sheet1!F8</f>
        <v>3E</v>
      </c>
      <c r="H28" s="214" t="str">
        <f>Sheet1!G8</f>
        <v>3D</v>
      </c>
      <c r="I28" s="215" t="str">
        <f>Sheet1!H8</f>
        <v>3A</v>
      </c>
      <c r="J28" s="216" t="str">
        <f>Sheet1!I8</f>
        <v>道</v>
      </c>
      <c r="K28" s="213">
        <f>Sheet1!K8</f>
        <v>0</v>
      </c>
      <c r="L28" s="214" t="str">
        <f>Sheet1!L8</f>
        <v>1FE</v>
      </c>
      <c r="M28" s="214">
        <f>Sheet1!M8</f>
        <v>0</v>
      </c>
      <c r="N28" s="214">
        <f>Sheet1!N8</f>
        <v>0</v>
      </c>
      <c r="O28" s="214" t="str">
        <f>Sheet1!O8</f>
        <v>1C</v>
      </c>
      <c r="P28" s="216" t="str">
        <f>Sheet1!P8</f>
        <v>1D</v>
      </c>
      <c r="Q28" s="213" t="str">
        <f>Sheet1!R8</f>
        <v>1DC</v>
      </c>
      <c r="R28" s="214" t="str">
        <f>Sheet1!S8</f>
        <v>1BA</v>
      </c>
      <c r="S28" s="214">
        <f>Sheet1!T8</f>
        <v>0</v>
      </c>
      <c r="T28" s="214" t="str">
        <f>Sheet1!U8</f>
        <v>3B</v>
      </c>
      <c r="U28" s="214" t="str">
        <f>Sheet1!V8</f>
        <v>3C</v>
      </c>
      <c r="V28" s="216" t="str">
        <f>Sheet1!W8</f>
        <v>学</v>
      </c>
      <c r="W28" s="213">
        <f>Sheet1!Y8</f>
        <v>0</v>
      </c>
      <c r="X28" s="214" t="str">
        <f>Sheet1!Z8</f>
        <v>1A</v>
      </c>
      <c r="Y28" s="214" t="str">
        <f>Sheet1!AA8</f>
        <v>1B</v>
      </c>
      <c r="Z28" s="214" t="str">
        <f>Sheet1!AB8</f>
        <v>1E</v>
      </c>
      <c r="AA28" s="216">
        <f>Sheet1!AC8</f>
        <v>0</v>
      </c>
      <c r="AB28" s="217" t="str">
        <f>Sheet1!AF8</f>
        <v>待機</v>
      </c>
      <c r="AC28" s="214" t="str">
        <f>Sheet1!AG8</f>
        <v>待機</v>
      </c>
      <c r="AD28" s="214" t="str">
        <f>Sheet1!AH8</f>
        <v>待機</v>
      </c>
      <c r="AE28" s="214">
        <f>Sheet1!AI8</f>
        <v>0</v>
      </c>
      <c r="AF28" s="214" t="str">
        <f>Sheet1!AJ8</f>
        <v>1F</v>
      </c>
      <c r="AG28" s="218" t="str">
        <f>Sheet1!AK8</f>
        <v>総</v>
      </c>
    </row>
    <row r="29" spans="3:33" ht="27" customHeight="1" x14ac:dyDescent="0.2">
      <c r="C29" s="177" t="str">
        <f>Sheet1!B9</f>
        <v>1C</v>
      </c>
      <c r="D29" s="168" t="str">
        <f>Sheet1!C9</f>
        <v>石飛</v>
      </c>
      <c r="E29" s="213" t="str">
        <f>Sheet1!D9</f>
        <v>1C</v>
      </c>
      <c r="F29" s="214" t="str">
        <f>Sheet1!E9</f>
        <v>1F</v>
      </c>
      <c r="G29" s="214" t="str">
        <f>Sheet1!F9</f>
        <v>主</v>
      </c>
      <c r="H29" s="214">
        <f>Sheet1!G9</f>
        <v>0</v>
      </c>
      <c r="I29" s="215" t="str">
        <f>Sheet1!H9</f>
        <v>1B</v>
      </c>
      <c r="J29" s="216" t="str">
        <f>Sheet1!I9</f>
        <v>道</v>
      </c>
      <c r="K29" s="213" t="str">
        <f>Sheet1!K9</f>
        <v>1F</v>
      </c>
      <c r="L29" s="214">
        <f>Sheet1!L9</f>
        <v>0</v>
      </c>
      <c r="M29" s="214" t="str">
        <f>Sheet1!M9</f>
        <v>1CT</v>
      </c>
      <c r="N29" s="214">
        <f>Sheet1!N9</f>
        <v>0</v>
      </c>
      <c r="O29" s="214" t="str">
        <f>Sheet1!O9</f>
        <v>1Dt</v>
      </c>
      <c r="P29" s="216">
        <f>Sheet1!P9</f>
        <v>0</v>
      </c>
      <c r="Q29" s="213">
        <f>Sheet1!R9</f>
        <v>0</v>
      </c>
      <c r="R29" s="214">
        <f>Sheet1!S9</f>
        <v>0</v>
      </c>
      <c r="S29" s="214" t="str">
        <f>Sheet1!T9</f>
        <v>1BT</v>
      </c>
      <c r="T29" s="214" t="str">
        <f>Sheet1!U9</f>
        <v>1C</v>
      </c>
      <c r="U29" s="214">
        <f>Sheet1!V9</f>
        <v>0</v>
      </c>
      <c r="V29" s="216" t="str">
        <f>Sheet1!W9</f>
        <v>学</v>
      </c>
      <c r="W29" s="213" t="str">
        <f>Sheet1!Y9</f>
        <v>1C</v>
      </c>
      <c r="X29" s="214" t="str">
        <f>Sheet1!Z9</f>
        <v>1B</v>
      </c>
      <c r="Y29" s="214" t="str">
        <f>Sheet1!AA9</f>
        <v>1F</v>
      </c>
      <c r="Z29" s="214">
        <f>Sheet1!AB9</f>
        <v>0</v>
      </c>
      <c r="AA29" s="216">
        <f>Sheet1!AC9</f>
        <v>0</v>
      </c>
      <c r="AB29" s="217" t="str">
        <f>Sheet1!AF9</f>
        <v>1B</v>
      </c>
      <c r="AC29" s="214" t="str">
        <f>Sheet1!AG9</f>
        <v>1FT</v>
      </c>
      <c r="AD29" s="214">
        <f>Sheet1!AH9</f>
        <v>0</v>
      </c>
      <c r="AE29" s="214" t="str">
        <f>Sheet1!AI9</f>
        <v>1At</v>
      </c>
      <c r="AF29" s="214" t="str">
        <f>Sheet1!AJ9</f>
        <v>1Et</v>
      </c>
      <c r="AG29" s="218" t="str">
        <f>Sheet1!AK9</f>
        <v>総</v>
      </c>
    </row>
    <row r="30" spans="3:33" ht="27" customHeight="1" x14ac:dyDescent="0.2">
      <c r="C30" s="169" t="str">
        <f>Sheet1!B10</f>
        <v>1C</v>
      </c>
      <c r="D30" s="168" t="str">
        <f>Sheet1!C10</f>
        <v>高橋咲</v>
      </c>
      <c r="E30" s="213" t="str">
        <f>Sheet1!D10</f>
        <v>1A</v>
      </c>
      <c r="F30" s="214">
        <f>Sheet1!E10</f>
        <v>0</v>
      </c>
      <c r="G30" s="214" t="str">
        <f>Sheet1!F10</f>
        <v>1C</v>
      </c>
      <c r="H30" s="214">
        <f>Sheet1!G10</f>
        <v>0</v>
      </c>
      <c r="I30" s="215" t="str">
        <f>Sheet1!H10</f>
        <v>1E</v>
      </c>
      <c r="J30" s="216" t="str">
        <f>Sheet1!I10</f>
        <v>道</v>
      </c>
      <c r="K30" s="213">
        <f>Sheet1!K10</f>
        <v>0</v>
      </c>
      <c r="L30" s="214" t="str">
        <f>Sheet1!L10</f>
        <v>IJ</v>
      </c>
      <c r="M30" s="214" t="str">
        <f>Sheet1!M10</f>
        <v>1E</v>
      </c>
      <c r="N30" s="214">
        <f>Sheet1!N10</f>
        <v>0</v>
      </c>
      <c r="O30" s="214">
        <f>Sheet1!O10</f>
        <v>0</v>
      </c>
      <c r="P30" s="216" t="str">
        <f>Sheet1!P10</f>
        <v>1C</v>
      </c>
      <c r="Q30" s="213" t="str">
        <f>Sheet1!R10</f>
        <v>1E</v>
      </c>
      <c r="R30" s="214" t="str">
        <f>Sheet1!S10</f>
        <v>1C</v>
      </c>
      <c r="S30" s="214" t="str">
        <f>Sheet1!T10</f>
        <v>1A</v>
      </c>
      <c r="T30" s="214">
        <f>Sheet1!U10</f>
        <v>0</v>
      </c>
      <c r="U30" s="214">
        <f>Sheet1!V10</f>
        <v>0</v>
      </c>
      <c r="V30" s="216" t="str">
        <f>Sheet1!W10</f>
        <v>学</v>
      </c>
      <c r="W30" s="213" t="str">
        <f>Sheet1!Y10</f>
        <v>IJ</v>
      </c>
      <c r="X30" s="214" t="str">
        <f>Sheet1!Z10</f>
        <v>1C</v>
      </c>
      <c r="Y30" s="214">
        <f>Sheet1!AA10</f>
        <v>0</v>
      </c>
      <c r="Z30" s="214">
        <f>Sheet1!AB10</f>
        <v>0</v>
      </c>
      <c r="AA30" s="216" t="str">
        <f>Sheet1!AC10</f>
        <v>1A</v>
      </c>
      <c r="AB30" s="217" t="str">
        <f>Sheet1!AF10</f>
        <v>1E</v>
      </c>
      <c r="AC30" s="214" t="str">
        <f>Sheet1!AG10</f>
        <v>1A</v>
      </c>
      <c r="AD30" s="214" t="str">
        <f>Sheet1!AH10</f>
        <v>初</v>
      </c>
      <c r="AE30" s="214" t="str">
        <f>Sheet1!AI10</f>
        <v>初</v>
      </c>
      <c r="AF30" s="214">
        <f>Sheet1!AJ10</f>
        <v>0</v>
      </c>
      <c r="AG30" s="218" t="str">
        <f>Sheet1!AK10</f>
        <v>総</v>
      </c>
    </row>
    <row r="31" spans="3:33" ht="27" customHeight="1" x14ac:dyDescent="0.2">
      <c r="C31" s="177" t="str">
        <f>Sheet1!B11</f>
        <v>1D</v>
      </c>
      <c r="D31" s="168" t="str">
        <f>Sheet1!C11</f>
        <v>馬場</v>
      </c>
      <c r="E31" s="213" t="str">
        <f>Sheet1!D11</f>
        <v>1F</v>
      </c>
      <c r="F31" s="214">
        <f>Sheet1!E11</f>
        <v>0</v>
      </c>
      <c r="G31" s="214" t="str">
        <f>Sheet1!F11</f>
        <v>1D</v>
      </c>
      <c r="H31" s="214" t="str">
        <f>Sheet1!G11</f>
        <v>1E</v>
      </c>
      <c r="I31" s="215">
        <f>Sheet1!H11</f>
        <v>0</v>
      </c>
      <c r="J31" s="216" t="str">
        <f>Sheet1!I11</f>
        <v>道</v>
      </c>
      <c r="K31" s="213" t="str">
        <f>Sheet1!K11</f>
        <v>1D</v>
      </c>
      <c r="L31" s="214">
        <f>Sheet1!L11</f>
        <v>0</v>
      </c>
      <c r="M31" s="214" t="str">
        <f>Sheet1!M11</f>
        <v>1F</v>
      </c>
      <c r="N31" s="214" t="str">
        <f>Sheet1!N11</f>
        <v>1A</v>
      </c>
      <c r="O31" s="214">
        <f>Sheet1!O11</f>
        <v>0</v>
      </c>
      <c r="P31" s="216" t="str">
        <f>Sheet1!P11</f>
        <v>1E</v>
      </c>
      <c r="Q31" s="213" t="str">
        <f>Sheet1!R11</f>
        <v>1F</v>
      </c>
      <c r="R31" s="214" t="str">
        <f>Sheet1!S11</f>
        <v>1D</v>
      </c>
      <c r="S31" s="214">
        <f>Sheet1!T11</f>
        <v>0</v>
      </c>
      <c r="T31" s="214" t="str">
        <f>Sheet1!U11</f>
        <v>1A</v>
      </c>
      <c r="U31" s="214" t="str">
        <f>Sheet1!V11</f>
        <v>IJ</v>
      </c>
      <c r="V31" s="216" t="str">
        <f>Sheet1!W11</f>
        <v>学</v>
      </c>
      <c r="W31" s="213" t="str">
        <f>Sheet1!Y11</f>
        <v>1A</v>
      </c>
      <c r="X31" s="214">
        <f>Sheet1!Z11</f>
        <v>0</v>
      </c>
      <c r="Y31" s="214" t="str">
        <f>Sheet1!AA11</f>
        <v>1D</v>
      </c>
      <c r="Z31" s="214" t="str">
        <f>Sheet1!AB11</f>
        <v>1F</v>
      </c>
      <c r="AA31" s="216" t="str">
        <f>Sheet1!AC11</f>
        <v>1E</v>
      </c>
      <c r="AB31" s="217">
        <f>Sheet1!AF11</f>
        <v>0</v>
      </c>
      <c r="AC31" s="214">
        <f>Sheet1!AG11</f>
        <v>0</v>
      </c>
      <c r="AD31" s="214" t="str">
        <f>Sheet1!AH11</f>
        <v>1E</v>
      </c>
      <c r="AE31" s="214">
        <f>Sheet1!AI11</f>
        <v>0</v>
      </c>
      <c r="AF31" s="214" t="str">
        <f>Sheet1!AJ11</f>
        <v>1A</v>
      </c>
      <c r="AG31" s="218" t="str">
        <f>Sheet1!AK11</f>
        <v>総</v>
      </c>
    </row>
    <row r="32" spans="3:33" ht="27" customHeight="1" x14ac:dyDescent="0.2">
      <c r="C32" s="177" t="str">
        <f>Sheet1!B12</f>
        <v>1E</v>
      </c>
      <c r="D32" s="168" t="str">
        <f>Sheet1!C12</f>
        <v>谷口</v>
      </c>
      <c r="E32" s="213" t="str">
        <f>Sheet1!D12</f>
        <v>IJ</v>
      </c>
      <c r="F32" s="214" t="str">
        <f>Sheet1!E12</f>
        <v>IJ</v>
      </c>
      <c r="G32" s="214">
        <f>Sheet1!F12</f>
        <v>0</v>
      </c>
      <c r="H32" s="214" t="str">
        <f>Sheet1!G12</f>
        <v>2E</v>
      </c>
      <c r="I32" s="215" t="str">
        <f>Sheet1!H12</f>
        <v>2B</v>
      </c>
      <c r="J32" s="216" t="str">
        <f>Sheet1!I12</f>
        <v>道</v>
      </c>
      <c r="K32" s="213" t="str">
        <f>Sheet1!K12</f>
        <v>1B</v>
      </c>
      <c r="L32" s="214" t="str">
        <f>Sheet1!L12</f>
        <v>1A</v>
      </c>
      <c r="M32" s="214">
        <f>Sheet1!M12</f>
        <v>0</v>
      </c>
      <c r="N32" s="214" t="str">
        <f>Sheet1!N12</f>
        <v>3AB</v>
      </c>
      <c r="O32" s="214" t="str">
        <f>Sheet1!O12</f>
        <v>3DE</v>
      </c>
      <c r="P32" s="216">
        <f>Sheet1!P12</f>
        <v>0</v>
      </c>
      <c r="Q32" s="213" t="str">
        <f>Sheet1!R12</f>
        <v>待機</v>
      </c>
      <c r="R32" s="214">
        <f>Sheet1!S12</f>
        <v>0</v>
      </c>
      <c r="S32" s="214" t="str">
        <f>Sheet1!T12</f>
        <v>1E</v>
      </c>
      <c r="T32" s="214" t="str">
        <f>Sheet1!U12</f>
        <v>1F</v>
      </c>
      <c r="U32" s="214">
        <f>Sheet1!V12</f>
        <v>0</v>
      </c>
      <c r="V32" s="216" t="str">
        <f>Sheet1!W12</f>
        <v>学</v>
      </c>
      <c r="W32" s="213" t="str">
        <f>Sheet1!Y12</f>
        <v>2D</v>
      </c>
      <c r="X32" s="214" t="str">
        <f>Sheet1!Z12</f>
        <v>2A</v>
      </c>
      <c r="Y32" s="214" t="str">
        <f>Sheet1!AA12</f>
        <v>2C</v>
      </c>
      <c r="Z32" s="214">
        <f>Sheet1!AB12</f>
        <v>0</v>
      </c>
      <c r="AA32" s="216" t="str">
        <f>Sheet1!AC12</f>
        <v>3C</v>
      </c>
      <c r="AB32" s="217" t="str">
        <f>Sheet1!AF12</f>
        <v>1C</v>
      </c>
      <c r="AC32" s="214" t="str">
        <f>Sheet1!AG12</f>
        <v>1D</v>
      </c>
      <c r="AD32" s="214">
        <f>Sheet1!AH12</f>
        <v>0</v>
      </c>
      <c r="AE32" s="214" t="str">
        <f>Sheet1!AI12</f>
        <v>T2</v>
      </c>
      <c r="AF32" s="214">
        <f>Sheet1!AJ12</f>
        <v>0</v>
      </c>
      <c r="AG32" s="218" t="str">
        <f>Sheet1!AK12</f>
        <v>総</v>
      </c>
    </row>
    <row r="33" spans="3:33" ht="27" customHeight="1" x14ac:dyDescent="0.2">
      <c r="C33" s="169" t="str">
        <f>Sheet1!B13</f>
        <v>1F</v>
      </c>
      <c r="D33" s="168" t="str">
        <f>Sheet1!C13</f>
        <v>西脇</v>
      </c>
      <c r="E33" s="213">
        <f>Sheet1!D13</f>
        <v>0</v>
      </c>
      <c r="F33" s="214" t="str">
        <f>Sheet1!E13</f>
        <v>1CD</v>
      </c>
      <c r="G33" s="214" t="str">
        <f>Sheet1!F13</f>
        <v>1EF</v>
      </c>
      <c r="H33" s="214" t="str">
        <f>Sheet1!G13</f>
        <v>1AB</v>
      </c>
      <c r="I33" s="215">
        <f>Sheet1!H13</f>
        <v>0</v>
      </c>
      <c r="J33" s="216" t="str">
        <f>Sheet1!I13</f>
        <v>道</v>
      </c>
      <c r="K33" s="213" t="str">
        <f>Sheet1!K13</f>
        <v>3DE</v>
      </c>
      <c r="L33" s="214" t="str">
        <f>Sheet1!L13</f>
        <v>3A</v>
      </c>
      <c r="M33" s="214">
        <f>Sheet1!M13</f>
        <v>0</v>
      </c>
      <c r="N33" s="214" t="str">
        <f>Sheet1!N13</f>
        <v>1CD</v>
      </c>
      <c r="O33" s="214" t="str">
        <f>Sheet1!O13</f>
        <v>1AB</v>
      </c>
      <c r="P33" s="216">
        <f>Sheet1!P13</f>
        <v>0</v>
      </c>
      <c r="Q33" s="213">
        <f>Sheet1!R13</f>
        <v>0</v>
      </c>
      <c r="R33" s="214">
        <f>Sheet1!S13</f>
        <v>0</v>
      </c>
      <c r="S33" s="214" t="str">
        <f>Sheet1!T13</f>
        <v>3A</v>
      </c>
      <c r="T33" s="214" t="str">
        <f>Sheet1!U13</f>
        <v>3DE</v>
      </c>
      <c r="U33" s="214" t="str">
        <f>Sheet1!V13</f>
        <v>1EF</v>
      </c>
      <c r="V33" s="216" t="str">
        <f>Sheet1!W13</f>
        <v>学</v>
      </c>
      <c r="W33" s="213" t="str">
        <f>Sheet1!Y13</f>
        <v>待機</v>
      </c>
      <c r="X33" s="214" t="str">
        <f>Sheet1!Z13</f>
        <v>3DE</v>
      </c>
      <c r="Y33" s="214" t="str">
        <f>Sheet1!AA13</f>
        <v>生</v>
      </c>
      <c r="Z33" s="214">
        <f>Sheet1!AB13</f>
        <v>0</v>
      </c>
      <c r="AA33" s="216" t="str">
        <f>Sheet1!AC13</f>
        <v>1CD</v>
      </c>
      <c r="AB33" s="217" t="str">
        <f>Sheet1!AF13</f>
        <v>3A</v>
      </c>
      <c r="AC33" s="214">
        <f>Sheet1!AG13</f>
        <v>0</v>
      </c>
      <c r="AD33" s="214" t="str">
        <f>Sheet1!AH13</f>
        <v>1AB</v>
      </c>
      <c r="AE33" s="214" t="str">
        <f>Sheet1!AI13</f>
        <v>1EF</v>
      </c>
      <c r="AF33" s="214">
        <f>Sheet1!AJ13</f>
        <v>0</v>
      </c>
      <c r="AG33" s="218" t="str">
        <f>Sheet1!AK13</f>
        <v>総</v>
      </c>
    </row>
    <row r="34" spans="3:33" ht="27" customHeight="1" x14ac:dyDescent="0.2">
      <c r="C34" s="177">
        <f>Sheet1!B14</f>
        <v>0</v>
      </c>
      <c r="D34" s="168" t="str">
        <f>Sheet1!C14</f>
        <v>安井</v>
      </c>
      <c r="E34" s="213">
        <f>Sheet1!D14</f>
        <v>0</v>
      </c>
      <c r="F34" s="214" t="str">
        <f>Sheet1!E14</f>
        <v>1E</v>
      </c>
      <c r="G34" s="214" t="str">
        <f>Sheet1!F14</f>
        <v>1A</v>
      </c>
      <c r="H34" s="214">
        <f>Sheet1!G14</f>
        <v>0</v>
      </c>
      <c r="I34" s="215" t="str">
        <f>Sheet1!H14</f>
        <v>1F</v>
      </c>
      <c r="J34" s="216" t="str">
        <f>Sheet1!I14</f>
        <v>道</v>
      </c>
      <c r="K34" s="213">
        <f>Sheet1!K14</f>
        <v>0</v>
      </c>
      <c r="L34" s="214" t="str">
        <f>Sheet1!L14</f>
        <v>1D</v>
      </c>
      <c r="M34" s="214" t="str">
        <f>Sheet1!M14</f>
        <v>1A</v>
      </c>
      <c r="N34" s="214" t="str">
        <f>Sheet1!N14</f>
        <v>1B</v>
      </c>
      <c r="O34" s="214" t="str">
        <f>Sheet1!O14</f>
        <v>1E</v>
      </c>
      <c r="P34" s="216" t="str">
        <f>Sheet1!P14</f>
        <v>1F</v>
      </c>
      <c r="Q34" s="213">
        <f>Sheet1!R14</f>
        <v>0</v>
      </c>
      <c r="R34" s="214" t="str">
        <f>Sheet1!S14</f>
        <v>1F</v>
      </c>
      <c r="S34" s="214" t="str">
        <f>Sheet1!T14</f>
        <v>1D</v>
      </c>
      <c r="T34" s="214" t="str">
        <f>Sheet1!U14</f>
        <v>1B</v>
      </c>
      <c r="U34" s="214">
        <f>Sheet1!V14</f>
        <v>0</v>
      </c>
      <c r="V34" s="216">
        <f>Sheet1!W14</f>
        <v>0</v>
      </c>
      <c r="W34" s="213">
        <f>Sheet1!Y14</f>
        <v>0</v>
      </c>
      <c r="X34" s="214">
        <f>Sheet1!Z14</f>
        <v>0</v>
      </c>
      <c r="Y34" s="214" t="str">
        <f>Sheet1!AA14</f>
        <v>1E</v>
      </c>
      <c r="Z34" s="214" t="str">
        <f>Sheet1!AB14</f>
        <v>1A</v>
      </c>
      <c r="AA34" s="216">
        <f>Sheet1!AC14</f>
        <v>0</v>
      </c>
      <c r="AB34" s="217">
        <f>Sheet1!AF14</f>
        <v>0</v>
      </c>
      <c r="AC34" s="214">
        <f>Sheet1!AG14</f>
        <v>0</v>
      </c>
      <c r="AD34" s="214">
        <f>Sheet1!AH14</f>
        <v>0</v>
      </c>
      <c r="AE34" s="214" t="str">
        <f>Sheet1!AI14</f>
        <v>1B</v>
      </c>
      <c r="AF34" s="214" t="str">
        <f>Sheet1!AJ14</f>
        <v>1D</v>
      </c>
      <c r="AG34" s="218" t="str">
        <f>Sheet1!AK14</f>
        <v>総</v>
      </c>
    </row>
    <row r="35" spans="3:33" ht="27" customHeight="1" x14ac:dyDescent="0.2">
      <c r="C35" s="171">
        <f>Sheet1!B15</f>
        <v>0</v>
      </c>
      <c r="D35" s="168" t="str">
        <f>Sheet1!C15</f>
        <v>浅田</v>
      </c>
      <c r="E35" s="213" t="str">
        <f>Sheet1!D15</f>
        <v>1B</v>
      </c>
      <c r="F35" s="214" t="str">
        <f>Sheet1!E15</f>
        <v>1A</v>
      </c>
      <c r="G35" s="214">
        <f>Sheet1!F15</f>
        <v>0</v>
      </c>
      <c r="H35" s="214" t="str">
        <f>Sheet1!G15</f>
        <v>1D</v>
      </c>
      <c r="I35" s="215" t="str">
        <f>Sheet1!H15</f>
        <v>1C</v>
      </c>
      <c r="J35" s="216">
        <f>Sheet1!I15</f>
        <v>0</v>
      </c>
      <c r="K35" s="213">
        <f>Sheet1!K15</f>
        <v>0</v>
      </c>
      <c r="L35" s="214" t="str">
        <f>Sheet1!L15</f>
        <v>1EF</v>
      </c>
      <c r="M35" s="214">
        <f>Sheet1!M15</f>
        <v>0</v>
      </c>
      <c r="N35" s="214" t="str">
        <f>Sheet1!N15</f>
        <v>3C</v>
      </c>
      <c r="O35" s="214" t="str">
        <f>Sheet1!O15</f>
        <v>3B</v>
      </c>
      <c r="P35" s="216">
        <f>Sheet1!P15</f>
        <v>0</v>
      </c>
      <c r="Q35" s="213" t="str">
        <f>Sheet1!R15</f>
        <v>1CD</v>
      </c>
      <c r="R35" s="214" t="str">
        <f>Sheet1!S15</f>
        <v>1AB</v>
      </c>
      <c r="S35" s="214">
        <f>Sheet1!T15</f>
        <v>0</v>
      </c>
      <c r="T35" s="214" t="str">
        <f>Sheet1!U15</f>
        <v>2E</v>
      </c>
      <c r="U35" s="214" t="str">
        <f>Sheet1!V15</f>
        <v>2D</v>
      </c>
      <c r="V35" s="216">
        <f>Sheet1!W15</f>
        <v>0</v>
      </c>
      <c r="W35" s="213" t="str">
        <f>Sheet1!Y15</f>
        <v>1E</v>
      </c>
      <c r="X35" s="214" t="str">
        <f>Sheet1!Z15</f>
        <v>1F</v>
      </c>
      <c r="Y35" s="214">
        <f>Sheet1!AA15</f>
        <v>0</v>
      </c>
      <c r="Z35" s="214" t="str">
        <f>Sheet1!AB15</f>
        <v>3A</v>
      </c>
      <c r="AA35" s="216" t="str">
        <f>Sheet1!AC15</f>
        <v>2C</v>
      </c>
      <c r="AB35" s="217">
        <f>Sheet1!AF15</f>
        <v>0</v>
      </c>
      <c r="AC35" s="214" t="str">
        <f>Sheet1!AG15</f>
        <v>2B</v>
      </c>
      <c r="AD35" s="214" t="str">
        <f>Sheet1!AH15</f>
        <v>2A</v>
      </c>
      <c r="AE35" s="214" t="str">
        <f>Sheet1!AI15</f>
        <v>3E</v>
      </c>
      <c r="AF35" s="214" t="str">
        <f>Sheet1!AJ15</f>
        <v>3D</v>
      </c>
      <c r="AG35" s="218">
        <f>Sheet1!AK15</f>
        <v>0</v>
      </c>
    </row>
    <row r="36" spans="3:33" ht="27" customHeight="1" thickBot="1" x14ac:dyDescent="0.25">
      <c r="C36" s="170">
        <f>Sheet1!B16</f>
        <v>0</v>
      </c>
      <c r="D36" s="168" t="str">
        <f>Sheet1!C16</f>
        <v>渡邉</v>
      </c>
      <c r="E36" s="213" t="str">
        <f>Sheet1!D16</f>
        <v>1D</v>
      </c>
      <c r="F36" s="214" t="str">
        <f>Sheet1!E16</f>
        <v>1B</v>
      </c>
      <c r="G36" s="214" t="str">
        <f>Sheet1!F16</f>
        <v>主</v>
      </c>
      <c r="H36" s="214" t="str">
        <f>Sheet1!G16</f>
        <v>1F</v>
      </c>
      <c r="I36" s="215">
        <f>Sheet1!H16</f>
        <v>0</v>
      </c>
      <c r="J36" s="216">
        <f>Sheet1!I16</f>
        <v>0</v>
      </c>
      <c r="K36" s="213" t="str">
        <f>Sheet1!K16</f>
        <v>3B</v>
      </c>
      <c r="L36" s="214">
        <f>Sheet1!L16</f>
        <v>0</v>
      </c>
      <c r="M36" s="214" t="str">
        <f>Sheet1!M16</f>
        <v>1D</v>
      </c>
      <c r="N36" s="214" t="str">
        <f>Sheet1!N16</f>
        <v>1F</v>
      </c>
      <c r="O36" s="214">
        <f>Sheet1!O16</f>
        <v>0</v>
      </c>
      <c r="P36" s="216">
        <f>Sheet1!P16</f>
        <v>0</v>
      </c>
      <c r="Q36" s="213" t="str">
        <f>Sheet1!R16</f>
        <v>1B</v>
      </c>
      <c r="R36" s="214">
        <f>Sheet1!S16</f>
        <v>0</v>
      </c>
      <c r="S36" s="214" t="str">
        <f>Sheet1!T16</f>
        <v>3B</v>
      </c>
      <c r="T36" s="214">
        <f>Sheet1!U16</f>
        <v>0</v>
      </c>
      <c r="U36" s="214" t="str">
        <f>Sheet1!V16</f>
        <v>1D</v>
      </c>
      <c r="V36" s="216">
        <f>Sheet1!W16</f>
        <v>0</v>
      </c>
      <c r="W36" s="213" t="str">
        <f>Sheet1!Y16</f>
        <v>1F</v>
      </c>
      <c r="X36" s="214" t="str">
        <f>Sheet1!Z16</f>
        <v>1D</v>
      </c>
      <c r="Y36" s="214" t="str">
        <f>Sheet1!AA16</f>
        <v>3B</v>
      </c>
      <c r="Z36" s="214">
        <f>Sheet1!AB16</f>
        <v>0</v>
      </c>
      <c r="AA36" s="216" t="str">
        <f>Sheet1!AC16</f>
        <v>1B</v>
      </c>
      <c r="AB36" s="217" t="str">
        <f>Sheet1!AF16</f>
        <v>3B</v>
      </c>
      <c r="AC36" s="214" t="str">
        <f>Sheet1!AG16</f>
        <v>初</v>
      </c>
      <c r="AD36" s="214" t="str">
        <f>Sheet1!AH16</f>
        <v>1F</v>
      </c>
      <c r="AE36" s="214" t="str">
        <f>Sheet1!AI16</f>
        <v>初</v>
      </c>
      <c r="AF36" s="214" t="str">
        <f>Sheet1!AJ16</f>
        <v>1B</v>
      </c>
      <c r="AG36" s="218">
        <f>Sheet1!AK16</f>
        <v>0</v>
      </c>
    </row>
    <row r="37" spans="3:33" ht="27" customHeight="1" thickTop="1" x14ac:dyDescent="0.2">
      <c r="C37" s="174" t="str">
        <f>Sheet1!B21</f>
        <v>2A</v>
      </c>
      <c r="D37" s="172" t="str">
        <f>Sheet1!C21</f>
        <v>大島</v>
      </c>
      <c r="E37" s="207">
        <f>Sheet1!D21</f>
        <v>0</v>
      </c>
      <c r="F37" s="208">
        <f>Sheet1!E21</f>
        <v>0</v>
      </c>
      <c r="G37" s="208" t="str">
        <f>Sheet1!F21</f>
        <v>2E</v>
      </c>
      <c r="H37" s="208" t="str">
        <f>Sheet1!G21</f>
        <v>2D</v>
      </c>
      <c r="I37" s="209" t="str">
        <f>Sheet1!H21</f>
        <v>2A</v>
      </c>
      <c r="J37" s="210" t="str">
        <f>Sheet1!I21</f>
        <v>道</v>
      </c>
      <c r="K37" s="207" t="str">
        <f>Sheet1!K21</f>
        <v>2C</v>
      </c>
      <c r="L37" s="208">
        <f>Sheet1!L21</f>
        <v>0</v>
      </c>
      <c r="M37" s="208">
        <f>Sheet1!M21</f>
        <v>0</v>
      </c>
      <c r="N37" s="208" t="str">
        <f>Sheet1!N21</f>
        <v>2E</v>
      </c>
      <c r="O37" s="208" t="str">
        <f>Sheet1!O21</f>
        <v>2B</v>
      </c>
      <c r="P37" s="210" t="str">
        <f>Sheet1!P21</f>
        <v>総</v>
      </c>
      <c r="Q37" s="207" t="str">
        <f>Sheet1!R21</f>
        <v>2D</v>
      </c>
      <c r="R37" s="208" t="str">
        <f>Sheet1!S21</f>
        <v>2B</v>
      </c>
      <c r="S37" s="208">
        <f>Sheet1!T21</f>
        <v>0</v>
      </c>
      <c r="T37" s="208" t="str">
        <f>Sheet1!U21</f>
        <v>2C</v>
      </c>
      <c r="U37" s="208" t="str">
        <f>Sheet1!V21</f>
        <v>2E</v>
      </c>
      <c r="V37" s="210" t="str">
        <f>Sheet1!W21</f>
        <v>学</v>
      </c>
      <c r="W37" s="207">
        <f>Sheet1!Y21</f>
        <v>0</v>
      </c>
      <c r="X37" s="208" t="str">
        <f>Sheet1!Z21</f>
        <v>2D</v>
      </c>
      <c r="Y37" s="208" t="str">
        <f>Sheet1!AA21</f>
        <v>2A</v>
      </c>
      <c r="Z37" s="208" t="str">
        <f>Sheet1!AB21</f>
        <v>IJ</v>
      </c>
      <c r="AA37" s="210">
        <f>Sheet1!AC21</f>
        <v>0</v>
      </c>
      <c r="AB37" s="211" t="str">
        <f>Sheet1!AF21</f>
        <v>2C</v>
      </c>
      <c r="AC37" s="208" t="str">
        <f>Sheet1!AG21</f>
        <v>2A</v>
      </c>
      <c r="AD37" s="208">
        <f>Sheet1!AH21</f>
        <v>0</v>
      </c>
      <c r="AE37" s="208">
        <f>Sheet1!AI21</f>
        <v>0</v>
      </c>
      <c r="AF37" s="208" t="str">
        <f>Sheet1!AJ21</f>
        <v>2B</v>
      </c>
      <c r="AG37" s="212" t="str">
        <f>Sheet1!AK21</f>
        <v>総</v>
      </c>
    </row>
    <row r="38" spans="3:33" ht="27" customHeight="1" x14ac:dyDescent="0.2">
      <c r="C38" s="169" t="str">
        <f>Sheet1!B22</f>
        <v>2B</v>
      </c>
      <c r="D38" s="168" t="str">
        <f>Sheet1!C22</f>
        <v>名倉</v>
      </c>
      <c r="E38" s="213" t="str">
        <f>Sheet1!D22</f>
        <v>1E</v>
      </c>
      <c r="F38" s="214">
        <f>Sheet1!E22</f>
        <v>0</v>
      </c>
      <c r="G38" s="214" t="str">
        <f>Sheet1!F22</f>
        <v>2A</v>
      </c>
      <c r="H38" s="214" t="str">
        <f>Sheet1!G22</f>
        <v>2B</v>
      </c>
      <c r="I38" s="215" t="str">
        <f>Sheet1!H22</f>
        <v>1D</v>
      </c>
      <c r="J38" s="216" t="str">
        <f>Sheet1!I22</f>
        <v>道</v>
      </c>
      <c r="K38" s="213" t="str">
        <f>Sheet1!K22</f>
        <v>1E</v>
      </c>
      <c r="L38" s="214">
        <f>Sheet1!L22</f>
        <v>0</v>
      </c>
      <c r="M38" s="214">
        <f>Sheet1!M22</f>
        <v>0</v>
      </c>
      <c r="N38" s="214" t="str">
        <f>Sheet1!N22</f>
        <v>2B</v>
      </c>
      <c r="O38" s="214" t="str">
        <f>Sheet1!O22</f>
        <v>1F</v>
      </c>
      <c r="P38" s="216" t="str">
        <f>Sheet1!P22</f>
        <v>総</v>
      </c>
      <c r="Q38" s="213">
        <f>Sheet1!R22</f>
        <v>0</v>
      </c>
      <c r="R38" s="214" t="str">
        <f>Sheet1!S22</f>
        <v>2A</v>
      </c>
      <c r="S38" s="214" t="str">
        <f>Sheet1!T22</f>
        <v>2B</v>
      </c>
      <c r="T38" s="214">
        <f>Sheet1!U22</f>
        <v>0</v>
      </c>
      <c r="U38" s="214">
        <f>Sheet1!V22</f>
        <v>0</v>
      </c>
      <c r="V38" s="216" t="str">
        <f>Sheet1!W22</f>
        <v>学</v>
      </c>
      <c r="W38" s="213" t="str">
        <f>Sheet1!Y22</f>
        <v>1D</v>
      </c>
      <c r="X38" s="214" t="str">
        <f>Sheet1!Z22</f>
        <v>待機</v>
      </c>
      <c r="Y38" s="214">
        <f>Sheet1!AA22</f>
        <v>0</v>
      </c>
      <c r="Z38" s="214">
        <f>Sheet1!AB22</f>
        <v>0</v>
      </c>
      <c r="AA38" s="216" t="str">
        <f>Sheet1!AC22</f>
        <v>1F</v>
      </c>
      <c r="AB38" s="217" t="str">
        <f>Sheet1!AF22</f>
        <v>1F</v>
      </c>
      <c r="AC38" s="214" t="str">
        <f>Sheet1!AG22</f>
        <v>1E</v>
      </c>
      <c r="AD38" s="214">
        <f>Sheet1!AH22</f>
        <v>0</v>
      </c>
      <c r="AE38" s="214" t="str">
        <f>Sheet1!AI22</f>
        <v>1D</v>
      </c>
      <c r="AF38" s="214" t="str">
        <f>Sheet1!AJ22</f>
        <v>2A</v>
      </c>
      <c r="AG38" s="218" t="str">
        <f>Sheet1!AK22</f>
        <v>総</v>
      </c>
    </row>
    <row r="39" spans="3:33" ht="27" customHeight="1" x14ac:dyDescent="0.2">
      <c r="C39" s="169" t="str">
        <f>Sheet1!B23</f>
        <v>2C</v>
      </c>
      <c r="D39" s="168" t="str">
        <f>Sheet1!C23</f>
        <v>浅野</v>
      </c>
      <c r="E39" s="213" t="str">
        <f>Sheet1!D23</f>
        <v>IJ</v>
      </c>
      <c r="F39" s="214" t="str">
        <f>Sheet1!E23</f>
        <v>IJ</v>
      </c>
      <c r="G39" s="214">
        <f>Sheet1!F23</f>
        <v>0</v>
      </c>
      <c r="H39" s="214" t="str">
        <f>Sheet1!G23</f>
        <v>2C</v>
      </c>
      <c r="I39" s="215" t="str">
        <f>Sheet1!H23</f>
        <v>2D</v>
      </c>
      <c r="J39" s="216" t="str">
        <f>Sheet1!I23</f>
        <v>道</v>
      </c>
      <c r="K39" s="213" t="str">
        <f>Sheet1!K23</f>
        <v>1A</v>
      </c>
      <c r="L39" s="214" t="str">
        <f>Sheet1!L23</f>
        <v>1B</v>
      </c>
      <c r="M39" s="214">
        <f>Sheet1!M23</f>
        <v>0</v>
      </c>
      <c r="N39" s="214" t="str">
        <f>Sheet1!N23</f>
        <v>3AB</v>
      </c>
      <c r="O39" s="214" t="str">
        <f>Sheet1!O23</f>
        <v>3DE</v>
      </c>
      <c r="P39" s="216" t="str">
        <f>Sheet1!P23</f>
        <v>総</v>
      </c>
      <c r="Q39" s="213">
        <f>Sheet1!R23</f>
        <v>0</v>
      </c>
      <c r="R39" s="214">
        <f>Sheet1!S23</f>
        <v>0</v>
      </c>
      <c r="S39" s="214" t="str">
        <f>Sheet1!T23</f>
        <v>1F</v>
      </c>
      <c r="T39" s="214" t="str">
        <f>Sheet1!U23</f>
        <v>1E</v>
      </c>
      <c r="U39" s="214" t="str">
        <f>Sheet1!V23</f>
        <v>2A</v>
      </c>
      <c r="V39" s="216" t="str">
        <f>Sheet1!W23</f>
        <v>学</v>
      </c>
      <c r="W39" s="213" t="str">
        <f>Sheet1!Y23</f>
        <v>2E</v>
      </c>
      <c r="X39" s="214" t="str">
        <f>Sheet1!Z23</f>
        <v>2B</v>
      </c>
      <c r="Y39" s="214">
        <f>Sheet1!AA23</f>
        <v>0</v>
      </c>
      <c r="Z39" s="214">
        <f>Sheet1!AB23</f>
        <v>0</v>
      </c>
      <c r="AA39" s="216" t="str">
        <f>Sheet1!AC23</f>
        <v>3C</v>
      </c>
      <c r="AB39" s="217" t="str">
        <f>Sheet1!AF23</f>
        <v>1D</v>
      </c>
      <c r="AC39" s="214" t="str">
        <f>Sheet1!AG23</f>
        <v>1C</v>
      </c>
      <c r="AD39" s="214">
        <f>Sheet1!AH23</f>
        <v>0</v>
      </c>
      <c r="AE39" s="214" t="str">
        <f>Sheet1!AI23</f>
        <v>待機</v>
      </c>
      <c r="AF39" s="214">
        <f>Sheet1!AJ23</f>
        <v>0</v>
      </c>
      <c r="AG39" s="218" t="str">
        <f>Sheet1!AK23</f>
        <v>総</v>
      </c>
    </row>
    <row r="40" spans="3:33" ht="27" customHeight="1" x14ac:dyDescent="0.2">
      <c r="C40" s="169" t="str">
        <f>Sheet1!B24</f>
        <v>2C</v>
      </c>
      <c r="D40" s="168" t="str">
        <f>Sheet1!C24</f>
        <v>酒井</v>
      </c>
      <c r="E40" s="213">
        <f>Sheet1!D24</f>
        <v>0</v>
      </c>
      <c r="F40" s="214" t="str">
        <f>Sheet1!E24</f>
        <v>2D</v>
      </c>
      <c r="G40" s="214" t="str">
        <f>Sheet1!F24</f>
        <v>2C</v>
      </c>
      <c r="H40" s="214" t="str">
        <f>Sheet1!G24</f>
        <v>IJ</v>
      </c>
      <c r="I40" s="215">
        <f>Sheet1!H24</f>
        <v>0</v>
      </c>
      <c r="J40" s="216" t="str">
        <f>Sheet1!I24</f>
        <v>道</v>
      </c>
      <c r="K40" s="213" t="str">
        <f>Sheet1!K24</f>
        <v>2E</v>
      </c>
      <c r="L40" s="214" t="str">
        <f>Sheet1!L24</f>
        <v>2D</v>
      </c>
      <c r="M40" s="214" t="str">
        <f>Sheet1!M24</f>
        <v>初</v>
      </c>
      <c r="N40" s="214" t="str">
        <f>Sheet1!N24</f>
        <v>初</v>
      </c>
      <c r="O40" s="214">
        <f>Sheet1!O24</f>
        <v>0</v>
      </c>
      <c r="P40" s="216" t="str">
        <f>Sheet1!P24</f>
        <v>総</v>
      </c>
      <c r="Q40" s="213" t="str">
        <f>Sheet1!R24</f>
        <v>2C</v>
      </c>
      <c r="R40" s="214" t="str">
        <f>Sheet1!S24</f>
        <v>待機</v>
      </c>
      <c r="S40" s="214">
        <f>Sheet1!T24</f>
        <v>0</v>
      </c>
      <c r="T40" s="214">
        <f>Sheet1!U24</f>
        <v>0</v>
      </c>
      <c r="U40" s="214">
        <f>Sheet1!V24</f>
        <v>0</v>
      </c>
      <c r="V40" s="216" t="str">
        <f>Sheet1!W24</f>
        <v>学</v>
      </c>
      <c r="W40" s="213">
        <f>Sheet1!Y24</f>
        <v>0</v>
      </c>
      <c r="X40" s="214" t="str">
        <f>Sheet1!Z24</f>
        <v>2C</v>
      </c>
      <c r="Y40" s="214" t="str">
        <f>Sheet1!AA24</f>
        <v>IJ</v>
      </c>
      <c r="Z40" s="214" t="str">
        <f>Sheet1!AB24</f>
        <v>2E</v>
      </c>
      <c r="AA40" s="216">
        <f>Sheet1!AC24</f>
        <v>0</v>
      </c>
      <c r="AB40" s="217" t="str">
        <f>Sheet1!AF24</f>
        <v>2D</v>
      </c>
      <c r="AC40" s="214">
        <f>Sheet1!AG24</f>
        <v>0</v>
      </c>
      <c r="AD40" s="214" t="str">
        <f>Sheet1!AH24</f>
        <v>2E</v>
      </c>
      <c r="AE40" s="214">
        <f>Sheet1!AI24</f>
        <v>0</v>
      </c>
      <c r="AF40" s="214">
        <f>Sheet1!AJ24</f>
        <v>0</v>
      </c>
      <c r="AG40" s="218" t="str">
        <f>Sheet1!AK24</f>
        <v>総</v>
      </c>
    </row>
    <row r="41" spans="3:33" ht="27" customHeight="1" x14ac:dyDescent="0.2">
      <c r="C41" s="169" t="str">
        <f>Sheet1!B25</f>
        <v>2D</v>
      </c>
      <c r="D41" s="168" t="str">
        <f>Sheet1!C25</f>
        <v>樽見</v>
      </c>
      <c r="E41" s="213" t="str">
        <f>Sheet1!D25</f>
        <v>2C</v>
      </c>
      <c r="F41" s="214" t="str">
        <f>Sheet1!E25</f>
        <v>2E</v>
      </c>
      <c r="G41" s="214" t="str">
        <f>Sheet1!F25</f>
        <v>2D</v>
      </c>
      <c r="H41" s="214">
        <f>Sheet1!G25</f>
        <v>0</v>
      </c>
      <c r="I41" s="215">
        <f>Sheet1!H25</f>
        <v>0</v>
      </c>
      <c r="J41" s="216" t="str">
        <f>Sheet1!I25</f>
        <v>道</v>
      </c>
      <c r="K41" s="213" t="str">
        <f>Sheet1!K25</f>
        <v>2B</v>
      </c>
      <c r="L41" s="214">
        <f>Sheet1!L25</f>
        <v>0</v>
      </c>
      <c r="M41" s="214">
        <f>Sheet1!M25</f>
        <v>0</v>
      </c>
      <c r="N41" s="214" t="str">
        <f>Sheet1!N25</f>
        <v>2C</v>
      </c>
      <c r="O41" s="214" t="str">
        <f>Sheet1!O25</f>
        <v>2E</v>
      </c>
      <c r="P41" s="216" t="str">
        <f>Sheet1!P25</f>
        <v>総</v>
      </c>
      <c r="Q41" s="213" t="str">
        <f>Sheet1!R25</f>
        <v>2E</v>
      </c>
      <c r="R41" s="214">
        <f>Sheet1!S25</f>
        <v>0</v>
      </c>
      <c r="S41" s="214" t="str">
        <f>Sheet1!T25</f>
        <v>2D</v>
      </c>
      <c r="T41" s="214" t="str">
        <f>Sheet1!U25</f>
        <v>2B</v>
      </c>
      <c r="U41" s="214" t="str">
        <f>Sheet1!V25</f>
        <v>2C</v>
      </c>
      <c r="V41" s="216" t="str">
        <f>Sheet1!W25</f>
        <v>学</v>
      </c>
      <c r="W41" s="213">
        <f>Sheet1!Y25</f>
        <v>0</v>
      </c>
      <c r="X41" s="214" t="str">
        <f>Sheet1!Z25</f>
        <v>2E</v>
      </c>
      <c r="Y41" s="214" t="str">
        <f>Sheet1!AA25</f>
        <v>2B</v>
      </c>
      <c r="Z41" s="214">
        <f>Sheet1!AB25</f>
        <v>0</v>
      </c>
      <c r="AA41" s="216" t="str">
        <f>Sheet1!AC25</f>
        <v>2D</v>
      </c>
      <c r="AB41" s="217">
        <f>Sheet1!AF25</f>
        <v>0</v>
      </c>
      <c r="AC41" s="214" t="str">
        <f>Sheet1!AG25</f>
        <v>2C</v>
      </c>
      <c r="AD41" s="214" t="str">
        <f>Sheet1!AH25</f>
        <v>2D</v>
      </c>
      <c r="AE41" s="214" t="str">
        <f>Sheet1!AI25</f>
        <v>2B</v>
      </c>
      <c r="AF41" s="214">
        <f>Sheet1!AJ25</f>
        <v>0</v>
      </c>
      <c r="AG41" s="218" t="str">
        <f>Sheet1!AK25</f>
        <v>総</v>
      </c>
    </row>
    <row r="42" spans="3:33" ht="27" customHeight="1" x14ac:dyDescent="0.2">
      <c r="C42" s="177" t="str">
        <f>Sheet1!B26</f>
        <v>2E</v>
      </c>
      <c r="D42" s="168" t="str">
        <f>Sheet1!C26</f>
        <v>高田</v>
      </c>
      <c r="E42" s="213" t="str">
        <f>Sheet1!D26</f>
        <v>2E</v>
      </c>
      <c r="F42" s="214" t="str">
        <f>Sheet1!E26</f>
        <v>2A</v>
      </c>
      <c r="G42" s="214" t="str">
        <f>Sheet1!F26</f>
        <v>2B</v>
      </c>
      <c r="H42" s="214">
        <f>Sheet1!G26</f>
        <v>0</v>
      </c>
      <c r="I42" s="215" t="str">
        <f>Sheet1!H26</f>
        <v>T2</v>
      </c>
      <c r="J42" s="216" t="str">
        <f>Sheet1!I26</f>
        <v>道</v>
      </c>
      <c r="K42" s="213" t="str">
        <f>Sheet1!K26</f>
        <v>2D</v>
      </c>
      <c r="L42" s="214" t="str">
        <f>Sheet1!L26</f>
        <v>2E</v>
      </c>
      <c r="M42" s="214">
        <f>Sheet1!M26</f>
        <v>0</v>
      </c>
      <c r="N42" s="214" t="str">
        <f>Sheet1!N26</f>
        <v>2A</v>
      </c>
      <c r="O42" s="214" t="str">
        <f>Sheet1!O26</f>
        <v>2C</v>
      </c>
      <c r="P42" s="216" t="str">
        <f>Sheet1!P26</f>
        <v>総</v>
      </c>
      <c r="Q42" s="213">
        <f>Sheet1!R26</f>
        <v>0</v>
      </c>
      <c r="R42" s="214" t="str">
        <f>Sheet1!S26</f>
        <v>2C</v>
      </c>
      <c r="S42" s="214" t="str">
        <f>Sheet1!T26</f>
        <v>2A</v>
      </c>
      <c r="T42" s="214" t="str">
        <f>Sheet1!U26</f>
        <v>2D</v>
      </c>
      <c r="U42" s="214">
        <f>Sheet1!V26</f>
        <v>0</v>
      </c>
      <c r="V42" s="216" t="str">
        <f>Sheet1!W26</f>
        <v>学</v>
      </c>
      <c r="W42" s="213" t="str">
        <f>Sheet1!Y26</f>
        <v>2C</v>
      </c>
      <c r="X42" s="214">
        <f>Sheet1!Z26</f>
        <v>0</v>
      </c>
      <c r="Y42" s="214">
        <f>Sheet1!AA26</f>
        <v>0</v>
      </c>
      <c r="Z42" s="214">
        <f>Sheet1!AB26</f>
        <v>0</v>
      </c>
      <c r="AA42" s="216" t="str">
        <f>Sheet1!AC26</f>
        <v>2B</v>
      </c>
      <c r="AB42" s="217" t="str">
        <f>Sheet1!AF26</f>
        <v>2B</v>
      </c>
      <c r="AC42" s="214" t="str">
        <f>Sheet1!AG26</f>
        <v>2E</v>
      </c>
      <c r="AD42" s="214">
        <f>Sheet1!AH26</f>
        <v>0</v>
      </c>
      <c r="AE42" s="214" t="str">
        <f>Sheet1!AI26</f>
        <v>2D</v>
      </c>
      <c r="AF42" s="214">
        <f>Sheet1!AJ26</f>
        <v>0</v>
      </c>
      <c r="AG42" s="218" t="str">
        <f>Sheet1!AK26</f>
        <v>総</v>
      </c>
    </row>
    <row r="43" spans="3:33" ht="27" customHeight="1" x14ac:dyDescent="0.2">
      <c r="C43" s="171">
        <f>Sheet1!B27</f>
        <v>0</v>
      </c>
      <c r="D43" s="168" t="str">
        <f>Sheet1!C27</f>
        <v>鈴木</v>
      </c>
      <c r="E43" s="213" t="str">
        <f>Sheet1!D27</f>
        <v>2AB</v>
      </c>
      <c r="F43" s="214" t="str">
        <f>Sheet1!E27</f>
        <v>待機</v>
      </c>
      <c r="G43" s="214" t="str">
        <f>Sheet1!F27</f>
        <v>主</v>
      </c>
      <c r="H43" s="214">
        <f>Sheet1!G27</f>
        <v>0</v>
      </c>
      <c r="I43" s="215" t="str">
        <f>Sheet1!H27</f>
        <v>3BC</v>
      </c>
      <c r="J43" s="216" t="str">
        <f>Sheet1!I27</f>
        <v>道</v>
      </c>
      <c r="K43" s="213">
        <f>Sheet1!K27</f>
        <v>0</v>
      </c>
      <c r="L43" s="214" t="str">
        <f>Sheet1!L27</f>
        <v>2C</v>
      </c>
      <c r="M43" s="214" t="str">
        <f>Sheet1!M27</f>
        <v>2DE</v>
      </c>
      <c r="N43" s="214">
        <f>Sheet1!N27</f>
        <v>0</v>
      </c>
      <c r="O43" s="214">
        <f>Sheet1!O27</f>
        <v>0</v>
      </c>
      <c r="P43" s="216" t="str">
        <f>Sheet1!P27</f>
        <v>総</v>
      </c>
      <c r="Q43" s="213" t="str">
        <f>Sheet1!R27</f>
        <v>2AB</v>
      </c>
      <c r="R43" s="214" t="str">
        <f>Sheet1!S27</f>
        <v>2DE</v>
      </c>
      <c r="S43" s="214" t="str">
        <f>Sheet1!T27</f>
        <v>2C</v>
      </c>
      <c r="T43" s="214">
        <f>Sheet1!U27</f>
        <v>0</v>
      </c>
      <c r="U43" s="214">
        <f>Sheet1!V27</f>
        <v>0</v>
      </c>
      <c r="V43" s="216">
        <f>Sheet1!W27</f>
        <v>0</v>
      </c>
      <c r="W43" s="213" t="str">
        <f>Sheet1!Y27</f>
        <v>3BC</v>
      </c>
      <c r="X43" s="214">
        <f>Sheet1!Z27</f>
        <v>0</v>
      </c>
      <c r="Y43" s="214" t="str">
        <f>Sheet1!AA27</f>
        <v>2DE</v>
      </c>
      <c r="Z43" s="214" t="str">
        <f>Sheet1!AB27</f>
        <v>2AB</v>
      </c>
      <c r="AA43" s="216">
        <f>Sheet1!AC27</f>
        <v>0</v>
      </c>
      <c r="AB43" s="217">
        <f>Sheet1!AF27</f>
        <v>0</v>
      </c>
      <c r="AC43" s="214" t="str">
        <f>Sheet1!AG27</f>
        <v>3BC</v>
      </c>
      <c r="AD43" s="214">
        <f>Sheet1!AH27</f>
        <v>0</v>
      </c>
      <c r="AE43" s="214">
        <f>Sheet1!AI27</f>
        <v>0</v>
      </c>
      <c r="AF43" s="214" t="str">
        <f>Sheet1!AJ27</f>
        <v>2C</v>
      </c>
      <c r="AG43" s="218" t="str">
        <f>Sheet1!AK27</f>
        <v>総</v>
      </c>
    </row>
    <row r="44" spans="3:33" ht="27" customHeight="1" x14ac:dyDescent="0.2">
      <c r="C44" s="171">
        <f>Sheet1!B28</f>
        <v>0</v>
      </c>
      <c r="D44" s="168" t="str">
        <f>Sheet1!C28</f>
        <v>藤井</v>
      </c>
      <c r="E44" s="213" t="str">
        <f>Sheet1!D28</f>
        <v>2D</v>
      </c>
      <c r="F44" s="214" t="str">
        <f>Sheet1!E28</f>
        <v>2C</v>
      </c>
      <c r="G44" s="214" t="str">
        <f>Sheet1!F28</f>
        <v>主</v>
      </c>
      <c r="H44" s="214">
        <f>Sheet1!G28</f>
        <v>0</v>
      </c>
      <c r="I44" s="215" t="str">
        <f>Sheet1!H28</f>
        <v>2E</v>
      </c>
      <c r="J44" s="216" t="str">
        <f>Sheet1!I28</f>
        <v>道</v>
      </c>
      <c r="K44" s="213" t="str">
        <f>Sheet1!K28</f>
        <v>2A</v>
      </c>
      <c r="L44" s="214" t="str">
        <f>Sheet1!L28</f>
        <v>2B</v>
      </c>
      <c r="M44" s="214" t="str">
        <f>Sheet1!M28</f>
        <v>2C</v>
      </c>
      <c r="N44" s="214">
        <f>Sheet1!N28</f>
        <v>0</v>
      </c>
      <c r="O44" s="214" t="str">
        <f>Sheet1!O28</f>
        <v>2D</v>
      </c>
      <c r="P44" s="216" t="str">
        <f>Sheet1!P28</f>
        <v>総</v>
      </c>
      <c r="Q44" s="213">
        <f>Sheet1!R28</f>
        <v>0</v>
      </c>
      <c r="R44" s="214">
        <f>Sheet1!S28</f>
        <v>0</v>
      </c>
      <c r="S44" s="214" t="str">
        <f>Sheet1!T28</f>
        <v>2E</v>
      </c>
      <c r="T44" s="214" t="str">
        <f>Sheet1!U28</f>
        <v>2A</v>
      </c>
      <c r="U44" s="214" t="str">
        <f>Sheet1!V28</f>
        <v>2B</v>
      </c>
      <c r="V44" s="216">
        <f>Sheet1!W28</f>
        <v>0</v>
      </c>
      <c r="W44" s="213" t="str">
        <f>Sheet1!Y28</f>
        <v>2B</v>
      </c>
      <c r="X44" s="214">
        <f>Sheet1!Z28</f>
        <v>0</v>
      </c>
      <c r="Y44" s="214" t="str">
        <f>Sheet1!AA28</f>
        <v>生</v>
      </c>
      <c r="Z44" s="214" t="str">
        <f>Sheet1!AB28</f>
        <v>2D</v>
      </c>
      <c r="AA44" s="216" t="str">
        <f>Sheet1!AC28</f>
        <v>2A</v>
      </c>
      <c r="AB44" s="217" t="str">
        <f>Sheet1!AF28</f>
        <v>2E</v>
      </c>
      <c r="AC44" s="214">
        <f>Sheet1!AG28</f>
        <v>0</v>
      </c>
      <c r="AD44" s="214">
        <f>Sheet1!AH28</f>
        <v>0</v>
      </c>
      <c r="AE44" s="214" t="str">
        <f>Sheet1!AI28</f>
        <v>2C</v>
      </c>
      <c r="AF44" s="214">
        <f>Sheet1!AJ28</f>
        <v>0</v>
      </c>
      <c r="AG44" s="218" t="str">
        <f>Sheet1!AK28</f>
        <v>総</v>
      </c>
    </row>
    <row r="45" spans="3:33" ht="27" customHeight="1" x14ac:dyDescent="0.2">
      <c r="C45" s="171">
        <f>Sheet1!B29</f>
        <v>0</v>
      </c>
      <c r="D45" s="168" t="str">
        <f>Sheet1!C29</f>
        <v>長谷川麻</v>
      </c>
      <c r="E45" s="213">
        <f>Sheet1!D29</f>
        <v>0</v>
      </c>
      <c r="F45" s="214" t="str">
        <f>Sheet1!E29</f>
        <v>1CD</v>
      </c>
      <c r="G45" s="214" t="str">
        <f>Sheet1!F29</f>
        <v>1EF</v>
      </c>
      <c r="H45" s="214" t="str">
        <f>Sheet1!G29</f>
        <v>1AB</v>
      </c>
      <c r="I45" s="215">
        <f>Sheet1!H29</f>
        <v>0</v>
      </c>
      <c r="J45" s="216">
        <f>Sheet1!I29</f>
        <v>0</v>
      </c>
      <c r="K45" s="213">
        <f>Sheet1!K29</f>
        <v>0</v>
      </c>
      <c r="L45" s="214" t="str">
        <f>Sheet1!L29</f>
        <v>2C</v>
      </c>
      <c r="M45" s="214" t="str">
        <f>Sheet1!M29</f>
        <v>2DE</v>
      </c>
      <c r="N45" s="214" t="str">
        <f>Sheet1!N29</f>
        <v>1CD</v>
      </c>
      <c r="O45" s="214" t="str">
        <f>Sheet1!O29</f>
        <v>1AB</v>
      </c>
      <c r="P45" s="216">
        <f>Sheet1!P29</f>
        <v>0</v>
      </c>
      <c r="Q45" s="213">
        <f>Sheet1!R29</f>
        <v>0</v>
      </c>
      <c r="R45" s="214" t="str">
        <f>Sheet1!S29</f>
        <v>2DE</v>
      </c>
      <c r="S45" s="214" t="str">
        <f>Sheet1!T29</f>
        <v>2C</v>
      </c>
      <c r="T45" s="214" t="str">
        <f>Sheet1!U29</f>
        <v>T2</v>
      </c>
      <c r="U45" s="214" t="str">
        <f>Sheet1!V29</f>
        <v>1EF</v>
      </c>
      <c r="V45" s="216">
        <f>Sheet1!W29</f>
        <v>0</v>
      </c>
      <c r="W45" s="213">
        <f>Sheet1!Y29</f>
        <v>0</v>
      </c>
      <c r="X45" s="214" t="str">
        <f>Sheet1!Z29</f>
        <v>IJ</v>
      </c>
      <c r="Y45" s="214" t="str">
        <f>Sheet1!AA29</f>
        <v>2DE</v>
      </c>
      <c r="Z45" s="214">
        <f>Sheet1!AB29</f>
        <v>0</v>
      </c>
      <c r="AA45" s="216" t="str">
        <f>Sheet1!AC29</f>
        <v>1CD</v>
      </c>
      <c r="AB45" s="217">
        <f>Sheet1!AF29</f>
        <v>0</v>
      </c>
      <c r="AC45" s="214" t="str">
        <f>Sheet1!AG29</f>
        <v>T2</v>
      </c>
      <c r="AD45" s="214" t="str">
        <f>Sheet1!AH29</f>
        <v>1AB</v>
      </c>
      <c r="AE45" s="214" t="str">
        <f>Sheet1!AI29</f>
        <v>1EF</v>
      </c>
      <c r="AF45" s="214" t="str">
        <f>Sheet1!AJ29</f>
        <v>2C</v>
      </c>
      <c r="AG45" s="218">
        <f>Sheet1!AK29</f>
        <v>0</v>
      </c>
    </row>
    <row r="46" spans="3:33" ht="29.25" customHeight="1" thickBot="1" x14ac:dyDescent="0.25">
      <c r="C46" s="170">
        <f>Sheet1!B30</f>
        <v>0</v>
      </c>
      <c r="D46" s="176" t="str">
        <f>Sheet1!C30</f>
        <v>篠田</v>
      </c>
      <c r="E46" s="219">
        <f>Sheet1!D30</f>
        <v>0</v>
      </c>
      <c r="F46" s="220">
        <f>Sheet1!E30</f>
        <v>0</v>
      </c>
      <c r="G46" s="220">
        <f>Sheet1!F30</f>
        <v>0</v>
      </c>
      <c r="H46" s="220">
        <f>Sheet1!G30</f>
        <v>0</v>
      </c>
      <c r="I46" s="221">
        <f>Sheet1!H30</f>
        <v>0</v>
      </c>
      <c r="J46" s="222">
        <f>Sheet1!I30</f>
        <v>0</v>
      </c>
      <c r="K46" s="219">
        <f>Sheet1!K30</f>
        <v>0</v>
      </c>
      <c r="L46" s="220" t="str">
        <f>Sheet1!L30</f>
        <v>2A</v>
      </c>
      <c r="M46" s="220" t="str">
        <f>Sheet1!M30</f>
        <v>2B</v>
      </c>
      <c r="N46" s="220" t="str">
        <f>Sheet1!N30</f>
        <v>さくら</v>
      </c>
      <c r="O46" s="220">
        <f>Sheet1!O30</f>
        <v>0</v>
      </c>
      <c r="P46" s="222">
        <f>Sheet1!P30</f>
        <v>0</v>
      </c>
      <c r="Q46" s="219">
        <f>Sheet1!R30</f>
        <v>0</v>
      </c>
      <c r="R46" s="220">
        <f>Sheet1!S30</f>
        <v>0</v>
      </c>
      <c r="S46" s="220" t="str">
        <f>Sheet1!T30</f>
        <v>さくら</v>
      </c>
      <c r="T46" s="220">
        <f>Sheet1!U30</f>
        <v>0</v>
      </c>
      <c r="U46" s="220">
        <f>Sheet1!V30</f>
        <v>0</v>
      </c>
      <c r="V46" s="222">
        <f>Sheet1!W30</f>
        <v>0</v>
      </c>
      <c r="W46" s="219">
        <f>Sheet1!Y30</f>
        <v>0</v>
      </c>
      <c r="X46" s="220">
        <f>Sheet1!Z30</f>
        <v>0</v>
      </c>
      <c r="Y46" s="220" t="str">
        <f>Sheet1!AA30</f>
        <v>さくら</v>
      </c>
      <c r="Z46" s="220">
        <f>Sheet1!AB30</f>
        <v>0</v>
      </c>
      <c r="AA46" s="222">
        <f>Sheet1!AC30</f>
        <v>0</v>
      </c>
      <c r="AB46" s="223">
        <f>Sheet1!AF30</f>
        <v>0</v>
      </c>
      <c r="AC46" s="220" t="str">
        <f>Sheet1!AG30</f>
        <v>2D</v>
      </c>
      <c r="AD46" s="220" t="str">
        <f>Sheet1!AH30</f>
        <v>2C</v>
      </c>
      <c r="AE46" s="220" t="str">
        <f>Sheet1!AI30</f>
        <v>2E</v>
      </c>
      <c r="AF46" s="220" t="str">
        <f>Sheet1!AJ29</f>
        <v>2C</v>
      </c>
      <c r="AG46" s="224">
        <f>Sheet1!AK29</f>
        <v>0</v>
      </c>
    </row>
    <row r="47" spans="3:33" ht="27" customHeight="1" thickTop="1" x14ac:dyDescent="0.2">
      <c r="C47" s="173" t="str">
        <f>Sheet1!B34</f>
        <v>3A</v>
      </c>
      <c r="D47" s="172" t="str">
        <f>Sheet1!C34</f>
        <v>城</v>
      </c>
      <c r="E47" s="207">
        <f>Sheet1!D34</f>
        <v>0</v>
      </c>
      <c r="F47" s="208" t="str">
        <f>Sheet1!E34</f>
        <v>3D</v>
      </c>
      <c r="G47" s="208" t="str">
        <f>Sheet1!F34</f>
        <v>3C</v>
      </c>
      <c r="H47" s="208" t="str">
        <f>Sheet1!G34</f>
        <v>3E</v>
      </c>
      <c r="I47" s="209">
        <f>Sheet1!H34</f>
        <v>0</v>
      </c>
      <c r="J47" s="210" t="str">
        <f>Sheet1!I34</f>
        <v>道</v>
      </c>
      <c r="K47" s="207">
        <f>Sheet1!K34</f>
        <v>0</v>
      </c>
      <c r="L47" s="208" t="str">
        <f>Sheet1!L34</f>
        <v>3C</v>
      </c>
      <c r="M47" s="208" t="str">
        <f>Sheet1!M34</f>
        <v>3E</v>
      </c>
      <c r="N47" s="208">
        <f>Sheet1!N34</f>
        <v>0</v>
      </c>
      <c r="O47" s="208" t="str">
        <f>Sheet1!O34</f>
        <v>3A</v>
      </c>
      <c r="P47" s="210" t="str">
        <f>Sheet1!P34</f>
        <v>総</v>
      </c>
      <c r="Q47" s="207" t="str">
        <f>Sheet1!R34</f>
        <v>3D</v>
      </c>
      <c r="R47" s="208">
        <f>Sheet1!S34</f>
        <v>0</v>
      </c>
      <c r="S47" s="208" t="str">
        <f>Sheet1!T34</f>
        <v>3C</v>
      </c>
      <c r="T47" s="208">
        <f>Sheet1!U34</f>
        <v>0</v>
      </c>
      <c r="U47" s="208" t="str">
        <f>Sheet1!V34</f>
        <v>3A</v>
      </c>
      <c r="V47" s="210" t="str">
        <f>Sheet1!W34</f>
        <v>学</v>
      </c>
      <c r="W47" s="207">
        <f>Sheet1!Y34</f>
        <v>0</v>
      </c>
      <c r="X47" s="208">
        <f>Sheet1!Z34</f>
        <v>0</v>
      </c>
      <c r="Y47" s="208" t="str">
        <f>Sheet1!AA34</f>
        <v>3A</v>
      </c>
      <c r="Z47" s="208" t="str">
        <f>Sheet1!AB34</f>
        <v>3E</v>
      </c>
      <c r="AA47" s="210" t="str">
        <f>Sheet1!AC34</f>
        <v>3D</v>
      </c>
      <c r="AB47" s="211">
        <f>Sheet1!AF34</f>
        <v>0</v>
      </c>
      <c r="AC47" s="208" t="str">
        <f>Sheet1!AG34</f>
        <v>3D</v>
      </c>
      <c r="AD47" s="208" t="str">
        <f>Sheet1!AH34</f>
        <v>3A</v>
      </c>
      <c r="AE47" s="208" t="str">
        <f>Sheet1!AI34</f>
        <v>3C</v>
      </c>
      <c r="AF47" s="208" t="str">
        <f>Sheet1!AJ34</f>
        <v>3E</v>
      </c>
      <c r="AG47" s="212" t="str">
        <f>Sheet1!AK34</f>
        <v>総</v>
      </c>
    </row>
    <row r="48" spans="3:33" ht="27" customHeight="1" x14ac:dyDescent="0.2">
      <c r="C48" s="169" t="str">
        <f>Sheet1!B35</f>
        <v>3B</v>
      </c>
      <c r="D48" s="168" t="str">
        <f>Sheet1!C35</f>
        <v>幸島</v>
      </c>
      <c r="E48" s="213" t="str">
        <f>Sheet1!D35</f>
        <v>3C</v>
      </c>
      <c r="F48" s="214" t="str">
        <f>Sheet1!E35</f>
        <v>3E</v>
      </c>
      <c r="G48" s="214" t="str">
        <f>Sheet1!F35</f>
        <v>3B</v>
      </c>
      <c r="H48" s="214">
        <f>Sheet1!G35</f>
        <v>0</v>
      </c>
      <c r="I48" s="215" t="str">
        <f>Sheet1!H35</f>
        <v>3D</v>
      </c>
      <c r="J48" s="216" t="str">
        <f>Sheet1!I35</f>
        <v>道</v>
      </c>
      <c r="K48" s="213" t="str">
        <f>Sheet1!K35</f>
        <v>3C</v>
      </c>
      <c r="L48" s="214">
        <f>Sheet1!L35</f>
        <v>0</v>
      </c>
      <c r="M48" s="214" t="str">
        <f>Sheet1!M35</f>
        <v>3B</v>
      </c>
      <c r="N48" s="214" t="str">
        <f>Sheet1!N35</f>
        <v>3E</v>
      </c>
      <c r="O48" s="214">
        <f>Sheet1!O35</f>
        <v>0</v>
      </c>
      <c r="P48" s="216" t="str">
        <f>Sheet1!P35</f>
        <v>総</v>
      </c>
      <c r="Q48" s="213" t="str">
        <f>Sheet1!R35</f>
        <v>3B</v>
      </c>
      <c r="R48" s="214" t="str">
        <f>Sheet1!S35</f>
        <v>3D</v>
      </c>
      <c r="S48" s="214">
        <f>Sheet1!T35</f>
        <v>0</v>
      </c>
      <c r="T48" s="214">
        <f>Sheet1!U35</f>
        <v>0</v>
      </c>
      <c r="U48" s="214" t="str">
        <f>Sheet1!V35</f>
        <v>3E</v>
      </c>
      <c r="V48" s="216" t="str">
        <f>Sheet1!W35</f>
        <v>学</v>
      </c>
      <c r="W48" s="213">
        <f>Sheet1!Y35</f>
        <v>0</v>
      </c>
      <c r="X48" s="214">
        <f>Sheet1!Z35</f>
        <v>0</v>
      </c>
      <c r="Y48" s="214" t="str">
        <f>Sheet1!AA35</f>
        <v>3C</v>
      </c>
      <c r="Z48" s="214" t="str">
        <f>Sheet1!AB35</f>
        <v>3D</v>
      </c>
      <c r="AA48" s="216" t="str">
        <f>Sheet1!AC35</f>
        <v>3B</v>
      </c>
      <c r="AB48" s="217" t="str">
        <f>Sheet1!AF35</f>
        <v>3E</v>
      </c>
      <c r="AC48" s="214">
        <f>Sheet1!AG35</f>
        <v>0</v>
      </c>
      <c r="AD48" s="214" t="str">
        <f>Sheet1!AH35</f>
        <v>3C</v>
      </c>
      <c r="AE48" s="214" t="str">
        <f>Sheet1!AI35</f>
        <v>3D</v>
      </c>
      <c r="AF48" s="214">
        <f>Sheet1!AJ35</f>
        <v>0</v>
      </c>
      <c r="AG48" s="218" t="str">
        <f>Sheet1!AK35</f>
        <v>総</v>
      </c>
    </row>
    <row r="49" spans="3:33" ht="27" customHeight="1" x14ac:dyDescent="0.2">
      <c r="C49" s="169" t="str">
        <f>Sheet1!B36</f>
        <v>3C</v>
      </c>
      <c r="D49" s="270" t="str">
        <f>Sheet1!C36</f>
        <v>菅田</v>
      </c>
      <c r="E49" s="219" t="str">
        <f>Sheet1!D36</f>
        <v>3A</v>
      </c>
      <c r="F49" s="220">
        <f>Sheet1!E36</f>
        <v>0</v>
      </c>
      <c r="G49" s="220" t="str">
        <f>Sheet1!F36</f>
        <v>3D</v>
      </c>
      <c r="H49" s="220" t="str">
        <f>Sheet1!G36</f>
        <v>3B</v>
      </c>
      <c r="I49" s="221">
        <f>Sheet1!H36</f>
        <v>0</v>
      </c>
      <c r="J49" s="222" t="str">
        <f>Sheet1!I36</f>
        <v>道</v>
      </c>
      <c r="K49" s="219">
        <f>Sheet1!K36</f>
        <v>0</v>
      </c>
      <c r="L49" s="220" t="str">
        <f>Sheet1!L36</f>
        <v>3B</v>
      </c>
      <c r="M49" s="220" t="str">
        <f>Sheet1!M36</f>
        <v>3C</v>
      </c>
      <c r="N49" s="220" t="str">
        <f>Sheet1!N36</f>
        <v>3D</v>
      </c>
      <c r="O49" s="220">
        <f>Sheet1!O36</f>
        <v>0</v>
      </c>
      <c r="P49" s="222" t="str">
        <f>Sheet1!P36</f>
        <v>総</v>
      </c>
      <c r="Q49" s="219" t="str">
        <f>Sheet1!R36</f>
        <v>3E</v>
      </c>
      <c r="R49" s="220" t="str">
        <f>Sheet1!S36</f>
        <v>3A</v>
      </c>
      <c r="S49" s="220">
        <f>Sheet1!T36</f>
        <v>0</v>
      </c>
      <c r="T49" s="220" t="str">
        <f>Sheet1!U36</f>
        <v>3C</v>
      </c>
      <c r="U49" s="220" t="str">
        <f>Sheet1!V36</f>
        <v>3D</v>
      </c>
      <c r="V49" s="222" t="str">
        <f>Sheet1!W36</f>
        <v>学</v>
      </c>
      <c r="W49" s="219">
        <f>Sheet1!Y36</f>
        <v>0</v>
      </c>
      <c r="X49" s="220">
        <f>Sheet1!Z36</f>
        <v>0</v>
      </c>
      <c r="Y49" s="220" t="str">
        <f>Sheet1!AA36</f>
        <v>生</v>
      </c>
      <c r="Z49" s="220" t="str">
        <f>Sheet1!AB36</f>
        <v>3C</v>
      </c>
      <c r="AA49" s="222" t="str">
        <f>Sheet1!AC36</f>
        <v>3E</v>
      </c>
      <c r="AB49" s="223">
        <f>Sheet1!AF36</f>
        <v>0</v>
      </c>
      <c r="AC49" s="220" t="str">
        <f>Sheet1!AG36</f>
        <v>3A</v>
      </c>
      <c r="AD49" s="220" t="str">
        <f>Sheet1!AH36</f>
        <v>3E</v>
      </c>
      <c r="AE49" s="220">
        <f>Sheet1!AI36</f>
        <v>0</v>
      </c>
      <c r="AF49" s="220" t="str">
        <f>Sheet1!AJ36</f>
        <v>3B</v>
      </c>
      <c r="AG49" s="224" t="str">
        <f>Sheet1!AK36</f>
        <v>総</v>
      </c>
    </row>
    <row r="50" spans="3:33" ht="27" customHeight="1" x14ac:dyDescent="0.2">
      <c r="C50" s="169" t="str">
        <f>Sheet1!B37</f>
        <v>3D</v>
      </c>
      <c r="D50" s="271" t="str">
        <f>Sheet1!C37</f>
        <v>仲野</v>
      </c>
      <c r="E50" s="213" t="str">
        <f>Sheet1!D37</f>
        <v>3D</v>
      </c>
      <c r="F50" s="214" t="str">
        <f>Sheet1!E37</f>
        <v>3B</v>
      </c>
      <c r="G50" s="214" t="str">
        <f>Sheet1!F37</f>
        <v>3A</v>
      </c>
      <c r="H50" s="214">
        <f>Sheet1!G37</f>
        <v>0</v>
      </c>
      <c r="I50" s="215">
        <f>Sheet1!H37</f>
        <v>0</v>
      </c>
      <c r="J50" s="216" t="str">
        <f>Sheet1!I37</f>
        <v>道</v>
      </c>
      <c r="K50" s="213" t="str">
        <f>Sheet1!K37</f>
        <v>待機</v>
      </c>
      <c r="L50" s="214">
        <f>Sheet1!L37</f>
        <v>0</v>
      </c>
      <c r="M50" s="214" t="str">
        <f>Sheet1!M37</f>
        <v>3D</v>
      </c>
      <c r="N50" s="214">
        <f>Sheet1!N37</f>
        <v>0</v>
      </c>
      <c r="O50" s="214" t="str">
        <f>Sheet1!O37</f>
        <v>待機</v>
      </c>
      <c r="P50" s="216" t="str">
        <f>Sheet1!P37</f>
        <v>総</v>
      </c>
      <c r="Q50" s="213" t="str">
        <f>Sheet1!R37</f>
        <v>3A</v>
      </c>
      <c r="R50" s="214" t="str">
        <f>Sheet1!S37</f>
        <v>3B</v>
      </c>
      <c r="S50" s="214" t="str">
        <f>Sheet1!T37</f>
        <v>待機</v>
      </c>
      <c r="T50" s="214">
        <f>Sheet1!U37</f>
        <v>0</v>
      </c>
      <c r="U50" s="214">
        <f>Sheet1!V37</f>
        <v>0</v>
      </c>
      <c r="V50" s="216" t="str">
        <f>Sheet1!W37</f>
        <v>学</v>
      </c>
      <c r="W50" s="213" t="str">
        <f>Sheet1!Y37</f>
        <v>3A</v>
      </c>
      <c r="X50" s="214" t="str">
        <f>Sheet1!Z37</f>
        <v>3B</v>
      </c>
      <c r="Y50" s="214" t="str">
        <f>Sheet1!AA37</f>
        <v>3D</v>
      </c>
      <c r="Z50" s="214">
        <f>Sheet1!AB37</f>
        <v>0</v>
      </c>
      <c r="AA50" s="216">
        <f>Sheet1!AC37</f>
        <v>0</v>
      </c>
      <c r="AB50" s="217">
        <f>Sheet1!AF37</f>
        <v>0</v>
      </c>
      <c r="AC50" s="214" t="str">
        <f>Sheet1!AG37</f>
        <v>IJ</v>
      </c>
      <c r="AD50" s="214" t="str">
        <f>Sheet1!AH37</f>
        <v>3D</v>
      </c>
      <c r="AE50" s="214" t="str">
        <f>Sheet1!AI37</f>
        <v>3B</v>
      </c>
      <c r="AF50" s="214" t="str">
        <f>Sheet1!AJ37</f>
        <v>3A</v>
      </c>
      <c r="AG50" s="218" t="str">
        <f>Sheet1!AK37</f>
        <v>総</v>
      </c>
    </row>
    <row r="51" spans="3:33" ht="27" customHeight="1" x14ac:dyDescent="0.2">
      <c r="C51" s="175" t="str">
        <f>Sheet1!B38</f>
        <v>3E</v>
      </c>
      <c r="D51" s="168" t="str">
        <f>Sheet1!C38</f>
        <v>朝日</v>
      </c>
      <c r="E51" s="213" t="str">
        <f>Sheet1!D38</f>
        <v>3B</v>
      </c>
      <c r="F51" s="214" t="str">
        <f>Sheet1!E38</f>
        <v>3C</v>
      </c>
      <c r="G51" s="214">
        <f>Sheet1!F38</f>
        <v>0</v>
      </c>
      <c r="H51" s="214" t="str">
        <f>Sheet1!G38</f>
        <v>2A</v>
      </c>
      <c r="I51" s="215" t="str">
        <f>Sheet1!H38</f>
        <v>3E</v>
      </c>
      <c r="J51" s="216" t="str">
        <f>Sheet1!I38</f>
        <v>道</v>
      </c>
      <c r="K51" s="213">
        <f>Sheet1!K38</f>
        <v>0</v>
      </c>
      <c r="L51" s="214">
        <f>Sheet1!L38</f>
        <v>0</v>
      </c>
      <c r="M51" s="214" t="str">
        <f>Sheet1!M38</f>
        <v>2A</v>
      </c>
      <c r="N51" s="214">
        <f>Sheet1!N38</f>
        <v>0</v>
      </c>
      <c r="O51" s="214" t="str">
        <f>Sheet1!O38</f>
        <v>3C</v>
      </c>
      <c r="P51" s="216" t="str">
        <f>Sheet1!P38</f>
        <v>総</v>
      </c>
      <c r="Q51" s="213" t="str">
        <f>Sheet1!R38</f>
        <v>3C</v>
      </c>
      <c r="R51" s="214" t="str">
        <f>Sheet1!S38</f>
        <v>3E</v>
      </c>
      <c r="S51" s="214">
        <f>Sheet1!T38</f>
        <v>0</v>
      </c>
      <c r="T51" s="214">
        <f>Sheet1!U38</f>
        <v>0</v>
      </c>
      <c r="U51" s="214" t="str">
        <f>Sheet1!V38</f>
        <v>3B</v>
      </c>
      <c r="V51" s="216" t="str">
        <f>Sheet1!W38</f>
        <v>学</v>
      </c>
      <c r="W51" s="213" t="str">
        <f>Sheet1!Y38</f>
        <v>2A</v>
      </c>
      <c r="X51" s="214">
        <f>Sheet1!Z38</f>
        <v>0</v>
      </c>
      <c r="Y51" s="214" t="str">
        <f>Sheet1!AA38</f>
        <v>3E</v>
      </c>
      <c r="Z51" s="214" t="str">
        <f>Sheet1!AB38</f>
        <v>3B</v>
      </c>
      <c r="AA51" s="216">
        <f>Sheet1!AC38</f>
        <v>0</v>
      </c>
      <c r="AB51" s="217" t="str">
        <f>Sheet1!AF38</f>
        <v>2A</v>
      </c>
      <c r="AC51" s="214" t="str">
        <f>Sheet1!AG38</f>
        <v>3E</v>
      </c>
      <c r="AD51" s="214" t="str">
        <f>Sheet1!AH38</f>
        <v>3B</v>
      </c>
      <c r="AE51" s="214">
        <f>Sheet1!AI38</f>
        <v>0</v>
      </c>
      <c r="AF51" s="214" t="str">
        <f>Sheet1!AJ38</f>
        <v>3C</v>
      </c>
      <c r="AG51" s="218" t="str">
        <f>Sheet1!AK38</f>
        <v>総</v>
      </c>
    </row>
    <row r="52" spans="3:33" ht="27" customHeight="1" x14ac:dyDescent="0.2">
      <c r="C52" s="169">
        <f>Sheet1!B39</f>
        <v>0</v>
      </c>
      <c r="D52" s="168" t="str">
        <f>Sheet1!C39</f>
        <v>松田</v>
      </c>
      <c r="E52" s="225" t="str">
        <f>Sheet1!D39</f>
        <v>待機</v>
      </c>
      <c r="F52" s="226">
        <f>Sheet1!E39</f>
        <v>0</v>
      </c>
      <c r="G52" s="226" t="str">
        <f>Sheet1!F39</f>
        <v>主</v>
      </c>
      <c r="H52" s="226" t="str">
        <f>Sheet1!G39</f>
        <v>3A</v>
      </c>
      <c r="I52" s="227">
        <f>Sheet1!H39</f>
        <v>0</v>
      </c>
      <c r="J52" s="228" t="str">
        <f>Sheet1!I39</f>
        <v>道</v>
      </c>
      <c r="K52" s="225" t="str">
        <f>Sheet1!K39</f>
        <v>3A</v>
      </c>
      <c r="L52" s="226" t="str">
        <f>Sheet1!L39</f>
        <v>3D</v>
      </c>
      <c r="M52" s="226">
        <f>Sheet1!M39</f>
        <v>0</v>
      </c>
      <c r="N52" s="226" t="str">
        <f>Sheet1!N39</f>
        <v>IJ</v>
      </c>
      <c r="O52" s="226">
        <f>Sheet1!O39</f>
        <v>0</v>
      </c>
      <c r="P52" s="228" t="str">
        <f>Sheet1!P39</f>
        <v>総</v>
      </c>
      <c r="Q52" s="225">
        <f>Sheet1!R39</f>
        <v>0</v>
      </c>
      <c r="R52" s="226">
        <f>Sheet1!S39</f>
        <v>0</v>
      </c>
      <c r="S52" s="226" t="str">
        <f>Sheet1!T39</f>
        <v>3D</v>
      </c>
      <c r="T52" s="226" t="str">
        <f>Sheet1!U39</f>
        <v>3A</v>
      </c>
      <c r="U52" s="226">
        <f>Sheet1!V39</f>
        <v>0</v>
      </c>
      <c r="V52" s="228">
        <f>Sheet1!W39</f>
        <v>0</v>
      </c>
      <c r="W52" s="225" t="str">
        <f>Sheet1!Y39</f>
        <v>3D</v>
      </c>
      <c r="X52" s="226" t="str">
        <f>Sheet1!Z39</f>
        <v>3A</v>
      </c>
      <c r="Y52" s="226" t="str">
        <f>Sheet1!AA39</f>
        <v>待機</v>
      </c>
      <c r="Z52" s="226">
        <f>Sheet1!AB39</f>
        <v>0</v>
      </c>
      <c r="AA52" s="228">
        <f>Sheet1!AC39</f>
        <v>0</v>
      </c>
      <c r="AB52" s="229" t="str">
        <f>Sheet1!AF39</f>
        <v>3D</v>
      </c>
      <c r="AC52" s="226">
        <f>Sheet1!AG39</f>
        <v>0</v>
      </c>
      <c r="AD52" s="226" t="str">
        <f>Sheet1!AH39</f>
        <v>IJ</v>
      </c>
      <c r="AE52" s="226">
        <f>Sheet1!AI39</f>
        <v>0</v>
      </c>
      <c r="AF52" s="226" t="str">
        <f>Sheet1!AJ39</f>
        <v>待機</v>
      </c>
      <c r="AG52" s="230" t="str">
        <f>Sheet1!AK39</f>
        <v>総</v>
      </c>
    </row>
    <row r="53" spans="3:33" ht="27" customHeight="1" x14ac:dyDescent="0.2">
      <c r="C53" s="177">
        <f>Sheet1!B40</f>
        <v>0</v>
      </c>
      <c r="D53" s="206" t="str">
        <f>Sheet1!C40</f>
        <v>長谷川俊</v>
      </c>
      <c r="E53" s="225" t="str">
        <f>Sheet1!D40</f>
        <v>3E</v>
      </c>
      <c r="F53" s="226">
        <f>Sheet1!E40</f>
        <v>0</v>
      </c>
      <c r="G53" s="226" t="str">
        <f>Sheet1!F40</f>
        <v>待機</v>
      </c>
      <c r="H53" s="226" t="str">
        <f>Sheet1!G40</f>
        <v>3C</v>
      </c>
      <c r="I53" s="227">
        <f>Sheet1!H40</f>
        <v>0</v>
      </c>
      <c r="J53" s="228" t="str">
        <f>Sheet1!I40</f>
        <v>道</v>
      </c>
      <c r="K53" s="225">
        <f>Sheet1!K40</f>
        <v>0</v>
      </c>
      <c r="L53" s="226" t="str">
        <f>Sheet1!L40</f>
        <v>3E</v>
      </c>
      <c r="M53" s="226" t="str">
        <f>Sheet1!M40</f>
        <v>待機</v>
      </c>
      <c r="N53" s="226" t="str">
        <f>Sheet1!N40</f>
        <v>待機</v>
      </c>
      <c r="O53" s="226">
        <f>Sheet1!O40</f>
        <v>0</v>
      </c>
      <c r="P53" s="228" t="str">
        <f>Sheet1!P40</f>
        <v>総</v>
      </c>
      <c r="Q53" s="225">
        <f>Sheet1!R40</f>
        <v>0</v>
      </c>
      <c r="R53" s="226" t="str">
        <f>Sheet1!S40</f>
        <v>3C</v>
      </c>
      <c r="S53" s="226" t="str">
        <f>Sheet1!T40</f>
        <v>3E</v>
      </c>
      <c r="T53" s="226" t="str">
        <f>Sheet1!U40</f>
        <v>待機</v>
      </c>
      <c r="U53" s="226">
        <f>Sheet1!V40</f>
        <v>0</v>
      </c>
      <c r="V53" s="228">
        <f>Sheet1!W40</f>
        <v>0</v>
      </c>
      <c r="W53" s="225" t="str">
        <f>Sheet1!Y40</f>
        <v>3E</v>
      </c>
      <c r="X53" s="226" t="str">
        <f>Sheet1!Z40</f>
        <v>3C</v>
      </c>
      <c r="Y53" s="226">
        <f>Sheet1!AA40</f>
        <v>0</v>
      </c>
      <c r="Z53" s="226" t="str">
        <f>Sheet1!AB40</f>
        <v>2C</v>
      </c>
      <c r="AA53" s="228" t="str">
        <f>Sheet1!AC40</f>
        <v>2E</v>
      </c>
      <c r="AB53" s="229" t="str">
        <f>Sheet1!AF40</f>
        <v>3C</v>
      </c>
      <c r="AC53" s="226">
        <f>Sheet1!AG40</f>
        <v>0</v>
      </c>
      <c r="AD53" s="226" t="str">
        <f>Sheet1!AH40</f>
        <v>2B</v>
      </c>
      <c r="AE53" s="226" t="str">
        <f>Sheet1!AI40</f>
        <v>2A</v>
      </c>
      <c r="AF53" s="226" t="str">
        <f>Sheet1!AJ40</f>
        <v>2D</v>
      </c>
      <c r="AG53" s="230" t="str">
        <f>Sheet1!AK40</f>
        <v>総</v>
      </c>
    </row>
    <row r="54" spans="3:33" ht="27" customHeight="1" x14ac:dyDescent="0.2">
      <c r="C54" s="171"/>
      <c r="D54" s="206" t="str">
        <f>Sheet1!C41</f>
        <v>山田</v>
      </c>
      <c r="E54" s="225" t="str">
        <f>Sheet1!D41</f>
        <v>2AB</v>
      </c>
      <c r="F54" s="226">
        <f>Sheet1!E41</f>
        <v>0</v>
      </c>
      <c r="G54" s="226" t="str">
        <f>Sheet1!F41</f>
        <v>IJ</v>
      </c>
      <c r="H54" s="226" t="str">
        <f>Sheet1!G41</f>
        <v>待機</v>
      </c>
      <c r="I54" s="227" t="str">
        <f>Sheet1!H41</f>
        <v>3BC</v>
      </c>
      <c r="J54" s="228" t="str">
        <f>Sheet1!I41</f>
        <v>道</v>
      </c>
      <c r="K54" s="225" t="str">
        <f>Sheet1!K41</f>
        <v>3DE</v>
      </c>
      <c r="L54" s="226" t="str">
        <f>Sheet1!L41</f>
        <v>3A</v>
      </c>
      <c r="M54" s="226">
        <f>Sheet1!M41</f>
        <v>0</v>
      </c>
      <c r="N54" s="226">
        <f>Sheet1!N41</f>
        <v>0</v>
      </c>
      <c r="O54" s="226" t="str">
        <f>Sheet1!O41</f>
        <v>T2</v>
      </c>
      <c r="P54" s="228" t="str">
        <f>Sheet1!P41</f>
        <v>総</v>
      </c>
      <c r="Q54" s="225" t="str">
        <f>Sheet1!R41</f>
        <v>2AB</v>
      </c>
      <c r="R54" s="226">
        <f>Sheet1!S41</f>
        <v>0</v>
      </c>
      <c r="S54" s="226" t="str">
        <f>Sheet1!T41</f>
        <v>3A</v>
      </c>
      <c r="T54" s="226" t="str">
        <f>Sheet1!U41</f>
        <v>3DE</v>
      </c>
      <c r="U54" s="226" t="str">
        <f>Sheet1!V41</f>
        <v>待機</v>
      </c>
      <c r="V54" s="228">
        <f>Sheet1!W41</f>
        <v>0</v>
      </c>
      <c r="W54" s="225" t="str">
        <f>Sheet1!Y41</f>
        <v>3BC</v>
      </c>
      <c r="X54" s="226" t="str">
        <f>Sheet1!Z41</f>
        <v>3DE</v>
      </c>
      <c r="Y54" s="226">
        <f>Sheet1!AA41</f>
        <v>0</v>
      </c>
      <c r="Z54" s="226" t="str">
        <f>Sheet1!AB41</f>
        <v>2AB</v>
      </c>
      <c r="AA54" s="228">
        <f>Sheet1!AC41</f>
        <v>0</v>
      </c>
      <c r="AB54" s="229" t="str">
        <f>Sheet1!AF41</f>
        <v>3A</v>
      </c>
      <c r="AC54" s="226" t="str">
        <f>Sheet1!AG41</f>
        <v>3BC</v>
      </c>
      <c r="AD54" s="226">
        <f>Sheet1!AH41</f>
        <v>0</v>
      </c>
      <c r="AE54" s="226">
        <f>Sheet1!AI41</f>
        <v>0</v>
      </c>
      <c r="AF54" s="226" t="str">
        <f>Sheet1!AJ41</f>
        <v>IJ</v>
      </c>
      <c r="AG54" s="230" t="str">
        <f>Sheet1!AK41</f>
        <v>総</v>
      </c>
    </row>
    <row r="55" spans="3:33" ht="27" customHeight="1" x14ac:dyDescent="0.2">
      <c r="C55" s="171"/>
      <c r="D55" s="206">
        <f>Sheet1!C42</f>
        <v>0</v>
      </c>
      <c r="E55" s="225">
        <f>Sheet1!D42</f>
        <v>0</v>
      </c>
      <c r="F55" s="226">
        <f>Sheet1!E42</f>
        <v>0</v>
      </c>
      <c r="G55" s="226">
        <f>Sheet1!F42</f>
        <v>0</v>
      </c>
      <c r="H55" s="226">
        <f>Sheet1!G42</f>
        <v>0</v>
      </c>
      <c r="I55" s="227">
        <f>Sheet1!H42</f>
        <v>0</v>
      </c>
      <c r="J55" s="228">
        <f>Sheet1!I42</f>
        <v>0</v>
      </c>
      <c r="K55" s="225">
        <f>Sheet1!K42</f>
        <v>0</v>
      </c>
      <c r="L55" s="226">
        <f>Sheet1!L42</f>
        <v>0</v>
      </c>
      <c r="M55" s="226">
        <f>Sheet1!M42</f>
        <v>0</v>
      </c>
      <c r="N55" s="226">
        <f>Sheet1!N42</f>
        <v>0</v>
      </c>
      <c r="O55" s="226">
        <f>Sheet1!O42</f>
        <v>0</v>
      </c>
      <c r="P55" s="228">
        <f>Sheet1!P42</f>
        <v>0</v>
      </c>
      <c r="Q55" s="225">
        <f>Sheet1!R42</f>
        <v>0</v>
      </c>
      <c r="R55" s="226">
        <f>Sheet1!S42</f>
        <v>0</v>
      </c>
      <c r="S55" s="226">
        <f>Sheet1!T42</f>
        <v>0</v>
      </c>
      <c r="T55" s="226">
        <f>Sheet1!U42</f>
        <v>0</v>
      </c>
      <c r="U55" s="226">
        <f>Sheet1!V42</f>
        <v>0</v>
      </c>
      <c r="V55" s="228">
        <f>Sheet1!W42</f>
        <v>0</v>
      </c>
      <c r="W55" s="225">
        <f>Sheet1!Y42</f>
        <v>0</v>
      </c>
      <c r="X55" s="226">
        <f>Sheet1!Z42</f>
        <v>0</v>
      </c>
      <c r="Y55" s="226">
        <f>Sheet1!AA42</f>
        <v>0</v>
      </c>
      <c r="Z55" s="226">
        <f>Sheet1!AB42</f>
        <v>0</v>
      </c>
      <c r="AA55" s="228">
        <f>Sheet1!AC42</f>
        <v>0</v>
      </c>
      <c r="AB55" s="229">
        <f>Sheet1!AF42</f>
        <v>0</v>
      </c>
      <c r="AC55" s="226">
        <f>Sheet1!AG42</f>
        <v>0</v>
      </c>
      <c r="AD55" s="226">
        <f>Sheet1!AH42</f>
        <v>0</v>
      </c>
      <c r="AE55" s="226">
        <f>Sheet1!AI42</f>
        <v>0</v>
      </c>
      <c r="AF55" s="226">
        <f>Sheet1!AJ42</f>
        <v>0</v>
      </c>
      <c r="AG55" s="230">
        <f>Sheet1!AK42</f>
        <v>0</v>
      </c>
    </row>
    <row r="56" spans="3:33" ht="27" customHeight="1" x14ac:dyDescent="0.2">
      <c r="C56" s="171"/>
      <c r="D56" s="206">
        <f>Sheet1!C43</f>
        <v>0</v>
      </c>
      <c r="E56" s="225" t="str">
        <f>Sheet1!D43</f>
        <v/>
      </c>
      <c r="F56" s="226">
        <f>Sheet1!E43</f>
        <v>0</v>
      </c>
      <c r="G56" s="226">
        <f>Sheet1!F43</f>
        <v>0</v>
      </c>
      <c r="H56" s="226">
        <f>Sheet1!G43</f>
        <v>0</v>
      </c>
      <c r="I56" s="227">
        <f>Sheet1!H43</f>
        <v>0</v>
      </c>
      <c r="J56" s="228">
        <f>Sheet1!I43</f>
        <v>0</v>
      </c>
      <c r="K56" s="225">
        <f>Sheet1!K43</f>
        <v>0</v>
      </c>
      <c r="L56" s="226">
        <f>Sheet1!L43</f>
        <v>0</v>
      </c>
      <c r="M56" s="226">
        <f>Sheet1!M43</f>
        <v>0</v>
      </c>
      <c r="N56" s="226">
        <f>Sheet1!N43</f>
        <v>0</v>
      </c>
      <c r="O56" s="226">
        <f>Sheet1!O43</f>
        <v>0</v>
      </c>
      <c r="P56" s="228">
        <f>Sheet1!P43</f>
        <v>0</v>
      </c>
      <c r="Q56" s="225">
        <f>Sheet1!R43</f>
        <v>0</v>
      </c>
      <c r="R56" s="226">
        <f>Sheet1!S43</f>
        <v>0</v>
      </c>
      <c r="S56" s="226">
        <f>Sheet1!T43</f>
        <v>0</v>
      </c>
      <c r="T56" s="226">
        <f>Sheet1!U43</f>
        <v>0</v>
      </c>
      <c r="U56" s="226">
        <f>Sheet1!V43</f>
        <v>0</v>
      </c>
      <c r="V56" s="228">
        <f>Sheet1!W43</f>
        <v>0</v>
      </c>
      <c r="W56" s="225">
        <f>Sheet1!Y43</f>
        <v>0</v>
      </c>
      <c r="X56" s="226">
        <f>Sheet1!Z43</f>
        <v>0</v>
      </c>
      <c r="Y56" s="226">
        <f>Sheet1!AA43</f>
        <v>0</v>
      </c>
      <c r="Z56" s="226">
        <f>Sheet1!AB43</f>
        <v>0</v>
      </c>
      <c r="AA56" s="228">
        <f>Sheet1!AC43</f>
        <v>0</v>
      </c>
      <c r="AB56" s="229">
        <f>Sheet1!AF43</f>
        <v>0</v>
      </c>
      <c r="AC56" s="226">
        <f>Sheet1!AG43</f>
        <v>0</v>
      </c>
      <c r="AD56" s="226">
        <f>Sheet1!AH43</f>
        <v>0</v>
      </c>
      <c r="AE56" s="226">
        <f>Sheet1!AI43</f>
        <v>0</v>
      </c>
      <c r="AF56" s="226">
        <f>Sheet1!AJ43</f>
        <v>0</v>
      </c>
      <c r="AG56" s="230">
        <f>Sheet1!AK43</f>
        <v>0</v>
      </c>
    </row>
    <row r="57" spans="3:33" ht="27" customHeight="1" x14ac:dyDescent="0.2">
      <c r="C57" s="171"/>
      <c r="D57" s="206" t="str">
        <f>Sheet1!C44</f>
        <v>AET１</v>
      </c>
      <c r="E57" s="225" t="str">
        <f>Sheet1!D44</f>
        <v/>
      </c>
      <c r="F57" s="226">
        <f>Sheet1!E44</f>
        <v>0</v>
      </c>
      <c r="G57" s="226">
        <f>Sheet1!F44</f>
        <v>0</v>
      </c>
      <c r="H57" s="226">
        <f>Sheet1!G44</f>
        <v>0</v>
      </c>
      <c r="I57" s="227">
        <f>Sheet1!H44</f>
        <v>0</v>
      </c>
      <c r="J57" s="228">
        <f>Sheet1!I44</f>
        <v>0</v>
      </c>
      <c r="K57" s="225">
        <f>Sheet1!K44</f>
        <v>0</v>
      </c>
      <c r="L57" s="226">
        <f>Sheet1!L44</f>
        <v>0</v>
      </c>
      <c r="M57" s="226">
        <f>Sheet1!M44</f>
        <v>0</v>
      </c>
      <c r="N57" s="226">
        <f>Sheet1!N44</f>
        <v>0</v>
      </c>
      <c r="O57" s="226">
        <f>Sheet1!O44</f>
        <v>0</v>
      </c>
      <c r="P57" s="228">
        <f>Sheet1!P44</f>
        <v>0</v>
      </c>
      <c r="Q57" s="225">
        <f>Sheet1!R44</f>
        <v>0</v>
      </c>
      <c r="R57" s="226">
        <f>Sheet1!S44</f>
        <v>0</v>
      </c>
      <c r="S57" s="226">
        <f>Sheet1!T44</f>
        <v>0</v>
      </c>
      <c r="T57" s="226">
        <f>Sheet1!U44</f>
        <v>0</v>
      </c>
      <c r="U57" s="226">
        <f>Sheet1!V44</f>
        <v>0</v>
      </c>
      <c r="V57" s="228">
        <f>Sheet1!W44</f>
        <v>0</v>
      </c>
      <c r="W57" s="225" t="str">
        <f>Sheet1!Y44</f>
        <v>1C</v>
      </c>
      <c r="X57" s="226" t="str">
        <f>Sheet1!Z44</f>
        <v>1B</v>
      </c>
      <c r="Y57" s="226" t="str">
        <f>Sheet1!AA44</f>
        <v>1F</v>
      </c>
      <c r="Z57" s="226" t="str">
        <f>Sheet1!AB44</f>
        <v>2C</v>
      </c>
      <c r="AA57" s="228" t="str">
        <f>Sheet1!AC44</f>
        <v>2E</v>
      </c>
      <c r="AB57" s="229">
        <f>Sheet1!AF44</f>
        <v>0</v>
      </c>
      <c r="AC57" s="226" t="str">
        <f>Sheet1!AG44</f>
        <v>IJ</v>
      </c>
      <c r="AD57" s="226" t="str">
        <f>Sheet1!AH44</f>
        <v>2B</v>
      </c>
      <c r="AE57" s="226" t="str">
        <f>Sheet1!AI44</f>
        <v>2A</v>
      </c>
      <c r="AF57" s="226" t="str">
        <f>Sheet1!AJ44</f>
        <v>2D</v>
      </c>
      <c r="AG57" s="230">
        <f>Sheet1!AK44</f>
        <v>0</v>
      </c>
    </row>
    <row r="58" spans="3:33" ht="27" customHeight="1" thickBot="1" x14ac:dyDescent="0.25">
      <c r="C58" s="171"/>
      <c r="D58" s="206" t="str">
        <f>Sheet1!C45</f>
        <v>AET２</v>
      </c>
      <c r="E58" s="225" t="str">
        <f>Sheet1!D45</f>
        <v xml:space="preserve"> </v>
      </c>
      <c r="F58" s="226">
        <f>Sheet1!E45</f>
        <v>0</v>
      </c>
      <c r="G58" s="226">
        <f>Sheet1!F45</f>
        <v>0</v>
      </c>
      <c r="H58" s="226">
        <f>Sheet1!G45</f>
        <v>0</v>
      </c>
      <c r="I58" s="227">
        <f>Sheet1!H45</f>
        <v>0</v>
      </c>
      <c r="J58" s="228">
        <f>Sheet1!I45</f>
        <v>0</v>
      </c>
      <c r="K58" s="225">
        <f>Sheet1!K45</f>
        <v>0</v>
      </c>
      <c r="L58" s="226">
        <f>Sheet1!L45</f>
        <v>0</v>
      </c>
      <c r="M58" s="226">
        <f>Sheet1!M45</f>
        <v>0</v>
      </c>
      <c r="N58" s="226">
        <f>Sheet1!N45</f>
        <v>0</v>
      </c>
      <c r="O58" s="226">
        <f>Sheet1!O45</f>
        <v>0</v>
      </c>
      <c r="P58" s="228" t="str">
        <f>Sheet1!P45</f>
        <v/>
      </c>
      <c r="Q58" s="225">
        <f>Sheet1!R45</f>
        <v>0</v>
      </c>
      <c r="R58" s="226">
        <f>Sheet1!S45</f>
        <v>0</v>
      </c>
      <c r="S58" s="226">
        <f>Sheet1!T45</f>
        <v>0</v>
      </c>
      <c r="T58" s="226">
        <f>Sheet1!U45</f>
        <v>0</v>
      </c>
      <c r="U58" s="226">
        <f>Sheet1!V45</f>
        <v>0</v>
      </c>
      <c r="V58" s="228">
        <f>Sheet1!W45</f>
        <v>0</v>
      </c>
      <c r="W58" s="225" t="str">
        <f>Sheet1!Y45</f>
        <v>3E</v>
      </c>
      <c r="X58" s="226" t="str">
        <f>Sheet1!Z45</f>
        <v>1E</v>
      </c>
      <c r="Y58" s="226" t="str">
        <f>Sheet1!AA45</f>
        <v>1A</v>
      </c>
      <c r="Z58" s="226" t="str">
        <f>Sheet1!AB45</f>
        <v>1D</v>
      </c>
      <c r="AA58" s="228" t="str">
        <f>Sheet1!AC45</f>
        <v>IJ</v>
      </c>
      <c r="AB58" s="229" t="str">
        <f>Sheet1!AF45</f>
        <v>3C</v>
      </c>
      <c r="AC58" s="226">
        <f>Sheet1!AG45</f>
        <v>0</v>
      </c>
      <c r="AD58" s="226" t="str">
        <f>Sheet1!AH45</f>
        <v>3D</v>
      </c>
      <c r="AE58" s="226" t="str">
        <f>Sheet1!AI45</f>
        <v>3B</v>
      </c>
      <c r="AF58" s="226" t="str">
        <f>Sheet1!AJ45</f>
        <v>3A</v>
      </c>
      <c r="AG58" s="230">
        <f>Sheet1!AK45</f>
        <v>0</v>
      </c>
    </row>
    <row r="59" spans="3:33" ht="27" customHeight="1" thickTop="1" x14ac:dyDescent="0.2">
      <c r="C59" s="174" t="str">
        <f>Sheet1!B47</f>
        <v>IJ</v>
      </c>
      <c r="D59" s="172" t="str">
        <f>Sheet1!C47</f>
        <v>松村</v>
      </c>
      <c r="E59" s="207">
        <f>Sheet1!D47</f>
        <v>0</v>
      </c>
      <c r="F59" s="208" t="str">
        <f>Sheet1!E47</f>
        <v>IJ家</v>
      </c>
      <c r="G59" s="208" t="str">
        <f>Sheet1!F47</f>
        <v>主</v>
      </c>
      <c r="H59" s="208" t="str">
        <f>Sheet1!G47</f>
        <v>IJ社</v>
      </c>
      <c r="I59" s="209" t="str">
        <f>Sheet1!H47</f>
        <v>IJ作</v>
      </c>
      <c r="J59" s="210" t="str">
        <f>Sheet1!I47</f>
        <v>道</v>
      </c>
      <c r="K59" s="207" t="str">
        <f>Sheet1!K47</f>
        <v>IJ自</v>
      </c>
      <c r="L59" s="208" t="str">
        <f>Sheet1!L47</f>
        <v>IJ数</v>
      </c>
      <c r="M59" s="208" t="str">
        <f>Sheet1!M47</f>
        <v>IJ音</v>
      </c>
      <c r="N59" s="208" t="str">
        <f>Sheet1!N47</f>
        <v>IJ理</v>
      </c>
      <c r="O59" s="208">
        <f>Sheet1!O47</f>
        <v>0</v>
      </c>
      <c r="P59" s="210" t="str">
        <f>Sheet1!P47</f>
        <v>総</v>
      </c>
      <c r="Q59" s="207">
        <f>Sheet1!R47</f>
        <v>0</v>
      </c>
      <c r="R59" s="208" t="str">
        <f>Sheet1!S47</f>
        <v>IJ美</v>
      </c>
      <c r="S59" s="208" t="str">
        <f>Sheet1!T47</f>
        <v>IJ美</v>
      </c>
      <c r="T59" s="208" t="str">
        <f>Sheet1!U47</f>
        <v>IJ作</v>
      </c>
      <c r="U59" s="208" t="str">
        <f>Sheet1!V47</f>
        <v>IJ国</v>
      </c>
      <c r="V59" s="210" t="str">
        <f>Sheet1!W47</f>
        <v>学</v>
      </c>
      <c r="W59" s="207" t="str">
        <f>Sheet1!Y47</f>
        <v>IJ数</v>
      </c>
      <c r="X59" s="208">
        <f>Sheet1!Z47</f>
        <v>0</v>
      </c>
      <c r="Y59" s="208" t="str">
        <f>Sheet1!AA47</f>
        <v>IJ社</v>
      </c>
      <c r="Z59" s="208" t="str">
        <f>Sheet1!AB47</f>
        <v>IJ国</v>
      </c>
      <c r="AA59" s="210" t="str">
        <f>Sheet1!AC47</f>
        <v>IJ英</v>
      </c>
      <c r="AB59" s="211" t="str">
        <f>Sheet1!AF47</f>
        <v>IJ音</v>
      </c>
      <c r="AC59" s="208" t="str">
        <f>Sheet1!AG47</f>
        <v>IJ英</v>
      </c>
      <c r="AD59" s="208" t="str">
        <f>Sheet1!AH47</f>
        <v>IJ理</v>
      </c>
      <c r="AE59" s="208" t="str">
        <f>Sheet1!AI47</f>
        <v>IJ作</v>
      </c>
      <c r="AF59" s="208">
        <f>Sheet1!AJ47</f>
        <v>0</v>
      </c>
      <c r="AG59" s="212" t="str">
        <f>Sheet1!AK47</f>
        <v>総</v>
      </c>
    </row>
    <row r="60" spans="3:33" ht="27" customHeight="1" x14ac:dyDescent="0.2">
      <c r="C60" s="171" t="str">
        <f>Sheet1!B48</f>
        <v>IJ</v>
      </c>
      <c r="D60" s="178" t="str">
        <f>Sheet1!C48</f>
        <v>春日井</v>
      </c>
      <c r="E60" s="315" t="str">
        <f>Sheet1!D48</f>
        <v>IJ技</v>
      </c>
      <c r="F60" s="316">
        <f>Sheet1!E48</f>
        <v>0</v>
      </c>
      <c r="G60" s="316" t="str">
        <f>Sheet1!F48</f>
        <v>IJ保体</v>
      </c>
      <c r="H60" s="316" t="str">
        <f>Sheet1!G48</f>
        <v>IJ社</v>
      </c>
      <c r="I60" s="317">
        <f>Sheet1!H48</f>
        <v>0</v>
      </c>
      <c r="J60" s="318" t="str">
        <f>Sheet1!I48</f>
        <v>道</v>
      </c>
      <c r="K60" s="315" t="str">
        <f>Sheet1!K48</f>
        <v>IJ自</v>
      </c>
      <c r="L60" s="316" t="str">
        <f>Sheet1!L48</f>
        <v>IJ数</v>
      </c>
      <c r="M60" s="316">
        <f>Sheet1!M48</f>
        <v>0</v>
      </c>
      <c r="N60" s="316" t="str">
        <f>Sheet1!N48</f>
        <v>IJ理</v>
      </c>
      <c r="O60" s="316" t="str">
        <f>Sheet1!O48</f>
        <v>IJ作</v>
      </c>
      <c r="P60" s="318" t="str">
        <f>Sheet1!P48</f>
        <v>総</v>
      </c>
      <c r="Q60" s="315" t="str">
        <f>Sheet1!R48</f>
        <v>IJ自</v>
      </c>
      <c r="R60" s="316" t="str">
        <f>Sheet1!S48</f>
        <v>IJ美</v>
      </c>
      <c r="S60" s="316" t="str">
        <f>Sheet1!T48</f>
        <v>IJ美</v>
      </c>
      <c r="T60" s="316">
        <f>Sheet1!U48</f>
        <v>0</v>
      </c>
      <c r="U60" s="316" t="str">
        <f>Sheet1!V48</f>
        <v>IJ国</v>
      </c>
      <c r="V60" s="318" t="str">
        <f>Sheet1!W48</f>
        <v>学</v>
      </c>
      <c r="W60" s="315" t="str">
        <f>Sheet1!Y48</f>
        <v>IJ数</v>
      </c>
      <c r="X60" s="316" t="str">
        <f>Sheet1!Z48</f>
        <v>IJ保体</v>
      </c>
      <c r="Y60" s="316" t="str">
        <f>Sheet1!AA48</f>
        <v>IJ社</v>
      </c>
      <c r="Z60" s="316" t="str">
        <f>Sheet1!AB48</f>
        <v>IJ国</v>
      </c>
      <c r="AA60" s="318">
        <f>Sheet1!AC48</f>
        <v>0</v>
      </c>
      <c r="AB60" s="319" t="str">
        <f>Sheet1!AF48</f>
        <v>IJ音</v>
      </c>
      <c r="AC60" s="316">
        <f>Sheet1!AG48</f>
        <v>0</v>
      </c>
      <c r="AD60" s="316" t="str">
        <f>Sheet1!AH48</f>
        <v>IJ理</v>
      </c>
      <c r="AE60" s="316" t="str">
        <f>Sheet1!AI48</f>
        <v>IJ作</v>
      </c>
      <c r="AF60" s="316" t="str">
        <f>Sheet1!AJ48</f>
        <v>IJ保体</v>
      </c>
      <c r="AG60" s="320" t="str">
        <f>Sheet1!AK48</f>
        <v>総</v>
      </c>
    </row>
    <row r="61" spans="3:33" ht="27" customHeight="1" thickBot="1" x14ac:dyDescent="0.25">
      <c r="C61" s="167" t="str">
        <f>Sheet1!B49</f>
        <v>IJ</v>
      </c>
      <c r="D61" s="166" t="str">
        <f>Sheet1!C49</f>
        <v>野々村</v>
      </c>
      <c r="E61" s="231" t="str">
        <f>Sheet1!D49</f>
        <v>IJ技</v>
      </c>
      <c r="F61" s="232" t="str">
        <f>Sheet1!E49</f>
        <v>IJ家</v>
      </c>
      <c r="G61" s="232" t="str">
        <f>Sheet1!F49</f>
        <v>IJ保体</v>
      </c>
      <c r="H61" s="232">
        <f>Sheet1!G49</f>
        <v>0</v>
      </c>
      <c r="I61" s="233" t="str">
        <f>Sheet1!H49</f>
        <v>IJ作</v>
      </c>
      <c r="J61" s="234" t="str">
        <f>Sheet1!I49</f>
        <v>道</v>
      </c>
      <c r="K61" s="231" t="str">
        <f>Sheet1!K49</f>
        <v>IJ自</v>
      </c>
      <c r="L61" s="232" t="str">
        <f>Sheet1!L49</f>
        <v>IJ数</v>
      </c>
      <c r="M61" s="232" t="str">
        <f>Sheet1!M49</f>
        <v>IJ音</v>
      </c>
      <c r="N61" s="232">
        <f>Sheet1!N49</f>
        <v>0</v>
      </c>
      <c r="O61" s="232" t="str">
        <f>Sheet1!O49</f>
        <v>IJ作</v>
      </c>
      <c r="P61" s="234" t="str">
        <f>Sheet1!P49</f>
        <v>総</v>
      </c>
      <c r="Q61" s="231" t="str">
        <f>Sheet1!R49</f>
        <v>IJ自</v>
      </c>
      <c r="R61" s="232" t="str">
        <f>Sheet1!S49</f>
        <v>IJ美</v>
      </c>
      <c r="S61" s="232" t="str">
        <f>Sheet1!T49</f>
        <v>IJ美</v>
      </c>
      <c r="T61" s="232" t="str">
        <f>Sheet1!U49</f>
        <v>IJ作</v>
      </c>
      <c r="U61" s="232">
        <f>Sheet1!V49</f>
        <v>0</v>
      </c>
      <c r="V61" s="234" t="str">
        <f>Sheet1!W49</f>
        <v>学</v>
      </c>
      <c r="W61" s="231" t="str">
        <f>Sheet1!Y49</f>
        <v>IJ数</v>
      </c>
      <c r="X61" s="232" t="str">
        <f>Sheet1!Z49</f>
        <v>IJ保体</v>
      </c>
      <c r="Y61" s="232" t="str">
        <f>Sheet1!AA49</f>
        <v>生</v>
      </c>
      <c r="Z61" s="232" t="str">
        <f>Sheet1!AB49</f>
        <v>IJ国</v>
      </c>
      <c r="AA61" s="234" t="str">
        <f>Sheet1!AC49</f>
        <v>IJ英</v>
      </c>
      <c r="AB61" s="235" t="str">
        <f>Sheet1!AF49</f>
        <v>IJ音</v>
      </c>
      <c r="AC61" s="232">
        <f>Sheet1!AG49</f>
        <v>0</v>
      </c>
      <c r="AD61" s="232">
        <f>Sheet1!AH49</f>
        <v>0</v>
      </c>
      <c r="AE61" s="232">
        <f>Sheet1!AI49</f>
        <v>0</v>
      </c>
      <c r="AF61" s="232" t="str">
        <f>Sheet1!AJ49</f>
        <v>IJ保体</v>
      </c>
      <c r="AG61" s="236" t="str">
        <f>Sheet1!AK49</f>
        <v>総</v>
      </c>
    </row>
    <row r="62" spans="3:33" ht="27" customHeight="1" thickTop="1" x14ac:dyDescent="0.2">
      <c r="D62" s="162" t="s">
        <v>118</v>
      </c>
      <c r="E62" s="165"/>
    </row>
    <row r="307" spans="5:7" ht="27" customHeight="1" x14ac:dyDescent="0.2">
      <c r="E307" s="164"/>
      <c r="F307" s="164"/>
      <c r="G307" s="164"/>
    </row>
  </sheetData>
  <customSheetViews>
    <customSheetView guid="{588B52CB-128D-4476-A8D0-8A203A5F17F0}" scale="70" showPageBreaks="1" showGridLines="0" zeroValues="0" printArea="1" hiddenRows="1" view="pageBreakPreview" topLeftCell="A38">
      <selection activeCell="AA30" sqref="AA30"/>
      <pageMargins left="0.19685039370078741" right="0.19685039370078741" top="0.27559055118110237" bottom="0.23622047244094491" header="0.19685039370078741" footer="0.19685039370078741"/>
      <printOptions horizontalCentered="1"/>
      <pageSetup paperSize="9" scale="59" orientation="portrait" r:id="rId1"/>
    </customSheetView>
  </customSheetViews>
  <mergeCells count="2">
    <mergeCell ref="G2:M2"/>
    <mergeCell ref="AC2:AG2"/>
  </mergeCells>
  <phoneticPr fontId="7"/>
  <printOptions horizontalCentered="1"/>
  <pageMargins left="0.19685039370078741" right="0.19685039370078741" top="0.27559055118110237" bottom="0.23622047244094491" header="0.19685039370078741" footer="0.19685039370078741"/>
  <pageSetup paperSize="9" scale="55"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
  <sheetViews>
    <sheetView view="pageBreakPreview" zoomScale="55" zoomScaleSheetLayoutView="55" workbookViewId="0">
      <selection activeCell="O31" sqref="O31"/>
    </sheetView>
  </sheetViews>
  <sheetFormatPr defaultRowHeight="16.5" x14ac:dyDescent="0.25"/>
  <cols>
    <col min="1" max="1" width="6.6328125" style="23" customWidth="1"/>
    <col min="2" max="2" width="7.6328125" bestFit="1" customWidth="1"/>
    <col min="3" max="7" width="6.6328125" customWidth="1"/>
    <col min="8" max="8" width="6.6328125" style="23" customWidth="1"/>
    <col min="9" max="14" width="6.6328125" customWidth="1"/>
    <col min="15" max="15" width="6.6328125" style="23" customWidth="1"/>
    <col min="16" max="21" width="6.6328125" customWidth="1"/>
    <col min="22" max="22" width="6.6328125" style="23" customWidth="1"/>
    <col min="23" max="27" width="6.6328125" customWidth="1"/>
  </cols>
  <sheetData>
    <row r="1" spans="1:27" ht="27" customHeight="1" x14ac:dyDescent="0.3">
      <c r="A1" s="40" t="e">
        <f>IF(#REF!="","",#REF!)</f>
        <v>#REF!</v>
      </c>
      <c r="D1" t="s">
        <v>23</v>
      </c>
      <c r="H1" s="40" t="e">
        <f>IF(#REF!="","",#REF!)</f>
        <v>#REF!</v>
      </c>
      <c r="K1" t="s">
        <v>23</v>
      </c>
      <c r="O1" s="40" t="e">
        <f>IF(#REF!="","",#REF!)</f>
        <v>#REF!</v>
      </c>
      <c r="R1" t="s">
        <v>23</v>
      </c>
      <c r="V1" s="40" t="e">
        <f>IF(#REF!="","",#REF!)</f>
        <v>#REF!</v>
      </c>
      <c r="Y1" t="s">
        <v>23</v>
      </c>
    </row>
    <row r="2" spans="1:27" ht="17" thickBot="1" x14ac:dyDescent="0.3">
      <c r="A2" s="29">
        <v>1</v>
      </c>
      <c r="H2" s="29">
        <v>2</v>
      </c>
      <c r="O2" s="29">
        <v>3</v>
      </c>
      <c r="V2" s="29">
        <v>4</v>
      </c>
    </row>
    <row r="3" spans="1:27" s="23" customFormat="1" ht="27.9" customHeight="1" x14ac:dyDescent="0.25">
      <c r="A3" s="24"/>
      <c r="B3" s="7" t="s">
        <v>11</v>
      </c>
      <c r="C3" s="7" t="s">
        <v>3</v>
      </c>
      <c r="D3" s="7" t="s">
        <v>5</v>
      </c>
      <c r="E3" s="7" t="s">
        <v>7</v>
      </c>
      <c r="F3" s="9" t="s">
        <v>9</v>
      </c>
      <c r="H3" s="24"/>
      <c r="I3" s="7" t="s">
        <v>11</v>
      </c>
      <c r="J3" s="7" t="s">
        <v>3</v>
      </c>
      <c r="K3" s="7" t="s">
        <v>5</v>
      </c>
      <c r="L3" s="7" t="s">
        <v>7</v>
      </c>
      <c r="M3" s="9" t="s">
        <v>9</v>
      </c>
      <c r="O3" s="24"/>
      <c r="P3" s="7" t="s">
        <v>11</v>
      </c>
      <c r="Q3" s="7" t="s">
        <v>3</v>
      </c>
      <c r="R3" s="7" t="s">
        <v>5</v>
      </c>
      <c r="S3" s="7" t="s">
        <v>7</v>
      </c>
      <c r="T3" s="9" t="s">
        <v>9</v>
      </c>
      <c r="V3" s="24"/>
      <c r="W3" s="7" t="s">
        <v>11</v>
      </c>
      <c r="X3" s="7" t="s">
        <v>3</v>
      </c>
      <c r="Y3" s="7" t="s">
        <v>5</v>
      </c>
      <c r="Z3" s="7" t="s">
        <v>7</v>
      </c>
      <c r="AA3" s="9" t="s">
        <v>9</v>
      </c>
    </row>
    <row r="4" spans="1:27" ht="27.9" customHeight="1" x14ac:dyDescent="0.2">
      <c r="A4" s="25">
        <v>1</v>
      </c>
      <c r="B4" s="36" t="e">
        <f>IF(VLOOKUP(A2,#REF!,4)="","",VLOOKUP(A2,#REF!,4))</f>
        <v>#REF!</v>
      </c>
      <c r="C4" s="36" t="e">
        <f>IF(VLOOKUP(A2,#REF!,11)="","",VLOOKUP(A2,#REF!,11))</f>
        <v>#REF!</v>
      </c>
      <c r="D4" s="36" t="e">
        <f>IF(VLOOKUP(A2,#REF!,18)="","",VLOOKUP(A2,#REF!,18))</f>
        <v>#REF!</v>
      </c>
      <c r="E4" s="36" t="e">
        <f>IF(VLOOKUP(A2,#REF!,25)="","",VLOOKUP(A2,#REF!,25))</f>
        <v>#REF!</v>
      </c>
      <c r="F4" s="38" t="e">
        <f>IF(VLOOKUP(A2,#REF!,32)="","",VLOOKUP(A2,#REF!,32))</f>
        <v>#REF!</v>
      </c>
      <c r="H4" s="25">
        <v>1</v>
      </c>
      <c r="I4" s="36" t="e">
        <f>IF(VLOOKUP(H2,#REF!,4)="","",VLOOKUP(H2,#REF!,4))</f>
        <v>#REF!</v>
      </c>
      <c r="J4" s="36" t="e">
        <f>IF(VLOOKUP(H2,#REF!,11)="","",VLOOKUP(H2,#REF!,11))</f>
        <v>#REF!</v>
      </c>
      <c r="K4" s="36" t="e">
        <f>IF(VLOOKUP(H2,#REF!,18)="","",VLOOKUP(H2,#REF!,18))</f>
        <v>#REF!</v>
      </c>
      <c r="L4" s="36" t="e">
        <f>IF(VLOOKUP(H2,#REF!,25)="","",VLOOKUP(H2,#REF!,25))</f>
        <v>#REF!</v>
      </c>
      <c r="M4" s="38" t="e">
        <f>IF(VLOOKUP(H2,#REF!,32)="","",VLOOKUP(H2,#REF!,32))</f>
        <v>#REF!</v>
      </c>
      <c r="O4" s="25">
        <v>1</v>
      </c>
      <c r="P4" s="36" t="e">
        <f>IF(VLOOKUP(O2,#REF!,4)="","",VLOOKUP(O2,#REF!,4))</f>
        <v>#REF!</v>
      </c>
      <c r="Q4" s="36" t="e">
        <f>IF(VLOOKUP(O2,#REF!,11)="","",VLOOKUP(O2,#REF!,11))</f>
        <v>#REF!</v>
      </c>
      <c r="R4" s="36" t="e">
        <f>IF(VLOOKUP(O2,#REF!,18)="","",VLOOKUP(O2,#REF!,18))</f>
        <v>#REF!</v>
      </c>
      <c r="S4" s="36" t="e">
        <f>IF(VLOOKUP(O2,#REF!,25)="","",VLOOKUP(O2,#REF!,25))</f>
        <v>#REF!</v>
      </c>
      <c r="T4" s="38" t="e">
        <f>IF(VLOOKUP(O2,#REF!,32)="","",VLOOKUP(O2,#REF!,32))</f>
        <v>#REF!</v>
      </c>
      <c r="V4" s="25">
        <v>1</v>
      </c>
      <c r="W4" s="36" t="e">
        <f>IF(VLOOKUP(V2,#REF!,4)="","",VLOOKUP(V2,#REF!,4))</f>
        <v>#REF!</v>
      </c>
      <c r="X4" s="36" t="e">
        <f>IF(VLOOKUP(V2,#REF!,11)="","",VLOOKUP(V2,#REF!,11))</f>
        <v>#REF!</v>
      </c>
      <c r="Y4" s="36" t="e">
        <f>IF(VLOOKUP(V2,#REF!,18)="","",VLOOKUP(V2,#REF!,18))</f>
        <v>#REF!</v>
      </c>
      <c r="Z4" s="36" t="e">
        <f>IF(VLOOKUP(V2,#REF!,25)="","",VLOOKUP(V2,#REF!,25))</f>
        <v>#REF!</v>
      </c>
      <c r="AA4" s="38" t="e">
        <f>IF(VLOOKUP(V2,#REF!,32)="","",VLOOKUP(V2,#REF!,32))</f>
        <v>#REF!</v>
      </c>
    </row>
    <row r="5" spans="1:27" ht="27.9" customHeight="1" x14ac:dyDescent="0.2">
      <c r="A5" s="25">
        <v>2</v>
      </c>
      <c r="B5" s="36" t="e">
        <f>IF(VLOOKUP(A2,#REF!,5)="","",VLOOKUP(A2,#REF!,5))</f>
        <v>#REF!</v>
      </c>
      <c r="C5" s="36" t="e">
        <f>IF(VLOOKUP(A2,#REF!,12)="","",VLOOKUP(A2,#REF!,12))</f>
        <v>#REF!</v>
      </c>
      <c r="D5" s="36" t="e">
        <f>IF(VLOOKUP(A2,#REF!,19)="","",VLOOKUP(A2,#REF!,19))</f>
        <v>#REF!</v>
      </c>
      <c r="E5" s="36" t="e">
        <f>IF(VLOOKUP(A2,#REF!,26)="","",VLOOKUP(A2,#REF!,26))</f>
        <v>#REF!</v>
      </c>
      <c r="F5" s="38" t="e">
        <f>IF(VLOOKUP(A2,#REF!,33)="","",VLOOKUP(A2,#REF!,33))</f>
        <v>#REF!</v>
      </c>
      <c r="H5" s="25">
        <v>2</v>
      </c>
      <c r="I5" s="36" t="e">
        <f>IF(VLOOKUP(H2,#REF!,5)="","",VLOOKUP(H2,#REF!,5))</f>
        <v>#REF!</v>
      </c>
      <c r="J5" s="36" t="e">
        <f>IF(VLOOKUP(H2,#REF!,12)="","",VLOOKUP(H2,#REF!,12))</f>
        <v>#REF!</v>
      </c>
      <c r="K5" s="36" t="e">
        <f>IF(VLOOKUP(H2,#REF!,19)="","",VLOOKUP(H2,#REF!,19))</f>
        <v>#REF!</v>
      </c>
      <c r="L5" s="36" t="e">
        <f>IF(VLOOKUP(H2,#REF!,26)="","",VLOOKUP(H2,#REF!,26))</f>
        <v>#REF!</v>
      </c>
      <c r="M5" s="38" t="e">
        <f>IF(VLOOKUP(H2,#REF!,33)="","",VLOOKUP(H2,#REF!,33))</f>
        <v>#REF!</v>
      </c>
      <c r="O5" s="25">
        <v>2</v>
      </c>
      <c r="P5" s="36" t="e">
        <f>IF(VLOOKUP(O2,#REF!,5)="","",VLOOKUP(O2,#REF!,5))</f>
        <v>#REF!</v>
      </c>
      <c r="Q5" s="36" t="e">
        <f>IF(VLOOKUP(O2,#REF!,12)="","",VLOOKUP(O2,#REF!,12))</f>
        <v>#REF!</v>
      </c>
      <c r="R5" s="36" t="e">
        <f>IF(VLOOKUP(O2,#REF!,19)="","",VLOOKUP(O2,#REF!,19))</f>
        <v>#REF!</v>
      </c>
      <c r="S5" s="36" t="e">
        <f>IF(VLOOKUP(O2,#REF!,26)="","",VLOOKUP(O2,#REF!,26))</f>
        <v>#REF!</v>
      </c>
      <c r="T5" s="38" t="e">
        <f>IF(VLOOKUP(O2,#REF!,33)="","",VLOOKUP(O2,#REF!,33))</f>
        <v>#REF!</v>
      </c>
      <c r="V5" s="25">
        <v>2</v>
      </c>
      <c r="W5" s="36" t="e">
        <f>IF(VLOOKUP(V2,#REF!,5)="","",VLOOKUP(V2,#REF!,5))</f>
        <v>#REF!</v>
      </c>
      <c r="X5" s="36" t="e">
        <f>IF(VLOOKUP(V2,#REF!,12)="","",VLOOKUP(V2,#REF!,12))</f>
        <v>#REF!</v>
      </c>
      <c r="Y5" s="36" t="e">
        <f>IF(VLOOKUP(V2,#REF!,19)="","",VLOOKUP(V2,#REF!,19))</f>
        <v>#REF!</v>
      </c>
      <c r="Z5" s="36" t="e">
        <f>IF(VLOOKUP(V2,#REF!,26)="","",VLOOKUP(V2,#REF!,26))</f>
        <v>#REF!</v>
      </c>
      <c r="AA5" s="38" t="e">
        <f>IF(VLOOKUP(V2,#REF!,33)="","",VLOOKUP(V2,#REF!,33))</f>
        <v>#REF!</v>
      </c>
    </row>
    <row r="6" spans="1:27" ht="27.9" customHeight="1" x14ac:dyDescent="0.2">
      <c r="A6" s="25">
        <v>3</v>
      </c>
      <c r="B6" s="36" t="e">
        <f>IF(VLOOKUP(A2,#REF!,6)="","",VLOOKUP(A2,#REF!,6))</f>
        <v>#REF!</v>
      </c>
      <c r="C6" s="36" t="e">
        <f>IF(VLOOKUP(A2,#REF!,13)="","",VLOOKUP(A2,#REF!,13))</f>
        <v>#REF!</v>
      </c>
      <c r="D6" s="36" t="e">
        <f>IF(VLOOKUP(A2,#REF!,20)="","",VLOOKUP(A2,#REF!,20))</f>
        <v>#REF!</v>
      </c>
      <c r="E6" s="36" t="e">
        <f>IF(VLOOKUP(A2,#REF!,27)="","",VLOOKUP(A2,#REF!,27))</f>
        <v>#REF!</v>
      </c>
      <c r="F6" s="38" t="e">
        <f>IF(VLOOKUP(A2,#REF!,34)="","",VLOOKUP(A2,#REF!,34))</f>
        <v>#REF!</v>
      </c>
      <c r="H6" s="25">
        <v>3</v>
      </c>
      <c r="I6" s="36" t="e">
        <f>IF(VLOOKUP(H2,#REF!,6)="","",VLOOKUP(H2,#REF!,6))</f>
        <v>#REF!</v>
      </c>
      <c r="J6" s="36" t="e">
        <f>IF(VLOOKUP(H2,#REF!,13)="","",VLOOKUP(H2,#REF!,13))</f>
        <v>#REF!</v>
      </c>
      <c r="K6" s="36" t="e">
        <f>IF(VLOOKUP(H2,#REF!,20)="","",VLOOKUP(H2,#REF!,20))</f>
        <v>#REF!</v>
      </c>
      <c r="L6" s="36" t="e">
        <f>IF(VLOOKUP(H2,#REF!,27)="","",VLOOKUP(H2,#REF!,27))</f>
        <v>#REF!</v>
      </c>
      <c r="M6" s="38" t="e">
        <f>IF(VLOOKUP(H2,#REF!,34)="","",VLOOKUP(H2,#REF!,34))</f>
        <v>#REF!</v>
      </c>
      <c r="O6" s="25">
        <v>3</v>
      </c>
      <c r="P6" s="36" t="e">
        <f>IF(VLOOKUP(O2,#REF!,6)="","",VLOOKUP(O2,#REF!,6))</f>
        <v>#REF!</v>
      </c>
      <c r="Q6" s="36" t="e">
        <f>IF(VLOOKUP(O2,#REF!,13)="","",VLOOKUP(O2,#REF!,13))</f>
        <v>#REF!</v>
      </c>
      <c r="R6" s="36" t="e">
        <f>IF(VLOOKUP(O2,#REF!,20)="","",VLOOKUP(O2,#REF!,20))</f>
        <v>#REF!</v>
      </c>
      <c r="S6" s="36" t="e">
        <f>IF(VLOOKUP(O2,#REF!,27)="","",VLOOKUP(O2,#REF!,27))</f>
        <v>#REF!</v>
      </c>
      <c r="T6" s="38" t="e">
        <f>IF(VLOOKUP(O2,#REF!,34)="","",VLOOKUP(O2,#REF!,34))</f>
        <v>#REF!</v>
      </c>
      <c r="V6" s="25">
        <v>3</v>
      </c>
      <c r="W6" s="36" t="e">
        <f>IF(VLOOKUP(V2,#REF!,6)="","",VLOOKUP(V2,#REF!,6))</f>
        <v>#REF!</v>
      </c>
      <c r="X6" s="36" t="e">
        <f>IF(VLOOKUP(V2,#REF!,13)="","",VLOOKUP(V2,#REF!,13))</f>
        <v>#REF!</v>
      </c>
      <c r="Y6" s="36" t="e">
        <f>IF(VLOOKUP(V2,#REF!,20)="","",VLOOKUP(V2,#REF!,20))</f>
        <v>#REF!</v>
      </c>
      <c r="Z6" s="36" t="e">
        <f>IF(VLOOKUP(V2,#REF!,27)="","",VLOOKUP(V2,#REF!,27))</f>
        <v>#REF!</v>
      </c>
      <c r="AA6" s="38" t="e">
        <f>IF(VLOOKUP(V2,#REF!,34)="","",VLOOKUP(V2,#REF!,34))</f>
        <v>#REF!</v>
      </c>
    </row>
    <row r="7" spans="1:27" ht="27.9" customHeight="1" x14ac:dyDescent="0.2">
      <c r="A7" s="25">
        <v>4</v>
      </c>
      <c r="B7" s="36" t="e">
        <f>IF(VLOOKUP(A2,#REF!,7)="","",VLOOKUP(A2,#REF!,7))</f>
        <v>#REF!</v>
      </c>
      <c r="C7" s="36" t="e">
        <f>IF(VLOOKUP(A2,#REF!,14)="","",VLOOKUP(A2,#REF!,14))</f>
        <v>#REF!</v>
      </c>
      <c r="D7" s="36" t="e">
        <f>IF(VLOOKUP(A2,#REF!,21)="","",VLOOKUP(A2,#REF!,21))</f>
        <v>#REF!</v>
      </c>
      <c r="E7" s="36" t="e">
        <f>IF(VLOOKUP(A2,#REF!,28)="","",VLOOKUP(A2,#REF!,28))</f>
        <v>#REF!</v>
      </c>
      <c r="F7" s="38" t="e">
        <f>IF(VLOOKUP(A2,#REF!,35)="","",VLOOKUP(A2,#REF!,35))</f>
        <v>#REF!</v>
      </c>
      <c r="H7" s="25">
        <v>4</v>
      </c>
      <c r="I7" s="36" t="e">
        <f>IF(VLOOKUP(H2,#REF!,7)="","",VLOOKUP(H2,#REF!,7))</f>
        <v>#REF!</v>
      </c>
      <c r="J7" s="36" t="e">
        <f>IF(VLOOKUP(H2,#REF!,14)="","",VLOOKUP(H2,#REF!,14))</f>
        <v>#REF!</v>
      </c>
      <c r="K7" s="36" t="e">
        <f>IF(VLOOKUP(H2,#REF!,21)="","",VLOOKUP(H2,#REF!,21))</f>
        <v>#REF!</v>
      </c>
      <c r="L7" s="36" t="e">
        <f>IF(VLOOKUP(H2,#REF!,28)="","",VLOOKUP(H2,#REF!,28))</f>
        <v>#REF!</v>
      </c>
      <c r="M7" s="38" t="e">
        <f>IF(VLOOKUP(H2,#REF!,35)="","",VLOOKUP(H2,#REF!,35))</f>
        <v>#REF!</v>
      </c>
      <c r="O7" s="25">
        <v>4</v>
      </c>
      <c r="P7" s="36" t="e">
        <f>IF(VLOOKUP(O2,#REF!,7)="","",VLOOKUP(O2,#REF!,7))</f>
        <v>#REF!</v>
      </c>
      <c r="Q7" s="36" t="e">
        <f>IF(VLOOKUP(O2,#REF!,14)="","",VLOOKUP(O2,#REF!,14))</f>
        <v>#REF!</v>
      </c>
      <c r="R7" s="36" t="e">
        <f>IF(VLOOKUP(O2,#REF!,21)="","",VLOOKUP(O2,#REF!,21))</f>
        <v>#REF!</v>
      </c>
      <c r="S7" s="36" t="e">
        <f>IF(VLOOKUP(O2,#REF!,28)="","",VLOOKUP(O2,#REF!,28))</f>
        <v>#REF!</v>
      </c>
      <c r="T7" s="38" t="e">
        <f>IF(VLOOKUP(O2,#REF!,35)="","",VLOOKUP(O2,#REF!,35))</f>
        <v>#REF!</v>
      </c>
      <c r="V7" s="25">
        <v>4</v>
      </c>
      <c r="W7" s="36" t="e">
        <f>IF(VLOOKUP(V2,#REF!,7)="","",VLOOKUP(V2,#REF!,7))</f>
        <v>#REF!</v>
      </c>
      <c r="X7" s="36" t="e">
        <f>IF(VLOOKUP(V2,#REF!,14)="","",VLOOKUP(V2,#REF!,14))</f>
        <v>#REF!</v>
      </c>
      <c r="Y7" s="36" t="e">
        <f>IF(VLOOKUP(V2,#REF!,21)="","",VLOOKUP(V2,#REF!,21))</f>
        <v>#REF!</v>
      </c>
      <c r="Z7" s="36" t="e">
        <f>IF(VLOOKUP(V2,#REF!,28)="","",VLOOKUP(V2,#REF!,28))</f>
        <v>#REF!</v>
      </c>
      <c r="AA7" s="38" t="e">
        <f>IF(VLOOKUP(V2,#REF!,35)="","",VLOOKUP(V2,#REF!,35))</f>
        <v>#REF!</v>
      </c>
    </row>
    <row r="8" spans="1:27" ht="27.9" customHeight="1" x14ac:dyDescent="0.2">
      <c r="A8" s="25">
        <v>5</v>
      </c>
      <c r="B8" s="36" t="e">
        <f>IF(VLOOKUP(A2,#REF!,8)="","",VLOOKUP(A2,#REF!,8))</f>
        <v>#REF!</v>
      </c>
      <c r="C8" s="36" t="e">
        <f>IF(VLOOKUP(A2,#REF!,15)="","",VLOOKUP(A2,#REF!,15))</f>
        <v>#REF!</v>
      </c>
      <c r="D8" s="36" t="e">
        <f>IF(VLOOKUP(A2,#REF!,22)="","",VLOOKUP(A2,#REF!,22))</f>
        <v>#REF!</v>
      </c>
      <c r="E8" s="36" t="e">
        <f>IF(VLOOKUP(A2,#REF!,29)="","",VLOOKUP(A2,#REF!,29))</f>
        <v>#REF!</v>
      </c>
      <c r="F8" s="38" t="e">
        <f>IF(VLOOKUP(A2,#REF!,36)="","",VLOOKUP(A2,#REF!,36))</f>
        <v>#REF!</v>
      </c>
      <c r="H8" s="25">
        <v>5</v>
      </c>
      <c r="I8" s="36" t="e">
        <f>IF(VLOOKUP(H2,#REF!,8)="","",VLOOKUP(H2,#REF!,8))</f>
        <v>#REF!</v>
      </c>
      <c r="J8" s="36" t="e">
        <f>IF(VLOOKUP(H2,#REF!,15)="","",VLOOKUP(H2,#REF!,15))</f>
        <v>#REF!</v>
      </c>
      <c r="K8" s="36" t="e">
        <f>IF(VLOOKUP(H2,#REF!,22)="","",VLOOKUP(H2,#REF!,22))</f>
        <v>#REF!</v>
      </c>
      <c r="L8" s="36" t="e">
        <f>IF(VLOOKUP(H2,#REF!,29)="","",VLOOKUP(H2,#REF!,29))</f>
        <v>#REF!</v>
      </c>
      <c r="M8" s="38" t="e">
        <f>IF(VLOOKUP(H2,#REF!,36)="","",VLOOKUP(H2,#REF!,36))</f>
        <v>#REF!</v>
      </c>
      <c r="O8" s="25">
        <v>5</v>
      </c>
      <c r="P8" s="36" t="e">
        <f>IF(VLOOKUP(O2,#REF!,8)="","",VLOOKUP(O2,#REF!,8))</f>
        <v>#REF!</v>
      </c>
      <c r="Q8" s="36" t="e">
        <f>IF(VLOOKUP(O2,#REF!,15)="","",VLOOKUP(O2,#REF!,15))</f>
        <v>#REF!</v>
      </c>
      <c r="R8" s="36" t="e">
        <f>IF(VLOOKUP(O2,#REF!,22)="","",VLOOKUP(O2,#REF!,22))</f>
        <v>#REF!</v>
      </c>
      <c r="S8" s="36" t="e">
        <f>IF(VLOOKUP(O2,#REF!,29)="","",VLOOKUP(O2,#REF!,29))</f>
        <v>#REF!</v>
      </c>
      <c r="T8" s="38" t="e">
        <f>IF(VLOOKUP(O2,#REF!,36)="","",VLOOKUP(O2,#REF!,36))</f>
        <v>#REF!</v>
      </c>
      <c r="V8" s="25">
        <v>5</v>
      </c>
      <c r="W8" s="36" t="e">
        <f>IF(VLOOKUP(V2,#REF!,8)="","",VLOOKUP(V2,#REF!,8))</f>
        <v>#REF!</v>
      </c>
      <c r="X8" s="36" t="e">
        <f>IF(VLOOKUP(V2,#REF!,15)="","",VLOOKUP(V2,#REF!,15))</f>
        <v>#REF!</v>
      </c>
      <c r="Y8" s="36" t="e">
        <f>IF(VLOOKUP(V2,#REF!,22)="","",VLOOKUP(V2,#REF!,22))</f>
        <v>#REF!</v>
      </c>
      <c r="Z8" s="36" t="e">
        <f>IF(VLOOKUP(V2,#REF!,29)="","",VLOOKUP(V2,#REF!,29))</f>
        <v>#REF!</v>
      </c>
      <c r="AA8" s="38" t="e">
        <f>IF(VLOOKUP(V2,#REF!,36)="","",VLOOKUP(V2,#REF!,36))</f>
        <v>#REF!</v>
      </c>
    </row>
    <row r="9" spans="1:27" ht="27.9" customHeight="1" thickBot="1" x14ac:dyDescent="0.25">
      <c r="A9" s="26">
        <v>6</v>
      </c>
      <c r="B9" s="35" t="e">
        <f>IF(VLOOKUP(A2,#REF!,9)="","",VLOOKUP(A2,#REF!,9))</f>
        <v>#REF!</v>
      </c>
      <c r="C9" s="35" t="e">
        <f>IF(VLOOKUP(A2,#REF!,16)="","",VLOOKUP(A2,#REF!,16))</f>
        <v>#REF!</v>
      </c>
      <c r="D9" s="35" t="e">
        <f>IF(VLOOKUP(A2,#REF!,23)="","",VLOOKUP(A2,#REF!,23))</f>
        <v>#REF!</v>
      </c>
      <c r="E9" s="35" t="e">
        <f>IF(VLOOKUP(A2,#REF!,30)="","",VLOOKUP(A2,#REF!,30))</f>
        <v>#REF!</v>
      </c>
      <c r="F9" s="39" t="e">
        <f>IF(VLOOKUP(A2,#REF!,37)="","",VLOOKUP(A2,#REF!,37))</f>
        <v>#REF!</v>
      </c>
      <c r="H9" s="26">
        <v>6</v>
      </c>
      <c r="I9" s="35" t="e">
        <f>IF(VLOOKUP(H2,#REF!,9)="","",VLOOKUP(H2,#REF!,9))</f>
        <v>#REF!</v>
      </c>
      <c r="J9" s="35" t="e">
        <f>IF(VLOOKUP(H2,#REF!,16)="","",VLOOKUP(H2,#REF!,16))</f>
        <v>#REF!</v>
      </c>
      <c r="K9" s="35" t="e">
        <f>IF(VLOOKUP(H2,#REF!,23)="","",VLOOKUP(H2,#REF!,23))</f>
        <v>#REF!</v>
      </c>
      <c r="L9" s="35" t="e">
        <f>IF(VLOOKUP(H2,#REF!,30)="","",VLOOKUP(H2,#REF!,30))</f>
        <v>#REF!</v>
      </c>
      <c r="M9" s="39" t="e">
        <f>IF(VLOOKUP(H2,#REF!,37)="","",VLOOKUP(H2,#REF!,37))</f>
        <v>#REF!</v>
      </c>
      <c r="O9" s="26">
        <v>6</v>
      </c>
      <c r="P9" s="35" t="e">
        <f>IF(VLOOKUP(O2,#REF!,9)="","",VLOOKUP(O2,#REF!,9))</f>
        <v>#REF!</v>
      </c>
      <c r="Q9" s="35" t="e">
        <f>IF(VLOOKUP(O2,#REF!,16)="","",VLOOKUP(O2,#REF!,16))</f>
        <v>#REF!</v>
      </c>
      <c r="R9" s="35" t="e">
        <f>IF(VLOOKUP(O2,#REF!,23)="","",VLOOKUP(O2,#REF!,23))</f>
        <v>#REF!</v>
      </c>
      <c r="S9" s="35" t="e">
        <f>IF(VLOOKUP(O2,#REF!,30)="","",VLOOKUP(O2,#REF!,30))</f>
        <v>#REF!</v>
      </c>
      <c r="T9" s="39" t="e">
        <f>IF(VLOOKUP(O2,#REF!,37)="","",VLOOKUP(O2,#REF!,37))</f>
        <v>#REF!</v>
      </c>
      <c r="V9" s="26">
        <v>6</v>
      </c>
      <c r="W9" s="35" t="e">
        <f>IF(VLOOKUP(V2,#REF!,9)="","",VLOOKUP(V2,#REF!,9))</f>
        <v>#REF!</v>
      </c>
      <c r="X9" s="35" t="e">
        <f>IF(VLOOKUP(V2,#REF!,16)="","",VLOOKUP(V2,#REF!,16))</f>
        <v>#REF!</v>
      </c>
      <c r="Y9" s="35" t="e">
        <f>IF(VLOOKUP(V2,#REF!,23)="","",VLOOKUP(V2,#REF!,23))</f>
        <v>#REF!</v>
      </c>
      <c r="Z9" s="35" t="e">
        <f>IF(VLOOKUP(V2,#REF!,30)="","",VLOOKUP(V2,#REF!,30))</f>
        <v>#REF!</v>
      </c>
      <c r="AA9" s="39" t="e">
        <f>IF(VLOOKUP(V2,#REF!,37)="","",VLOOKUP(V2,#REF!,37))</f>
        <v>#REF!</v>
      </c>
    </row>
    <row r="11" spans="1:27" ht="27" customHeight="1" x14ac:dyDescent="0.3">
      <c r="A11" s="40" t="e">
        <f>IF(#REF!="","",#REF!)</f>
        <v>#REF!</v>
      </c>
      <c r="D11" t="s">
        <v>23</v>
      </c>
      <c r="H11" s="40" t="e">
        <f>IF(#REF!="","",#REF!)</f>
        <v>#REF!</v>
      </c>
      <c r="K11" t="s">
        <v>23</v>
      </c>
      <c r="O11" s="40" t="e">
        <f>IF(#REF!="","",#REF!)</f>
        <v>#REF!</v>
      </c>
      <c r="R11" t="s">
        <v>23</v>
      </c>
      <c r="V11" s="40" t="e">
        <f>IF(#REF!="","",#REF!)</f>
        <v>#REF!</v>
      </c>
      <c r="Y11" t="s">
        <v>23</v>
      </c>
    </row>
    <row r="12" spans="1:27" ht="17" thickBot="1" x14ac:dyDescent="0.25">
      <c r="A12" s="30">
        <v>5</v>
      </c>
      <c r="H12" s="30">
        <v>6</v>
      </c>
      <c r="O12" s="30">
        <v>7</v>
      </c>
      <c r="V12" s="30">
        <v>8</v>
      </c>
    </row>
    <row r="13" spans="1:27" s="23" customFormat="1" ht="27.9" customHeight="1" x14ac:dyDescent="0.25">
      <c r="A13" s="24"/>
      <c r="B13" s="7" t="s">
        <v>11</v>
      </c>
      <c r="C13" s="7" t="s">
        <v>3</v>
      </c>
      <c r="D13" s="7" t="s">
        <v>5</v>
      </c>
      <c r="E13" s="7" t="s">
        <v>7</v>
      </c>
      <c r="F13" s="9" t="s">
        <v>9</v>
      </c>
      <c r="H13" s="24"/>
      <c r="I13" s="7" t="s">
        <v>11</v>
      </c>
      <c r="J13" s="7" t="s">
        <v>3</v>
      </c>
      <c r="K13" s="7" t="s">
        <v>5</v>
      </c>
      <c r="L13" s="7" t="s">
        <v>7</v>
      </c>
      <c r="M13" s="9" t="s">
        <v>9</v>
      </c>
      <c r="O13" s="24"/>
      <c r="P13" s="7" t="s">
        <v>11</v>
      </c>
      <c r="Q13" s="7" t="s">
        <v>3</v>
      </c>
      <c r="R13" s="7" t="s">
        <v>5</v>
      </c>
      <c r="S13" s="7" t="s">
        <v>7</v>
      </c>
      <c r="T13" s="9" t="s">
        <v>9</v>
      </c>
      <c r="V13" s="24"/>
      <c r="W13" s="7" t="s">
        <v>11</v>
      </c>
      <c r="X13" s="7" t="s">
        <v>3</v>
      </c>
      <c r="Y13" s="7" t="s">
        <v>5</v>
      </c>
      <c r="Z13" s="7" t="s">
        <v>7</v>
      </c>
      <c r="AA13" s="9" t="s">
        <v>9</v>
      </c>
    </row>
    <row r="14" spans="1:27" ht="27.9" customHeight="1" x14ac:dyDescent="0.2">
      <c r="A14" s="25">
        <v>1</v>
      </c>
      <c r="B14" s="36" t="e">
        <f>IF(VLOOKUP(A12,#REF!,4)="","",VLOOKUP(A12,#REF!,4))</f>
        <v>#REF!</v>
      </c>
      <c r="C14" s="36" t="e">
        <f>IF(VLOOKUP(A12,#REF!,11)="","",VLOOKUP(A12,#REF!,11))</f>
        <v>#REF!</v>
      </c>
      <c r="D14" s="36" t="e">
        <f>IF(VLOOKUP(A12,#REF!,18)="","",VLOOKUP(A12,#REF!,18))</f>
        <v>#REF!</v>
      </c>
      <c r="E14" s="36" t="e">
        <f>IF(VLOOKUP(A12,#REF!,25)="","",VLOOKUP(A12,#REF!,25))</f>
        <v>#REF!</v>
      </c>
      <c r="F14" s="38" t="e">
        <f>IF(VLOOKUP(A12,#REF!,32)="","",VLOOKUP(A12,#REF!,32))</f>
        <v>#REF!</v>
      </c>
      <c r="H14" s="25">
        <v>1</v>
      </c>
      <c r="I14" s="36" t="e">
        <f>IF(VLOOKUP(H12,#REF!,4)="","",VLOOKUP(H12,#REF!,4))</f>
        <v>#REF!</v>
      </c>
      <c r="J14" s="36" t="e">
        <f>IF(VLOOKUP(H12,#REF!,11)="","",VLOOKUP(H12,#REF!,11))</f>
        <v>#REF!</v>
      </c>
      <c r="K14" s="36" t="e">
        <f>IF(VLOOKUP(H12,#REF!,18)="","",VLOOKUP(H12,#REF!,18))</f>
        <v>#REF!</v>
      </c>
      <c r="L14" s="36" t="e">
        <f>IF(VLOOKUP(H12,#REF!,25)="","",VLOOKUP(H12,#REF!,25))</f>
        <v>#REF!</v>
      </c>
      <c r="M14" s="38" t="e">
        <f>IF(VLOOKUP(H12,#REF!,32)="","",VLOOKUP(H12,#REF!,32))</f>
        <v>#REF!</v>
      </c>
      <c r="O14" s="25">
        <v>1</v>
      </c>
      <c r="P14" s="36" t="e">
        <f>IF(VLOOKUP(O12,#REF!,4)="","",VLOOKUP(O12,#REF!,4))</f>
        <v>#REF!</v>
      </c>
      <c r="Q14" s="36" t="e">
        <f>IF(VLOOKUP(O12,#REF!,11)="","",VLOOKUP(O12,#REF!,11))</f>
        <v>#REF!</v>
      </c>
      <c r="R14" s="36" t="e">
        <f>IF(VLOOKUP(O12,#REF!,18)="","",VLOOKUP(O12,#REF!,18))</f>
        <v>#REF!</v>
      </c>
      <c r="S14" s="36" t="e">
        <f>IF(VLOOKUP(O12,#REF!,25)="","",VLOOKUP(O12,#REF!,25))</f>
        <v>#REF!</v>
      </c>
      <c r="T14" s="38" t="e">
        <f>IF(VLOOKUP(O12,#REF!,32)="","",VLOOKUP(O12,#REF!,32))</f>
        <v>#REF!</v>
      </c>
      <c r="V14" s="25">
        <v>1</v>
      </c>
      <c r="W14" s="36" t="e">
        <f>IF(VLOOKUP(V12,#REF!,4)="","",VLOOKUP(V12,#REF!,4))</f>
        <v>#REF!</v>
      </c>
      <c r="X14" s="36" t="e">
        <f>IF(VLOOKUP(V12,#REF!,11)="","",VLOOKUP(V12,#REF!,11))</f>
        <v>#REF!</v>
      </c>
      <c r="Y14" s="36" t="e">
        <f>IF(VLOOKUP(V12,#REF!,18)="","",VLOOKUP(V12,#REF!,18))</f>
        <v>#REF!</v>
      </c>
      <c r="Z14" s="36" t="e">
        <f>IF(VLOOKUP(V12,#REF!,25)="","",VLOOKUP(V12,#REF!,25))</f>
        <v>#REF!</v>
      </c>
      <c r="AA14" s="38" t="e">
        <f>IF(VLOOKUP(V12,#REF!,32)="","",VLOOKUP(V12,#REF!,32))</f>
        <v>#REF!</v>
      </c>
    </row>
    <row r="15" spans="1:27" ht="27.9" customHeight="1" x14ac:dyDescent="0.2">
      <c r="A15" s="25">
        <v>2</v>
      </c>
      <c r="B15" s="36" t="e">
        <f>IF(VLOOKUP(A12,#REF!,5)="","",VLOOKUP(A12,#REF!,5))</f>
        <v>#REF!</v>
      </c>
      <c r="C15" s="36" t="e">
        <f>IF(VLOOKUP(A12,#REF!,12)="","",VLOOKUP(A12,#REF!,12))</f>
        <v>#REF!</v>
      </c>
      <c r="D15" s="36" t="e">
        <f>IF(VLOOKUP(A12,#REF!,19)="","",VLOOKUP(A12,#REF!,19))</f>
        <v>#REF!</v>
      </c>
      <c r="E15" s="36" t="e">
        <f>IF(VLOOKUP(A12,#REF!,26)="","",VLOOKUP(A12,#REF!,26))</f>
        <v>#REF!</v>
      </c>
      <c r="F15" s="38" t="e">
        <f>IF(VLOOKUP(A12,#REF!,33)="","",VLOOKUP(A12,#REF!,33))</f>
        <v>#REF!</v>
      </c>
      <c r="H15" s="25">
        <v>2</v>
      </c>
      <c r="I15" s="36" t="e">
        <f>IF(VLOOKUP(H12,#REF!,5)="","",VLOOKUP(H12,#REF!,5))</f>
        <v>#REF!</v>
      </c>
      <c r="J15" s="36" t="e">
        <f>IF(VLOOKUP(H12,#REF!,12)="","",VLOOKUP(H12,#REF!,12))</f>
        <v>#REF!</v>
      </c>
      <c r="K15" s="36" t="e">
        <f>IF(VLOOKUP(H12,#REF!,19)="","",VLOOKUP(H12,#REF!,19))</f>
        <v>#REF!</v>
      </c>
      <c r="L15" s="36" t="e">
        <f>IF(VLOOKUP(H12,#REF!,26)="","",VLOOKUP(H12,#REF!,26))</f>
        <v>#REF!</v>
      </c>
      <c r="M15" s="38" t="e">
        <f>IF(VLOOKUP(H12,#REF!,33)="","",VLOOKUP(H12,#REF!,33))</f>
        <v>#REF!</v>
      </c>
      <c r="O15" s="25">
        <v>2</v>
      </c>
      <c r="P15" s="36" t="e">
        <f>IF(VLOOKUP(O12,#REF!,5)="","",VLOOKUP(O12,#REF!,5))</f>
        <v>#REF!</v>
      </c>
      <c r="Q15" s="36" t="e">
        <f>IF(VLOOKUP(O12,#REF!,12)="","",VLOOKUP(O12,#REF!,12))</f>
        <v>#REF!</v>
      </c>
      <c r="R15" s="36" t="e">
        <f>IF(VLOOKUP(O12,#REF!,19)="","",VLOOKUP(O12,#REF!,19))</f>
        <v>#REF!</v>
      </c>
      <c r="S15" s="36" t="e">
        <f>IF(VLOOKUP(O12,#REF!,26)="","",VLOOKUP(O12,#REF!,26))</f>
        <v>#REF!</v>
      </c>
      <c r="T15" s="38" t="e">
        <f>IF(VLOOKUP(O12,#REF!,33)="","",VLOOKUP(O12,#REF!,33))</f>
        <v>#REF!</v>
      </c>
      <c r="V15" s="25">
        <v>2</v>
      </c>
      <c r="W15" s="36" t="e">
        <f>IF(VLOOKUP(V12,#REF!,5)="","",VLOOKUP(V12,#REF!,5))</f>
        <v>#REF!</v>
      </c>
      <c r="X15" s="36" t="e">
        <f>IF(VLOOKUP(V12,#REF!,12)="","",VLOOKUP(V12,#REF!,12))</f>
        <v>#REF!</v>
      </c>
      <c r="Y15" s="36" t="e">
        <f>IF(VLOOKUP(V12,#REF!,19)="","",VLOOKUP(V12,#REF!,19))</f>
        <v>#REF!</v>
      </c>
      <c r="Z15" s="36" t="e">
        <f>IF(VLOOKUP(V12,#REF!,26)="","",VLOOKUP(V12,#REF!,26))</f>
        <v>#REF!</v>
      </c>
      <c r="AA15" s="38" t="e">
        <f>IF(VLOOKUP(V12,#REF!,33)="","",VLOOKUP(V12,#REF!,33))</f>
        <v>#REF!</v>
      </c>
    </row>
    <row r="16" spans="1:27" ht="27.9" customHeight="1" x14ac:dyDescent="0.2">
      <c r="A16" s="25">
        <v>3</v>
      </c>
      <c r="B16" s="36" t="e">
        <f>IF(VLOOKUP(A12,#REF!,6)="","",VLOOKUP(A12,#REF!,6))</f>
        <v>#REF!</v>
      </c>
      <c r="C16" s="36" t="e">
        <f>IF(VLOOKUP(A12,#REF!,13)="","",VLOOKUP(A12,#REF!,13))</f>
        <v>#REF!</v>
      </c>
      <c r="D16" s="36" t="e">
        <f>IF(VLOOKUP(A12,#REF!,20)="","",VLOOKUP(A12,#REF!,20))</f>
        <v>#REF!</v>
      </c>
      <c r="E16" s="36" t="e">
        <f>IF(VLOOKUP(A12,#REF!,27)="","",VLOOKUP(A12,#REF!,27))</f>
        <v>#REF!</v>
      </c>
      <c r="F16" s="38" t="e">
        <f>IF(VLOOKUP(A12,#REF!,34)="","",VLOOKUP(A12,#REF!,34))</f>
        <v>#REF!</v>
      </c>
      <c r="H16" s="25">
        <v>3</v>
      </c>
      <c r="I16" s="36" t="e">
        <f>IF(VLOOKUP(H12,#REF!,6)="","",VLOOKUP(H12,#REF!,6))</f>
        <v>#REF!</v>
      </c>
      <c r="J16" s="36" t="e">
        <f>IF(VLOOKUP(H12,#REF!,13)="","",VLOOKUP(H12,#REF!,13))</f>
        <v>#REF!</v>
      </c>
      <c r="K16" s="36" t="e">
        <f>IF(VLOOKUP(H12,#REF!,20)="","",VLOOKUP(H12,#REF!,20))</f>
        <v>#REF!</v>
      </c>
      <c r="L16" s="36" t="e">
        <f>IF(VLOOKUP(H12,#REF!,27)="","",VLOOKUP(H12,#REF!,27))</f>
        <v>#REF!</v>
      </c>
      <c r="M16" s="38" t="e">
        <f>IF(VLOOKUP(H12,#REF!,34)="","",VLOOKUP(H12,#REF!,34))</f>
        <v>#REF!</v>
      </c>
      <c r="O16" s="25">
        <v>3</v>
      </c>
      <c r="P16" s="36" t="e">
        <f>IF(VLOOKUP(O12,#REF!,6)="","",VLOOKUP(O12,#REF!,6))</f>
        <v>#REF!</v>
      </c>
      <c r="Q16" s="36" t="e">
        <f>IF(VLOOKUP(O12,#REF!,13)="","",VLOOKUP(O12,#REF!,13))</f>
        <v>#REF!</v>
      </c>
      <c r="R16" s="36" t="e">
        <f>IF(VLOOKUP(O12,#REF!,20)="","",VLOOKUP(O12,#REF!,20))</f>
        <v>#REF!</v>
      </c>
      <c r="S16" s="36" t="e">
        <f>IF(VLOOKUP(O12,#REF!,27)="","",VLOOKUP(O12,#REF!,27))</f>
        <v>#REF!</v>
      </c>
      <c r="T16" s="38" t="e">
        <f>IF(VLOOKUP(O12,#REF!,34)="","",VLOOKUP(O12,#REF!,34))</f>
        <v>#REF!</v>
      </c>
      <c r="V16" s="25">
        <v>3</v>
      </c>
      <c r="W16" s="36" t="e">
        <f>IF(VLOOKUP(V12,#REF!,6)="","",VLOOKUP(V12,#REF!,6))</f>
        <v>#REF!</v>
      </c>
      <c r="X16" s="36" t="e">
        <f>IF(VLOOKUP(V12,#REF!,13)="","",VLOOKUP(V12,#REF!,13))</f>
        <v>#REF!</v>
      </c>
      <c r="Y16" s="36" t="e">
        <f>IF(VLOOKUP(V12,#REF!,20)="","",VLOOKUP(V12,#REF!,20))</f>
        <v>#REF!</v>
      </c>
      <c r="Z16" s="36" t="e">
        <f>IF(VLOOKUP(V12,#REF!,27)="","",VLOOKUP(V12,#REF!,27))</f>
        <v>#REF!</v>
      </c>
      <c r="AA16" s="38" t="e">
        <f>IF(VLOOKUP(V12,#REF!,34)="","",VLOOKUP(V12,#REF!,34))</f>
        <v>#REF!</v>
      </c>
    </row>
    <row r="17" spans="1:27" ht="27.9" customHeight="1" x14ac:dyDescent="0.2">
      <c r="A17" s="25">
        <v>4</v>
      </c>
      <c r="B17" s="36" t="e">
        <f>IF(VLOOKUP(A12,#REF!,7)="","",VLOOKUP(A12,#REF!,7))</f>
        <v>#REF!</v>
      </c>
      <c r="C17" s="36" t="e">
        <f>IF(VLOOKUP(A12,#REF!,14)="","",VLOOKUP(A12,#REF!,14))</f>
        <v>#REF!</v>
      </c>
      <c r="D17" s="36" t="e">
        <f>IF(VLOOKUP(A12,#REF!,21)="","",VLOOKUP(A12,#REF!,21))</f>
        <v>#REF!</v>
      </c>
      <c r="E17" s="36" t="e">
        <f>IF(VLOOKUP(A12,#REF!,28)="","",VLOOKUP(A12,#REF!,28))</f>
        <v>#REF!</v>
      </c>
      <c r="F17" s="38" t="e">
        <f>IF(VLOOKUP(A12,#REF!,35)="","",VLOOKUP(A12,#REF!,35))</f>
        <v>#REF!</v>
      </c>
      <c r="H17" s="25">
        <v>4</v>
      </c>
      <c r="I17" s="36" t="e">
        <f>IF(VLOOKUP(H12,#REF!,7)="","",VLOOKUP(H12,#REF!,7))</f>
        <v>#REF!</v>
      </c>
      <c r="J17" s="36" t="e">
        <f>IF(VLOOKUP(H12,#REF!,14)="","",VLOOKUP(H12,#REF!,14))</f>
        <v>#REF!</v>
      </c>
      <c r="K17" s="36" t="e">
        <f>IF(VLOOKUP(H12,#REF!,21)="","",VLOOKUP(H12,#REF!,21))</f>
        <v>#REF!</v>
      </c>
      <c r="L17" s="36" t="e">
        <f>IF(VLOOKUP(H12,#REF!,28)="","",VLOOKUP(H12,#REF!,28))</f>
        <v>#REF!</v>
      </c>
      <c r="M17" s="38" t="e">
        <f>IF(VLOOKUP(H12,#REF!,35)="","",VLOOKUP(H12,#REF!,35))</f>
        <v>#REF!</v>
      </c>
      <c r="O17" s="25">
        <v>4</v>
      </c>
      <c r="P17" s="36" t="e">
        <f>IF(VLOOKUP(O12,#REF!,7)="","",VLOOKUP(O12,#REF!,7))</f>
        <v>#REF!</v>
      </c>
      <c r="Q17" s="36" t="e">
        <f>IF(VLOOKUP(O12,#REF!,14)="","",VLOOKUP(O12,#REF!,14))</f>
        <v>#REF!</v>
      </c>
      <c r="R17" s="36" t="e">
        <f>IF(VLOOKUP(O12,#REF!,21)="","",VLOOKUP(O12,#REF!,21))</f>
        <v>#REF!</v>
      </c>
      <c r="S17" s="36" t="e">
        <f>IF(VLOOKUP(O12,#REF!,28)="","",VLOOKUP(O12,#REF!,28))</f>
        <v>#REF!</v>
      </c>
      <c r="T17" s="38" t="e">
        <f>IF(VLOOKUP(O12,#REF!,35)="","",VLOOKUP(O12,#REF!,35))</f>
        <v>#REF!</v>
      </c>
      <c r="V17" s="25">
        <v>4</v>
      </c>
      <c r="W17" s="36" t="e">
        <f>IF(VLOOKUP(V12,#REF!,7)="","",VLOOKUP(V12,#REF!,7))</f>
        <v>#REF!</v>
      </c>
      <c r="X17" s="36" t="e">
        <f>IF(VLOOKUP(V12,#REF!,14)="","",VLOOKUP(V12,#REF!,14))</f>
        <v>#REF!</v>
      </c>
      <c r="Y17" s="36" t="e">
        <f>IF(VLOOKUP(V12,#REF!,21)="","",VLOOKUP(V12,#REF!,21))</f>
        <v>#REF!</v>
      </c>
      <c r="Z17" s="36" t="e">
        <f>IF(VLOOKUP(V12,#REF!,28)="","",VLOOKUP(V12,#REF!,28))</f>
        <v>#REF!</v>
      </c>
      <c r="AA17" s="38" t="e">
        <f>IF(VLOOKUP(V12,#REF!,35)="","",VLOOKUP(V12,#REF!,35))</f>
        <v>#REF!</v>
      </c>
    </row>
    <row r="18" spans="1:27" ht="27.9" customHeight="1" x14ac:dyDescent="0.2">
      <c r="A18" s="25">
        <v>5</v>
      </c>
      <c r="B18" s="36" t="e">
        <f>IF(VLOOKUP(A12,#REF!,8)="","",VLOOKUP(A12,#REF!,8))</f>
        <v>#REF!</v>
      </c>
      <c r="C18" s="36" t="e">
        <f>IF(VLOOKUP(A12,#REF!,15)="","",VLOOKUP(A12,#REF!,15))</f>
        <v>#REF!</v>
      </c>
      <c r="D18" s="36" t="e">
        <f>IF(VLOOKUP(A12,#REF!,22)="","",VLOOKUP(A12,#REF!,22))</f>
        <v>#REF!</v>
      </c>
      <c r="E18" s="36" t="e">
        <f>IF(VLOOKUP(A12,#REF!,29)="","",VLOOKUP(A12,#REF!,29))</f>
        <v>#REF!</v>
      </c>
      <c r="F18" s="38" t="e">
        <f>IF(VLOOKUP(A12,#REF!,36)="","",VLOOKUP(A12,#REF!,36))</f>
        <v>#REF!</v>
      </c>
      <c r="H18" s="25">
        <v>5</v>
      </c>
      <c r="I18" s="36" t="e">
        <f>IF(VLOOKUP(H12,#REF!,8)="","",VLOOKUP(H12,#REF!,8))</f>
        <v>#REF!</v>
      </c>
      <c r="J18" s="36" t="e">
        <f>IF(VLOOKUP(H12,#REF!,15)="","",VLOOKUP(H12,#REF!,15))</f>
        <v>#REF!</v>
      </c>
      <c r="K18" s="36" t="e">
        <f>IF(VLOOKUP(H12,#REF!,22)="","",VLOOKUP(H12,#REF!,22))</f>
        <v>#REF!</v>
      </c>
      <c r="L18" s="36" t="e">
        <f>IF(VLOOKUP(H12,#REF!,29)="","",VLOOKUP(H12,#REF!,29))</f>
        <v>#REF!</v>
      </c>
      <c r="M18" s="38" t="e">
        <f>IF(VLOOKUP(H12,#REF!,36)="","",VLOOKUP(H12,#REF!,36))</f>
        <v>#REF!</v>
      </c>
      <c r="O18" s="25">
        <v>5</v>
      </c>
      <c r="P18" s="36" t="e">
        <f>IF(VLOOKUP(O12,#REF!,8)="","",VLOOKUP(O12,#REF!,8))</f>
        <v>#REF!</v>
      </c>
      <c r="Q18" s="36" t="e">
        <f>IF(VLOOKUP(O12,#REF!,15)="","",VLOOKUP(O12,#REF!,15))</f>
        <v>#REF!</v>
      </c>
      <c r="R18" s="36" t="e">
        <f>IF(VLOOKUP(O12,#REF!,22)="","",VLOOKUP(O12,#REF!,22))</f>
        <v>#REF!</v>
      </c>
      <c r="S18" s="36" t="e">
        <f>IF(VLOOKUP(O12,#REF!,29)="","",VLOOKUP(O12,#REF!,29))</f>
        <v>#REF!</v>
      </c>
      <c r="T18" s="38" t="e">
        <f>IF(VLOOKUP(O12,#REF!,36)="","",VLOOKUP(O12,#REF!,36))</f>
        <v>#REF!</v>
      </c>
      <c r="V18" s="25">
        <v>5</v>
      </c>
      <c r="W18" s="36" t="e">
        <f>IF(VLOOKUP(V12,#REF!,8)="","",VLOOKUP(V12,#REF!,8))</f>
        <v>#REF!</v>
      </c>
      <c r="X18" s="36" t="e">
        <f>IF(VLOOKUP(V12,#REF!,15)="","",VLOOKUP(V12,#REF!,15))</f>
        <v>#REF!</v>
      </c>
      <c r="Y18" s="36" t="e">
        <f>IF(VLOOKUP(V12,#REF!,22)="","",VLOOKUP(V12,#REF!,22))</f>
        <v>#REF!</v>
      </c>
      <c r="Z18" s="36" t="e">
        <f>IF(VLOOKUP(V12,#REF!,29)="","",VLOOKUP(V12,#REF!,29))</f>
        <v>#REF!</v>
      </c>
      <c r="AA18" s="38" t="e">
        <f>IF(VLOOKUP(V12,#REF!,36)="","",VLOOKUP(V12,#REF!,36))</f>
        <v>#REF!</v>
      </c>
    </row>
    <row r="19" spans="1:27" ht="27.9" customHeight="1" thickBot="1" x14ac:dyDescent="0.25">
      <c r="A19" s="26">
        <v>6</v>
      </c>
      <c r="B19" s="35" t="e">
        <f>IF(VLOOKUP(A12,#REF!,9)="","",VLOOKUP(A12,#REF!,9))</f>
        <v>#REF!</v>
      </c>
      <c r="C19" s="35" t="e">
        <f>IF(VLOOKUP(A12,#REF!,16)="","",VLOOKUP(A12,#REF!,16))</f>
        <v>#REF!</v>
      </c>
      <c r="D19" s="35" t="e">
        <f>IF(VLOOKUP(A12,#REF!,23)="","",VLOOKUP(A12,#REF!,23))</f>
        <v>#REF!</v>
      </c>
      <c r="E19" s="35" t="e">
        <f>IF(VLOOKUP(A12,#REF!,30)="","",VLOOKUP(A12,#REF!,30))</f>
        <v>#REF!</v>
      </c>
      <c r="F19" s="39" t="e">
        <f>IF(VLOOKUP(A12,#REF!,37)="","",VLOOKUP(A12,#REF!,37))</f>
        <v>#REF!</v>
      </c>
      <c r="H19" s="26">
        <v>6</v>
      </c>
      <c r="I19" s="35" t="e">
        <f>IF(VLOOKUP(H12,#REF!,9)="","",VLOOKUP(H12,#REF!,9))</f>
        <v>#REF!</v>
      </c>
      <c r="J19" s="35" t="e">
        <f>IF(VLOOKUP(H12,#REF!,16)="","",VLOOKUP(H12,#REF!,16))</f>
        <v>#REF!</v>
      </c>
      <c r="K19" s="35" t="e">
        <f>IF(VLOOKUP(H12,#REF!,23)="","",VLOOKUP(H12,#REF!,23))</f>
        <v>#REF!</v>
      </c>
      <c r="L19" s="35" t="e">
        <f>IF(VLOOKUP(H12,#REF!,30)="","",VLOOKUP(H12,#REF!,30))</f>
        <v>#REF!</v>
      </c>
      <c r="M19" s="39" t="e">
        <f>IF(VLOOKUP(H12,#REF!,37)="","",VLOOKUP(H12,#REF!,37))</f>
        <v>#REF!</v>
      </c>
      <c r="O19" s="26">
        <v>6</v>
      </c>
      <c r="P19" s="35" t="e">
        <f>IF(VLOOKUP(O12,#REF!,9)="","",VLOOKUP(O12,#REF!,9))</f>
        <v>#REF!</v>
      </c>
      <c r="Q19" s="35" t="e">
        <f>IF(VLOOKUP(O12,#REF!,16)="","",VLOOKUP(O12,#REF!,16))</f>
        <v>#REF!</v>
      </c>
      <c r="R19" s="35" t="e">
        <f>IF(VLOOKUP(O12,#REF!,23)="","",VLOOKUP(O12,#REF!,23))</f>
        <v>#REF!</v>
      </c>
      <c r="S19" s="35" t="e">
        <f>IF(VLOOKUP(O12,#REF!,30)="","",VLOOKUP(O12,#REF!,30))</f>
        <v>#REF!</v>
      </c>
      <c r="T19" s="39" t="e">
        <f>IF(VLOOKUP(O12,#REF!,37)="","",VLOOKUP(O12,#REF!,37))</f>
        <v>#REF!</v>
      </c>
      <c r="V19" s="26">
        <v>6</v>
      </c>
      <c r="W19" s="35" t="e">
        <f>IF(VLOOKUP(V12,#REF!,9)="","",VLOOKUP(V12,#REF!,9))</f>
        <v>#REF!</v>
      </c>
      <c r="X19" s="35" t="e">
        <f>IF(VLOOKUP(V12,#REF!,16)="","",VLOOKUP(V12,#REF!,16))</f>
        <v>#REF!</v>
      </c>
      <c r="Y19" s="35" t="e">
        <f>IF(VLOOKUP(V12,#REF!,23)="","",VLOOKUP(V12,#REF!,23))</f>
        <v>#REF!</v>
      </c>
      <c r="Z19" s="35" t="e">
        <f>IF(VLOOKUP(V12,#REF!,30)="","",VLOOKUP(V12,#REF!,30))</f>
        <v>#REF!</v>
      </c>
      <c r="AA19" s="39" t="e">
        <f>IF(VLOOKUP(V12,#REF!,37)="","",VLOOKUP(V12,#REF!,37))</f>
        <v>#REF!</v>
      </c>
    </row>
    <row r="21" spans="1:27" ht="27" customHeight="1" x14ac:dyDescent="0.3">
      <c r="A21" s="40" t="e">
        <f>IF(#REF!="","",#REF!)</f>
        <v>#REF!</v>
      </c>
      <c r="D21" t="s">
        <v>23</v>
      </c>
      <c r="H21" s="40" t="e">
        <f>IF(#REF!="","",#REF!)</f>
        <v>#REF!</v>
      </c>
      <c r="K21" t="s">
        <v>23</v>
      </c>
      <c r="O21" s="40" t="e">
        <f>IF(#REF!="","",#REF!)</f>
        <v>#REF!</v>
      </c>
      <c r="R21" t="s">
        <v>23</v>
      </c>
      <c r="V21" s="40" t="e">
        <f>IF(#REF!="","",#REF!)</f>
        <v>#REF!</v>
      </c>
      <c r="Y21" t="s">
        <v>23</v>
      </c>
    </row>
    <row r="22" spans="1:27" ht="17" thickBot="1" x14ac:dyDescent="0.25">
      <c r="A22" s="30">
        <v>9</v>
      </c>
      <c r="H22" s="30">
        <v>10</v>
      </c>
      <c r="O22" s="30">
        <v>11</v>
      </c>
      <c r="V22" s="30">
        <v>12</v>
      </c>
    </row>
    <row r="23" spans="1:27" s="23" customFormat="1" ht="27.9" customHeight="1" x14ac:dyDescent="0.25">
      <c r="A23" s="24"/>
      <c r="B23" s="7" t="s">
        <v>11</v>
      </c>
      <c r="C23" s="7" t="s">
        <v>3</v>
      </c>
      <c r="D23" s="7" t="s">
        <v>5</v>
      </c>
      <c r="E23" s="7" t="s">
        <v>7</v>
      </c>
      <c r="F23" s="9" t="s">
        <v>9</v>
      </c>
      <c r="H23" s="24"/>
      <c r="I23" s="7" t="s">
        <v>11</v>
      </c>
      <c r="J23" s="7" t="s">
        <v>3</v>
      </c>
      <c r="K23" s="7" t="s">
        <v>5</v>
      </c>
      <c r="L23" s="7" t="s">
        <v>7</v>
      </c>
      <c r="M23" s="9" t="s">
        <v>9</v>
      </c>
      <c r="O23" s="24"/>
      <c r="P23" s="7" t="s">
        <v>11</v>
      </c>
      <c r="Q23" s="7" t="s">
        <v>3</v>
      </c>
      <c r="R23" s="7" t="s">
        <v>5</v>
      </c>
      <c r="S23" s="7" t="s">
        <v>7</v>
      </c>
      <c r="T23" s="9" t="s">
        <v>9</v>
      </c>
      <c r="V23" s="24"/>
      <c r="W23" s="7" t="s">
        <v>11</v>
      </c>
      <c r="X23" s="7" t="s">
        <v>3</v>
      </c>
      <c r="Y23" s="7" t="s">
        <v>5</v>
      </c>
      <c r="Z23" s="7" t="s">
        <v>7</v>
      </c>
      <c r="AA23" s="9" t="s">
        <v>9</v>
      </c>
    </row>
    <row r="24" spans="1:27" ht="27.9" customHeight="1" x14ac:dyDescent="0.2">
      <c r="A24" s="25">
        <v>1</v>
      </c>
      <c r="B24" s="36" t="e">
        <f>IF(VLOOKUP(A22,#REF!,4)="","",VLOOKUP(A22,#REF!,4))</f>
        <v>#REF!</v>
      </c>
      <c r="C24" s="36" t="e">
        <f>IF(VLOOKUP(A22,#REF!,11)="","",VLOOKUP(A22,#REF!,11))</f>
        <v>#REF!</v>
      </c>
      <c r="D24" s="36" t="e">
        <f>IF(VLOOKUP(A22,#REF!,18)="","",VLOOKUP(A22,#REF!,18))</f>
        <v>#REF!</v>
      </c>
      <c r="E24" s="36" t="e">
        <f>IF(VLOOKUP(A22,#REF!,25)="","",VLOOKUP(A22,#REF!,25))</f>
        <v>#REF!</v>
      </c>
      <c r="F24" s="38" t="e">
        <f>IF(VLOOKUP(A22,#REF!,32)="","",VLOOKUP(A22,#REF!,32))</f>
        <v>#REF!</v>
      </c>
      <c r="H24" s="25">
        <v>1</v>
      </c>
      <c r="I24" s="36" t="e">
        <f>IF(VLOOKUP(H22,#REF!,4)="","",VLOOKUP(H22,#REF!,4))</f>
        <v>#REF!</v>
      </c>
      <c r="J24" s="36" t="e">
        <f>IF(VLOOKUP(H22,#REF!,11)="","",VLOOKUP(H22,#REF!,11))</f>
        <v>#REF!</v>
      </c>
      <c r="K24" s="36" t="e">
        <f>IF(VLOOKUP(H22,#REF!,18)="","",VLOOKUP(H22,#REF!,18))</f>
        <v>#REF!</v>
      </c>
      <c r="L24" s="36" t="e">
        <f>IF(VLOOKUP(H22,#REF!,25)="","",VLOOKUP(H22,#REF!,25))</f>
        <v>#REF!</v>
      </c>
      <c r="M24" s="38" t="e">
        <f>IF(VLOOKUP(H22,#REF!,32)="","",VLOOKUP(H22,#REF!,32))</f>
        <v>#REF!</v>
      </c>
      <c r="O24" s="25">
        <v>1</v>
      </c>
      <c r="P24" s="36" t="e">
        <f>IF(VLOOKUP(O22,#REF!,4)="","",VLOOKUP(O22,#REF!,4))</f>
        <v>#REF!</v>
      </c>
      <c r="Q24" s="36" t="e">
        <f>IF(VLOOKUP(O22,#REF!,11)="","",VLOOKUP(O22,#REF!,11))</f>
        <v>#REF!</v>
      </c>
      <c r="R24" s="36" t="e">
        <f>IF(VLOOKUP(O22,#REF!,18)="","",VLOOKUP(O22,#REF!,18))</f>
        <v>#REF!</v>
      </c>
      <c r="S24" s="36" t="e">
        <f>IF(VLOOKUP(O22,#REF!,25)="","",VLOOKUP(O22,#REF!,25))</f>
        <v>#REF!</v>
      </c>
      <c r="T24" s="38" t="e">
        <f>IF(VLOOKUP(O22,#REF!,32)="","",VLOOKUP(O22,#REF!,32))</f>
        <v>#REF!</v>
      </c>
      <c r="V24" s="25">
        <v>1</v>
      </c>
      <c r="W24" s="36" t="e">
        <f>IF(VLOOKUP(V22,#REF!,4)="","",VLOOKUP(V22,#REF!,4))</f>
        <v>#REF!</v>
      </c>
      <c r="X24" s="36" t="e">
        <f>IF(VLOOKUP(V22,#REF!,11)="","",VLOOKUP(V22,#REF!,11))</f>
        <v>#REF!</v>
      </c>
      <c r="Y24" s="36" t="e">
        <f>IF(VLOOKUP(V22,#REF!,18)="","",VLOOKUP(V22,#REF!,18))</f>
        <v>#REF!</v>
      </c>
      <c r="Z24" s="36" t="e">
        <f>IF(VLOOKUP(V22,#REF!,25)="","",VLOOKUP(V22,#REF!,25))</f>
        <v>#REF!</v>
      </c>
      <c r="AA24" s="38" t="e">
        <f>IF(VLOOKUP(V22,#REF!,32)="","",VLOOKUP(V22,#REF!,32))</f>
        <v>#REF!</v>
      </c>
    </row>
    <row r="25" spans="1:27" ht="27.9" customHeight="1" x14ac:dyDescent="0.2">
      <c r="A25" s="25">
        <v>2</v>
      </c>
      <c r="B25" s="36" t="e">
        <f>IF(VLOOKUP(A22,#REF!,5)="","",VLOOKUP(A22,#REF!,5))</f>
        <v>#REF!</v>
      </c>
      <c r="C25" s="36" t="e">
        <f>IF(VLOOKUP(A22,#REF!,12)="","",VLOOKUP(A22,#REF!,12))</f>
        <v>#REF!</v>
      </c>
      <c r="D25" s="36" t="e">
        <f>IF(VLOOKUP(A22,#REF!,19)="","",VLOOKUP(A22,#REF!,19))</f>
        <v>#REF!</v>
      </c>
      <c r="E25" s="36" t="e">
        <f>IF(VLOOKUP(A22,#REF!,26)="","",VLOOKUP(A22,#REF!,26))</f>
        <v>#REF!</v>
      </c>
      <c r="F25" s="38" t="e">
        <f>IF(VLOOKUP(A22,#REF!,33)="","",VLOOKUP(A22,#REF!,33))</f>
        <v>#REF!</v>
      </c>
      <c r="H25" s="25">
        <v>2</v>
      </c>
      <c r="I25" s="36" t="e">
        <f>IF(VLOOKUP(H22,#REF!,5)="","",VLOOKUP(H22,#REF!,5))</f>
        <v>#REF!</v>
      </c>
      <c r="J25" s="36" t="e">
        <f>IF(VLOOKUP(H22,#REF!,12)="","",VLOOKUP(H22,#REF!,12))</f>
        <v>#REF!</v>
      </c>
      <c r="K25" s="36" t="e">
        <f>IF(VLOOKUP(H22,#REF!,19)="","",VLOOKUP(H22,#REF!,19))</f>
        <v>#REF!</v>
      </c>
      <c r="L25" s="36" t="e">
        <f>IF(VLOOKUP(H22,#REF!,26)="","",VLOOKUP(H22,#REF!,26))</f>
        <v>#REF!</v>
      </c>
      <c r="M25" s="38" t="e">
        <f>IF(VLOOKUP(H22,#REF!,33)="","",VLOOKUP(H22,#REF!,33))</f>
        <v>#REF!</v>
      </c>
      <c r="O25" s="25">
        <v>2</v>
      </c>
      <c r="P25" s="36" t="e">
        <f>IF(VLOOKUP(O22,#REF!,5)="","",VLOOKUP(O22,#REF!,5))</f>
        <v>#REF!</v>
      </c>
      <c r="Q25" s="36" t="e">
        <f>IF(VLOOKUP(O22,#REF!,12)="","",VLOOKUP(O22,#REF!,12))</f>
        <v>#REF!</v>
      </c>
      <c r="R25" s="36" t="e">
        <f>IF(VLOOKUP(O22,#REF!,19)="","",VLOOKUP(O22,#REF!,19))</f>
        <v>#REF!</v>
      </c>
      <c r="S25" s="36" t="e">
        <f>IF(VLOOKUP(O22,#REF!,26)="","",VLOOKUP(O22,#REF!,26))</f>
        <v>#REF!</v>
      </c>
      <c r="T25" s="38" t="e">
        <f>IF(VLOOKUP(O22,#REF!,33)="","",VLOOKUP(O22,#REF!,33))</f>
        <v>#REF!</v>
      </c>
      <c r="V25" s="25">
        <v>2</v>
      </c>
      <c r="W25" s="36" t="e">
        <f>IF(VLOOKUP(V22,#REF!,5)="","",VLOOKUP(V22,#REF!,5))</f>
        <v>#REF!</v>
      </c>
      <c r="X25" s="36" t="e">
        <f>IF(VLOOKUP(V22,#REF!,12)="","",VLOOKUP(V22,#REF!,12))</f>
        <v>#REF!</v>
      </c>
      <c r="Y25" s="36" t="e">
        <f>IF(VLOOKUP(V22,#REF!,19)="","",VLOOKUP(V22,#REF!,19))</f>
        <v>#REF!</v>
      </c>
      <c r="Z25" s="36" t="e">
        <f>IF(VLOOKUP(V22,#REF!,26)="","",VLOOKUP(V22,#REF!,26))</f>
        <v>#REF!</v>
      </c>
      <c r="AA25" s="38" t="e">
        <f>IF(VLOOKUP(V22,#REF!,33)="","",VLOOKUP(V22,#REF!,33))</f>
        <v>#REF!</v>
      </c>
    </row>
    <row r="26" spans="1:27" ht="27.9" customHeight="1" x14ac:dyDescent="0.2">
      <c r="A26" s="25">
        <v>3</v>
      </c>
      <c r="B26" s="36" t="e">
        <f>IF(VLOOKUP(A22,#REF!,6)="","",VLOOKUP(A22,#REF!,6))</f>
        <v>#REF!</v>
      </c>
      <c r="C26" s="36" t="e">
        <f>IF(VLOOKUP(A22,#REF!,13)="","",VLOOKUP(A22,#REF!,13))</f>
        <v>#REF!</v>
      </c>
      <c r="D26" s="36" t="e">
        <f>IF(VLOOKUP(A22,#REF!,20)="","",VLOOKUP(A22,#REF!,20))</f>
        <v>#REF!</v>
      </c>
      <c r="E26" s="36" t="e">
        <f>IF(VLOOKUP(A22,#REF!,27)="","",VLOOKUP(A22,#REF!,27))</f>
        <v>#REF!</v>
      </c>
      <c r="F26" s="38" t="e">
        <f>IF(VLOOKUP(A22,#REF!,34)="","",VLOOKUP(A22,#REF!,34))</f>
        <v>#REF!</v>
      </c>
      <c r="H26" s="25">
        <v>3</v>
      </c>
      <c r="I26" s="36" t="e">
        <f>IF(VLOOKUP(H22,#REF!,6)="","",VLOOKUP(H22,#REF!,6))</f>
        <v>#REF!</v>
      </c>
      <c r="J26" s="36" t="e">
        <f>IF(VLOOKUP(H22,#REF!,13)="","",VLOOKUP(H22,#REF!,13))</f>
        <v>#REF!</v>
      </c>
      <c r="K26" s="36" t="e">
        <f>IF(VLOOKUP(H22,#REF!,20)="","",VLOOKUP(H22,#REF!,20))</f>
        <v>#REF!</v>
      </c>
      <c r="L26" s="36" t="e">
        <f>IF(VLOOKUP(H22,#REF!,27)="","",VLOOKUP(H22,#REF!,27))</f>
        <v>#REF!</v>
      </c>
      <c r="M26" s="38" t="e">
        <f>IF(VLOOKUP(H22,#REF!,34)="","",VLOOKUP(H22,#REF!,34))</f>
        <v>#REF!</v>
      </c>
      <c r="O26" s="25">
        <v>3</v>
      </c>
      <c r="P26" s="36" t="e">
        <f>IF(VLOOKUP(O22,#REF!,6)="","",VLOOKUP(O22,#REF!,6))</f>
        <v>#REF!</v>
      </c>
      <c r="Q26" s="36" t="e">
        <f>IF(VLOOKUP(O22,#REF!,13)="","",VLOOKUP(O22,#REF!,13))</f>
        <v>#REF!</v>
      </c>
      <c r="R26" s="36" t="e">
        <f>IF(VLOOKUP(O22,#REF!,20)="","",VLOOKUP(O22,#REF!,20))</f>
        <v>#REF!</v>
      </c>
      <c r="S26" s="36" t="e">
        <f>IF(VLOOKUP(O22,#REF!,27)="","",VLOOKUP(O22,#REF!,27))</f>
        <v>#REF!</v>
      </c>
      <c r="T26" s="38" t="e">
        <f>IF(VLOOKUP(O22,#REF!,34)="","",VLOOKUP(O22,#REF!,34))</f>
        <v>#REF!</v>
      </c>
      <c r="V26" s="25">
        <v>3</v>
      </c>
      <c r="W26" s="36" t="e">
        <f>IF(VLOOKUP(V22,#REF!,6)="","",VLOOKUP(V22,#REF!,6))</f>
        <v>#REF!</v>
      </c>
      <c r="X26" s="36" t="e">
        <f>IF(VLOOKUP(V22,#REF!,13)="","",VLOOKUP(V22,#REF!,13))</f>
        <v>#REF!</v>
      </c>
      <c r="Y26" s="36" t="e">
        <f>IF(VLOOKUP(V22,#REF!,20)="","",VLOOKUP(V22,#REF!,20))</f>
        <v>#REF!</v>
      </c>
      <c r="Z26" s="36" t="e">
        <f>IF(VLOOKUP(V22,#REF!,27)="","",VLOOKUP(V22,#REF!,27))</f>
        <v>#REF!</v>
      </c>
      <c r="AA26" s="38" t="e">
        <f>IF(VLOOKUP(V22,#REF!,34)="","",VLOOKUP(V22,#REF!,34))</f>
        <v>#REF!</v>
      </c>
    </row>
    <row r="27" spans="1:27" ht="27.9" customHeight="1" x14ac:dyDescent="0.2">
      <c r="A27" s="25">
        <v>4</v>
      </c>
      <c r="B27" s="36" t="e">
        <f>IF(VLOOKUP(A22,#REF!,7)="","",VLOOKUP(A22,#REF!,7))</f>
        <v>#REF!</v>
      </c>
      <c r="C27" s="36" t="e">
        <f>IF(VLOOKUP(A22,#REF!,14)="","",VLOOKUP(A22,#REF!,14))</f>
        <v>#REF!</v>
      </c>
      <c r="D27" s="36" t="e">
        <f>IF(VLOOKUP(A22,#REF!,21)="","",VLOOKUP(A22,#REF!,21))</f>
        <v>#REF!</v>
      </c>
      <c r="E27" s="36" t="e">
        <f>IF(VLOOKUP(A22,#REF!,28)="","",VLOOKUP(A22,#REF!,28))</f>
        <v>#REF!</v>
      </c>
      <c r="F27" s="38" t="e">
        <f>IF(VLOOKUP(A22,#REF!,35)="","",VLOOKUP(A22,#REF!,35))</f>
        <v>#REF!</v>
      </c>
      <c r="H27" s="25">
        <v>4</v>
      </c>
      <c r="I27" s="36" t="e">
        <f>IF(VLOOKUP(H22,#REF!,7)="","",VLOOKUP(H22,#REF!,7))</f>
        <v>#REF!</v>
      </c>
      <c r="J27" s="36" t="e">
        <f>IF(VLOOKUP(H22,#REF!,14)="","",VLOOKUP(H22,#REF!,14))</f>
        <v>#REF!</v>
      </c>
      <c r="K27" s="36" t="e">
        <f>IF(VLOOKUP(H22,#REF!,21)="","",VLOOKUP(H22,#REF!,21))</f>
        <v>#REF!</v>
      </c>
      <c r="L27" s="36" t="e">
        <f>IF(VLOOKUP(H22,#REF!,28)="","",VLOOKUP(H22,#REF!,28))</f>
        <v>#REF!</v>
      </c>
      <c r="M27" s="38" t="e">
        <f>IF(VLOOKUP(H22,#REF!,35)="","",VLOOKUP(H22,#REF!,35))</f>
        <v>#REF!</v>
      </c>
      <c r="O27" s="25">
        <v>4</v>
      </c>
      <c r="P27" s="36" t="e">
        <f>IF(VLOOKUP(O22,#REF!,7)="","",VLOOKUP(O22,#REF!,7))</f>
        <v>#REF!</v>
      </c>
      <c r="Q27" s="36" t="e">
        <f>IF(VLOOKUP(O22,#REF!,14)="","",VLOOKUP(O22,#REF!,14))</f>
        <v>#REF!</v>
      </c>
      <c r="R27" s="36" t="e">
        <f>IF(VLOOKUP(O22,#REF!,21)="","",VLOOKUP(O22,#REF!,21))</f>
        <v>#REF!</v>
      </c>
      <c r="S27" s="36" t="e">
        <f>IF(VLOOKUP(O22,#REF!,28)="","",VLOOKUP(O22,#REF!,28))</f>
        <v>#REF!</v>
      </c>
      <c r="T27" s="38" t="e">
        <f>IF(VLOOKUP(O22,#REF!,35)="","",VLOOKUP(O22,#REF!,35))</f>
        <v>#REF!</v>
      </c>
      <c r="V27" s="25">
        <v>4</v>
      </c>
      <c r="W27" s="36" t="e">
        <f>IF(VLOOKUP(V22,#REF!,7)="","",VLOOKUP(V22,#REF!,7))</f>
        <v>#REF!</v>
      </c>
      <c r="X27" s="36" t="e">
        <f>IF(VLOOKUP(V22,#REF!,14)="","",VLOOKUP(V22,#REF!,14))</f>
        <v>#REF!</v>
      </c>
      <c r="Y27" s="36" t="e">
        <f>IF(VLOOKUP(V22,#REF!,21)="","",VLOOKUP(V22,#REF!,21))</f>
        <v>#REF!</v>
      </c>
      <c r="Z27" s="36" t="e">
        <f>IF(VLOOKUP(V22,#REF!,28)="","",VLOOKUP(V22,#REF!,28))</f>
        <v>#REF!</v>
      </c>
      <c r="AA27" s="38" t="e">
        <f>IF(VLOOKUP(V22,#REF!,35)="","",VLOOKUP(V22,#REF!,35))</f>
        <v>#REF!</v>
      </c>
    </row>
    <row r="28" spans="1:27" ht="27.9" customHeight="1" x14ac:dyDescent="0.2">
      <c r="A28" s="25">
        <v>5</v>
      </c>
      <c r="B28" s="36" t="e">
        <f>IF(VLOOKUP(A22,#REF!,8)="","",VLOOKUP(A22,#REF!,8))</f>
        <v>#REF!</v>
      </c>
      <c r="C28" s="36" t="e">
        <f>IF(VLOOKUP(A22,#REF!,15)="","",VLOOKUP(A22,#REF!,15))</f>
        <v>#REF!</v>
      </c>
      <c r="D28" s="36" t="e">
        <f>IF(VLOOKUP(A22,#REF!,22)="","",VLOOKUP(A22,#REF!,22))</f>
        <v>#REF!</v>
      </c>
      <c r="E28" s="36" t="e">
        <f>IF(VLOOKUP(A22,#REF!,29)="","",VLOOKUP(A22,#REF!,29))</f>
        <v>#REF!</v>
      </c>
      <c r="F28" s="38" t="e">
        <f>IF(VLOOKUP(A22,#REF!,36)="","",VLOOKUP(A22,#REF!,36))</f>
        <v>#REF!</v>
      </c>
      <c r="H28" s="25">
        <v>5</v>
      </c>
      <c r="I28" s="36" t="e">
        <f>IF(VLOOKUP(H22,#REF!,8)="","",VLOOKUP(H22,#REF!,8))</f>
        <v>#REF!</v>
      </c>
      <c r="J28" s="36" t="e">
        <f>IF(VLOOKUP(H22,#REF!,15)="","",VLOOKUP(H22,#REF!,15))</f>
        <v>#REF!</v>
      </c>
      <c r="K28" s="36" t="e">
        <f>IF(VLOOKUP(H22,#REF!,22)="","",VLOOKUP(H22,#REF!,22))</f>
        <v>#REF!</v>
      </c>
      <c r="L28" s="36" t="e">
        <f>IF(VLOOKUP(H22,#REF!,29)="","",VLOOKUP(H22,#REF!,29))</f>
        <v>#REF!</v>
      </c>
      <c r="M28" s="38" t="e">
        <f>IF(VLOOKUP(H22,#REF!,36)="","",VLOOKUP(H22,#REF!,36))</f>
        <v>#REF!</v>
      </c>
      <c r="O28" s="25">
        <v>5</v>
      </c>
      <c r="P28" s="36" t="e">
        <f>IF(VLOOKUP(O22,#REF!,8)="","",VLOOKUP(O22,#REF!,8))</f>
        <v>#REF!</v>
      </c>
      <c r="Q28" s="36" t="e">
        <f>IF(VLOOKUP(O22,#REF!,15)="","",VLOOKUP(O22,#REF!,15))</f>
        <v>#REF!</v>
      </c>
      <c r="R28" s="36" t="e">
        <f>IF(VLOOKUP(O22,#REF!,22)="","",VLOOKUP(O22,#REF!,22))</f>
        <v>#REF!</v>
      </c>
      <c r="S28" s="36" t="e">
        <f>IF(VLOOKUP(O22,#REF!,29)="","",VLOOKUP(O22,#REF!,29))</f>
        <v>#REF!</v>
      </c>
      <c r="T28" s="38" t="e">
        <f>IF(VLOOKUP(O22,#REF!,36)="","",VLOOKUP(O22,#REF!,36))</f>
        <v>#REF!</v>
      </c>
      <c r="V28" s="25">
        <v>5</v>
      </c>
      <c r="W28" s="36" t="e">
        <f>IF(VLOOKUP(V22,#REF!,8)="","",VLOOKUP(V22,#REF!,8))</f>
        <v>#REF!</v>
      </c>
      <c r="X28" s="36" t="e">
        <f>IF(VLOOKUP(V22,#REF!,15)="","",VLOOKUP(V22,#REF!,15))</f>
        <v>#REF!</v>
      </c>
      <c r="Y28" s="36" t="e">
        <f>IF(VLOOKUP(V22,#REF!,22)="","",VLOOKUP(V22,#REF!,22))</f>
        <v>#REF!</v>
      </c>
      <c r="Z28" s="36" t="e">
        <f>IF(VLOOKUP(V22,#REF!,29)="","",VLOOKUP(V22,#REF!,29))</f>
        <v>#REF!</v>
      </c>
      <c r="AA28" s="38" t="e">
        <f>IF(VLOOKUP(V22,#REF!,36)="","",VLOOKUP(V22,#REF!,36))</f>
        <v>#REF!</v>
      </c>
    </row>
    <row r="29" spans="1:27" ht="27.9" customHeight="1" thickBot="1" x14ac:dyDescent="0.25">
      <c r="A29" s="26">
        <v>6</v>
      </c>
      <c r="B29" s="35" t="e">
        <f>IF(VLOOKUP(A22,#REF!,9)="","",VLOOKUP(A22,#REF!,9))</f>
        <v>#REF!</v>
      </c>
      <c r="C29" s="35" t="e">
        <f>IF(VLOOKUP(A22,#REF!,16)="","",VLOOKUP(A22,#REF!,16))</f>
        <v>#REF!</v>
      </c>
      <c r="D29" s="35" t="e">
        <f>IF(VLOOKUP(A22,#REF!,23)="","",VLOOKUP(A22,#REF!,23))</f>
        <v>#REF!</v>
      </c>
      <c r="E29" s="35" t="e">
        <f>IF(VLOOKUP(A22,#REF!,30)="","",VLOOKUP(A22,#REF!,30))</f>
        <v>#REF!</v>
      </c>
      <c r="F29" s="39" t="e">
        <f>IF(VLOOKUP(A22,#REF!,37)="","",VLOOKUP(A22,#REF!,37))</f>
        <v>#REF!</v>
      </c>
      <c r="H29" s="26">
        <v>6</v>
      </c>
      <c r="I29" s="35" t="e">
        <f>IF(VLOOKUP(H22,#REF!,9)="","",VLOOKUP(H22,#REF!,9))</f>
        <v>#REF!</v>
      </c>
      <c r="J29" s="35" t="e">
        <f>IF(VLOOKUP(H22,#REF!,16)="","",VLOOKUP(H22,#REF!,16))</f>
        <v>#REF!</v>
      </c>
      <c r="K29" s="35" t="e">
        <f>IF(VLOOKUP(H22,#REF!,23)="","",VLOOKUP(H22,#REF!,23))</f>
        <v>#REF!</v>
      </c>
      <c r="L29" s="35" t="e">
        <f>IF(VLOOKUP(H22,#REF!,30)="","",VLOOKUP(H22,#REF!,30))</f>
        <v>#REF!</v>
      </c>
      <c r="M29" s="39" t="e">
        <f>IF(VLOOKUP(H22,#REF!,37)="","",VLOOKUP(H22,#REF!,37))</f>
        <v>#REF!</v>
      </c>
      <c r="O29" s="26">
        <v>6</v>
      </c>
      <c r="P29" s="35" t="e">
        <f>IF(VLOOKUP(O22,#REF!,9)="","",VLOOKUP(O22,#REF!,9))</f>
        <v>#REF!</v>
      </c>
      <c r="Q29" s="35" t="e">
        <f>IF(VLOOKUP(O22,#REF!,16)="","",VLOOKUP(O22,#REF!,16))</f>
        <v>#REF!</v>
      </c>
      <c r="R29" s="35" t="e">
        <f>IF(VLOOKUP(O22,#REF!,23)="","",VLOOKUP(O22,#REF!,23))</f>
        <v>#REF!</v>
      </c>
      <c r="S29" s="35" t="e">
        <f>IF(VLOOKUP(O22,#REF!,30)="","",VLOOKUP(O22,#REF!,30))</f>
        <v>#REF!</v>
      </c>
      <c r="T29" s="39" t="e">
        <f>IF(VLOOKUP(O22,#REF!,37)="","",VLOOKUP(O22,#REF!,37))</f>
        <v>#REF!</v>
      </c>
      <c r="V29" s="26">
        <v>6</v>
      </c>
      <c r="W29" s="35" t="e">
        <f>IF(VLOOKUP(V22,#REF!,9)="","",VLOOKUP(V22,#REF!,9))</f>
        <v>#REF!</v>
      </c>
      <c r="X29" s="35" t="e">
        <f>IF(VLOOKUP(V22,#REF!,16)="","",VLOOKUP(V22,#REF!,16))</f>
        <v>#REF!</v>
      </c>
      <c r="Y29" s="35" t="e">
        <f>IF(VLOOKUP(V22,#REF!,23)="","",VLOOKUP(V22,#REF!,23))</f>
        <v>#REF!</v>
      </c>
      <c r="Z29" s="35" t="e">
        <f>IF(VLOOKUP(V22,#REF!,30)="","",VLOOKUP(V22,#REF!,30))</f>
        <v>#REF!</v>
      </c>
      <c r="AA29" s="39" t="e">
        <f>IF(VLOOKUP(V22,#REF!,37)="","",VLOOKUP(V22,#REF!,37))</f>
        <v>#REF!</v>
      </c>
    </row>
    <row r="30" spans="1:27" ht="23.15" customHeight="1" x14ac:dyDescent="0.2">
      <c r="A30" s="27"/>
      <c r="B30" s="21"/>
      <c r="C30" s="21"/>
      <c r="D30" s="21"/>
      <c r="E30" s="21"/>
      <c r="F30" s="21"/>
      <c r="H30" s="27"/>
      <c r="I30" s="21"/>
      <c r="J30" s="21"/>
      <c r="K30" s="21"/>
      <c r="L30" s="21"/>
      <c r="M30" s="21"/>
      <c r="O30" s="27"/>
      <c r="P30" s="21"/>
      <c r="Q30" s="21"/>
      <c r="R30" s="21"/>
      <c r="S30" s="21"/>
      <c r="T30" s="21"/>
      <c r="V30" s="27"/>
      <c r="W30" s="21"/>
      <c r="X30" s="21"/>
      <c r="Y30" s="21"/>
      <c r="Z30" s="21"/>
      <c r="AA30" s="21"/>
    </row>
    <row r="31" spans="1:27" ht="27" customHeight="1" x14ac:dyDescent="0.3">
      <c r="A31" s="40" t="e">
        <f>IF(#REF!="","",#REF!)</f>
        <v>#REF!</v>
      </c>
      <c r="D31" t="s">
        <v>23</v>
      </c>
      <c r="H31" s="40" t="e">
        <f>IF(#REF!="","",#REF!)</f>
        <v>#REF!</v>
      </c>
      <c r="K31" t="s">
        <v>23</v>
      </c>
      <c r="O31" s="40" t="e">
        <f>IF(#REF!="","",#REF!)</f>
        <v>#REF!</v>
      </c>
      <c r="R31" t="s">
        <v>23</v>
      </c>
      <c r="V31" s="40" t="e">
        <f>IF(#REF!="","",#REF!)</f>
        <v>#REF!</v>
      </c>
      <c r="Y31" t="s">
        <v>23</v>
      </c>
    </row>
    <row r="32" spans="1:27" ht="17" thickBot="1" x14ac:dyDescent="0.25">
      <c r="A32" s="30">
        <v>13</v>
      </c>
      <c r="H32" s="30">
        <v>14</v>
      </c>
      <c r="O32" s="30">
        <v>15</v>
      </c>
      <c r="V32" s="30">
        <v>16</v>
      </c>
    </row>
    <row r="33" spans="1:27" s="23" customFormat="1" ht="27.9" customHeight="1" x14ac:dyDescent="0.25">
      <c r="A33" s="24"/>
      <c r="B33" s="7" t="s">
        <v>11</v>
      </c>
      <c r="C33" s="7" t="s">
        <v>3</v>
      </c>
      <c r="D33" s="7" t="s">
        <v>5</v>
      </c>
      <c r="E33" s="7" t="s">
        <v>7</v>
      </c>
      <c r="F33" s="9" t="s">
        <v>9</v>
      </c>
      <c r="H33" s="24"/>
      <c r="I33" s="7" t="s">
        <v>11</v>
      </c>
      <c r="J33" s="7" t="s">
        <v>3</v>
      </c>
      <c r="K33" s="7" t="s">
        <v>5</v>
      </c>
      <c r="L33" s="7" t="s">
        <v>7</v>
      </c>
      <c r="M33" s="9" t="s">
        <v>9</v>
      </c>
      <c r="O33" s="24"/>
      <c r="P33" s="7" t="s">
        <v>11</v>
      </c>
      <c r="Q33" s="7" t="s">
        <v>3</v>
      </c>
      <c r="R33" s="7" t="s">
        <v>5</v>
      </c>
      <c r="S33" s="7" t="s">
        <v>7</v>
      </c>
      <c r="T33" s="9" t="s">
        <v>9</v>
      </c>
      <c r="V33" s="24"/>
      <c r="W33" s="7" t="s">
        <v>11</v>
      </c>
      <c r="X33" s="7" t="s">
        <v>3</v>
      </c>
      <c r="Y33" s="7" t="s">
        <v>5</v>
      </c>
      <c r="Z33" s="7" t="s">
        <v>7</v>
      </c>
      <c r="AA33" s="9" t="s">
        <v>9</v>
      </c>
    </row>
    <row r="34" spans="1:27" ht="27.9" customHeight="1" x14ac:dyDescent="0.2">
      <c r="A34" s="25">
        <v>1</v>
      </c>
      <c r="B34" s="36" t="e">
        <f>IF(VLOOKUP(A32,#REF!,4)="","",VLOOKUP(A32,#REF!,4))</f>
        <v>#REF!</v>
      </c>
      <c r="C34" s="36" t="e">
        <f>IF(VLOOKUP(A32,#REF!,11)="","",VLOOKUP(A32,#REF!,11))</f>
        <v>#REF!</v>
      </c>
      <c r="D34" s="36" t="e">
        <f>IF(VLOOKUP(A32,#REF!,18)="","",VLOOKUP(A32,#REF!,18))</f>
        <v>#REF!</v>
      </c>
      <c r="E34" s="36" t="e">
        <f>IF(VLOOKUP(A32,#REF!,25)="","",VLOOKUP(A32,#REF!,25))</f>
        <v>#REF!</v>
      </c>
      <c r="F34" s="38" t="e">
        <f>IF(VLOOKUP(A32,#REF!,32)="","",VLOOKUP(A32,#REF!,32))</f>
        <v>#REF!</v>
      </c>
      <c r="H34" s="25">
        <v>1</v>
      </c>
      <c r="I34" s="36" t="e">
        <f>IF(VLOOKUP(H32,#REF!,4)="","",VLOOKUP(H32,#REF!,4))</f>
        <v>#REF!</v>
      </c>
      <c r="J34" s="36" t="e">
        <f>IF(VLOOKUP(H32,#REF!,11)="","",VLOOKUP(H32,#REF!,11))</f>
        <v>#REF!</v>
      </c>
      <c r="K34" s="36" t="e">
        <f>IF(VLOOKUP(H32,#REF!,18)="","",VLOOKUP(H32,#REF!,18))</f>
        <v>#REF!</v>
      </c>
      <c r="L34" s="36" t="e">
        <f>IF(VLOOKUP(H32,#REF!,25)="","",VLOOKUP(H32,#REF!,25))</f>
        <v>#REF!</v>
      </c>
      <c r="M34" s="38" t="e">
        <f>IF(VLOOKUP(H32,#REF!,32)="","",VLOOKUP(H32,#REF!,32))</f>
        <v>#REF!</v>
      </c>
      <c r="O34" s="25">
        <v>1</v>
      </c>
      <c r="P34" s="36" t="e">
        <f>IF(VLOOKUP(O32,#REF!,4)="","",VLOOKUP(O32,#REF!,4))</f>
        <v>#REF!</v>
      </c>
      <c r="Q34" s="36" t="e">
        <f>IF(VLOOKUP(O32,#REF!,11)="","",VLOOKUP(O32,#REF!,11))</f>
        <v>#REF!</v>
      </c>
      <c r="R34" s="36" t="e">
        <f>IF(VLOOKUP(O32,#REF!,18)="","",VLOOKUP(O32,#REF!,18))</f>
        <v>#REF!</v>
      </c>
      <c r="S34" s="36" t="e">
        <f>IF(VLOOKUP(O32,#REF!,25)="","",VLOOKUP(O32,#REF!,25))</f>
        <v>#REF!</v>
      </c>
      <c r="T34" s="38" t="e">
        <f>IF(VLOOKUP(O32,#REF!,32)="","",VLOOKUP(O32,#REF!,32))</f>
        <v>#REF!</v>
      </c>
      <c r="V34" s="25">
        <v>1</v>
      </c>
      <c r="W34" s="36" t="e">
        <f>IF(VLOOKUP(V32,#REF!,4)="","",VLOOKUP(V32,#REF!,4))</f>
        <v>#REF!</v>
      </c>
      <c r="X34" s="36" t="e">
        <f>IF(VLOOKUP(V32,#REF!,11)="","",VLOOKUP(V32,#REF!,11))</f>
        <v>#REF!</v>
      </c>
      <c r="Y34" s="36" t="e">
        <f>IF(VLOOKUP(V32,#REF!,18)="","",VLOOKUP(V32,#REF!,18))</f>
        <v>#REF!</v>
      </c>
      <c r="Z34" s="36" t="e">
        <f>IF(VLOOKUP(V32,#REF!,25)="","",VLOOKUP(V32,#REF!,25))</f>
        <v>#REF!</v>
      </c>
      <c r="AA34" s="38" t="e">
        <f>IF(VLOOKUP(V32,#REF!,32)="","",VLOOKUP(V32,#REF!,32))</f>
        <v>#REF!</v>
      </c>
    </row>
    <row r="35" spans="1:27" ht="27.9" customHeight="1" x14ac:dyDescent="0.2">
      <c r="A35" s="25">
        <v>2</v>
      </c>
      <c r="B35" s="36" t="e">
        <f>IF(VLOOKUP(A32,#REF!,5)="","",VLOOKUP(A32,#REF!,5))</f>
        <v>#REF!</v>
      </c>
      <c r="C35" s="36" t="e">
        <f>IF(VLOOKUP(A32,#REF!,12)="","",VLOOKUP(A32,#REF!,12))</f>
        <v>#REF!</v>
      </c>
      <c r="D35" s="36" t="e">
        <f>IF(VLOOKUP(A32,#REF!,19)="","",VLOOKUP(A32,#REF!,19))</f>
        <v>#REF!</v>
      </c>
      <c r="E35" s="36" t="e">
        <f>IF(VLOOKUP(A32,#REF!,26)="","",VLOOKUP(A32,#REF!,26))</f>
        <v>#REF!</v>
      </c>
      <c r="F35" s="38" t="e">
        <f>IF(VLOOKUP(A32,#REF!,33)="","",VLOOKUP(A32,#REF!,33))</f>
        <v>#REF!</v>
      </c>
      <c r="H35" s="25">
        <v>2</v>
      </c>
      <c r="I35" s="36" t="e">
        <f>IF(VLOOKUP(H32,#REF!,5)="","",VLOOKUP(H32,#REF!,5))</f>
        <v>#REF!</v>
      </c>
      <c r="J35" s="36" t="e">
        <f>IF(VLOOKUP(H32,#REF!,12)="","",VLOOKUP(H32,#REF!,12))</f>
        <v>#REF!</v>
      </c>
      <c r="K35" s="36" t="e">
        <f>IF(VLOOKUP(H32,#REF!,19)="","",VLOOKUP(H32,#REF!,19))</f>
        <v>#REF!</v>
      </c>
      <c r="L35" s="36" t="e">
        <f>IF(VLOOKUP(H32,#REF!,26)="","",VLOOKUP(H32,#REF!,26))</f>
        <v>#REF!</v>
      </c>
      <c r="M35" s="38" t="e">
        <f>IF(VLOOKUP(H32,#REF!,33)="","",VLOOKUP(H32,#REF!,33))</f>
        <v>#REF!</v>
      </c>
      <c r="O35" s="25">
        <v>2</v>
      </c>
      <c r="P35" s="36" t="e">
        <f>IF(VLOOKUP(O32,#REF!,5)="","",VLOOKUP(O32,#REF!,5))</f>
        <v>#REF!</v>
      </c>
      <c r="Q35" s="36" t="e">
        <f>IF(VLOOKUP(O32,#REF!,12)="","",VLOOKUP(O32,#REF!,12))</f>
        <v>#REF!</v>
      </c>
      <c r="R35" s="36" t="e">
        <f>IF(VLOOKUP(O32,#REF!,19)="","",VLOOKUP(O32,#REF!,19))</f>
        <v>#REF!</v>
      </c>
      <c r="S35" s="36" t="e">
        <f>IF(VLOOKUP(O32,#REF!,26)="","",VLOOKUP(O32,#REF!,26))</f>
        <v>#REF!</v>
      </c>
      <c r="T35" s="38" t="e">
        <f>IF(VLOOKUP(O32,#REF!,33)="","",VLOOKUP(O32,#REF!,33))</f>
        <v>#REF!</v>
      </c>
      <c r="V35" s="25">
        <v>2</v>
      </c>
      <c r="W35" s="36" t="e">
        <f>IF(VLOOKUP(V32,#REF!,5)="","",VLOOKUP(V32,#REF!,5))</f>
        <v>#REF!</v>
      </c>
      <c r="X35" s="36" t="e">
        <f>IF(VLOOKUP(V32,#REF!,12)="","",VLOOKUP(V32,#REF!,12))</f>
        <v>#REF!</v>
      </c>
      <c r="Y35" s="36" t="e">
        <f>IF(VLOOKUP(V32,#REF!,19)="","",VLOOKUP(V32,#REF!,19))</f>
        <v>#REF!</v>
      </c>
      <c r="Z35" s="36" t="e">
        <f>IF(VLOOKUP(V32,#REF!,26)="","",VLOOKUP(V32,#REF!,26))</f>
        <v>#REF!</v>
      </c>
      <c r="AA35" s="38" t="e">
        <f>IF(VLOOKUP(V32,#REF!,33)="","",VLOOKUP(V32,#REF!,33))</f>
        <v>#REF!</v>
      </c>
    </row>
    <row r="36" spans="1:27" ht="27.9" customHeight="1" x14ac:dyDescent="0.2">
      <c r="A36" s="25">
        <v>3</v>
      </c>
      <c r="B36" s="36" t="e">
        <f>IF(VLOOKUP(A32,#REF!,6)="","",VLOOKUP(A32,#REF!,6))</f>
        <v>#REF!</v>
      </c>
      <c r="C36" s="36" t="e">
        <f>IF(VLOOKUP(A32,#REF!,13)="","",VLOOKUP(A32,#REF!,13))</f>
        <v>#REF!</v>
      </c>
      <c r="D36" s="36" t="e">
        <f>IF(VLOOKUP(A32,#REF!,20)="","",VLOOKUP(A32,#REF!,20))</f>
        <v>#REF!</v>
      </c>
      <c r="E36" s="36" t="e">
        <f>IF(VLOOKUP(A32,#REF!,27)="","",VLOOKUP(A32,#REF!,27))</f>
        <v>#REF!</v>
      </c>
      <c r="F36" s="38" t="e">
        <f>IF(VLOOKUP(A32,#REF!,34)="","",VLOOKUP(A32,#REF!,34))</f>
        <v>#REF!</v>
      </c>
      <c r="H36" s="25">
        <v>3</v>
      </c>
      <c r="I36" s="36" t="e">
        <f>IF(VLOOKUP(H32,#REF!,6)="","",VLOOKUP(H32,#REF!,6))</f>
        <v>#REF!</v>
      </c>
      <c r="J36" s="36" t="e">
        <f>IF(VLOOKUP(H32,#REF!,13)="","",VLOOKUP(H32,#REF!,13))</f>
        <v>#REF!</v>
      </c>
      <c r="K36" s="36" t="e">
        <f>IF(VLOOKUP(H32,#REF!,20)="","",VLOOKUP(H32,#REF!,20))</f>
        <v>#REF!</v>
      </c>
      <c r="L36" s="36" t="e">
        <f>IF(VLOOKUP(H32,#REF!,27)="","",VLOOKUP(H32,#REF!,27))</f>
        <v>#REF!</v>
      </c>
      <c r="M36" s="38" t="e">
        <f>IF(VLOOKUP(H32,#REF!,34)="","",VLOOKUP(H32,#REF!,34))</f>
        <v>#REF!</v>
      </c>
      <c r="O36" s="25">
        <v>3</v>
      </c>
      <c r="P36" s="36" t="e">
        <f>IF(VLOOKUP(O32,#REF!,6)="","",VLOOKUP(O32,#REF!,6))</f>
        <v>#REF!</v>
      </c>
      <c r="Q36" s="36" t="e">
        <f>IF(VLOOKUP(O32,#REF!,13)="","",VLOOKUP(O32,#REF!,13))</f>
        <v>#REF!</v>
      </c>
      <c r="R36" s="36" t="e">
        <f>IF(VLOOKUP(O32,#REF!,20)="","",VLOOKUP(O32,#REF!,20))</f>
        <v>#REF!</v>
      </c>
      <c r="S36" s="36" t="e">
        <f>IF(VLOOKUP(O32,#REF!,27)="","",VLOOKUP(O32,#REF!,27))</f>
        <v>#REF!</v>
      </c>
      <c r="T36" s="38" t="e">
        <f>IF(VLOOKUP(O32,#REF!,34)="","",VLOOKUP(O32,#REF!,34))</f>
        <v>#REF!</v>
      </c>
      <c r="V36" s="25">
        <v>3</v>
      </c>
      <c r="W36" s="36" t="e">
        <f>IF(VLOOKUP(V32,#REF!,6)="","",VLOOKUP(V32,#REF!,6))</f>
        <v>#REF!</v>
      </c>
      <c r="X36" s="36" t="e">
        <f>IF(VLOOKUP(V32,#REF!,13)="","",VLOOKUP(V32,#REF!,13))</f>
        <v>#REF!</v>
      </c>
      <c r="Y36" s="36" t="e">
        <f>IF(VLOOKUP(V32,#REF!,20)="","",VLOOKUP(V32,#REF!,20))</f>
        <v>#REF!</v>
      </c>
      <c r="Z36" s="36" t="e">
        <f>IF(VLOOKUP(V32,#REF!,27)="","",VLOOKUP(V32,#REF!,27))</f>
        <v>#REF!</v>
      </c>
      <c r="AA36" s="38" t="e">
        <f>IF(VLOOKUP(V32,#REF!,34)="","",VLOOKUP(V32,#REF!,34))</f>
        <v>#REF!</v>
      </c>
    </row>
    <row r="37" spans="1:27" ht="27.9" customHeight="1" x14ac:dyDescent="0.2">
      <c r="A37" s="25">
        <v>4</v>
      </c>
      <c r="B37" s="36" t="e">
        <f>IF(VLOOKUP(A32,#REF!,7)="","",VLOOKUP(A32,#REF!,7))</f>
        <v>#REF!</v>
      </c>
      <c r="C37" s="36" t="e">
        <f>IF(VLOOKUP(A32,#REF!,14)="","",VLOOKUP(A32,#REF!,14))</f>
        <v>#REF!</v>
      </c>
      <c r="D37" s="36" t="e">
        <f>IF(VLOOKUP(A32,#REF!,21)="","",VLOOKUP(A32,#REF!,21))</f>
        <v>#REF!</v>
      </c>
      <c r="E37" s="36" t="e">
        <f>IF(VLOOKUP(A32,#REF!,28)="","",VLOOKUP(A32,#REF!,28))</f>
        <v>#REF!</v>
      </c>
      <c r="F37" s="38" t="e">
        <f>IF(VLOOKUP(A32,#REF!,35)="","",VLOOKUP(A32,#REF!,35))</f>
        <v>#REF!</v>
      </c>
      <c r="H37" s="25">
        <v>4</v>
      </c>
      <c r="I37" s="36" t="e">
        <f>IF(VLOOKUP(H32,#REF!,7)="","",VLOOKUP(H32,#REF!,7))</f>
        <v>#REF!</v>
      </c>
      <c r="J37" s="36" t="e">
        <f>IF(VLOOKUP(H32,#REF!,14)="","",VLOOKUP(H32,#REF!,14))</f>
        <v>#REF!</v>
      </c>
      <c r="K37" s="36" t="e">
        <f>IF(VLOOKUP(H32,#REF!,21)="","",VLOOKUP(H32,#REF!,21))</f>
        <v>#REF!</v>
      </c>
      <c r="L37" s="36" t="e">
        <f>IF(VLOOKUP(H32,#REF!,28)="","",VLOOKUP(H32,#REF!,28))</f>
        <v>#REF!</v>
      </c>
      <c r="M37" s="38" t="e">
        <f>IF(VLOOKUP(H32,#REF!,35)="","",VLOOKUP(H32,#REF!,35))</f>
        <v>#REF!</v>
      </c>
      <c r="O37" s="25">
        <v>4</v>
      </c>
      <c r="P37" s="36" t="e">
        <f>IF(VLOOKUP(O32,#REF!,7)="","",VLOOKUP(O32,#REF!,7))</f>
        <v>#REF!</v>
      </c>
      <c r="Q37" s="36" t="e">
        <f>IF(VLOOKUP(O32,#REF!,14)="","",VLOOKUP(O32,#REF!,14))</f>
        <v>#REF!</v>
      </c>
      <c r="R37" s="36" t="e">
        <f>IF(VLOOKUP(O32,#REF!,21)="","",VLOOKUP(O32,#REF!,21))</f>
        <v>#REF!</v>
      </c>
      <c r="S37" s="36" t="e">
        <f>IF(VLOOKUP(O32,#REF!,28)="","",VLOOKUP(O32,#REF!,28))</f>
        <v>#REF!</v>
      </c>
      <c r="T37" s="38" t="e">
        <f>IF(VLOOKUP(O32,#REF!,35)="","",VLOOKUP(O32,#REF!,35))</f>
        <v>#REF!</v>
      </c>
      <c r="V37" s="25">
        <v>4</v>
      </c>
      <c r="W37" s="36" t="e">
        <f>IF(VLOOKUP(V32,#REF!,7)="","",VLOOKUP(V32,#REF!,7))</f>
        <v>#REF!</v>
      </c>
      <c r="X37" s="36" t="e">
        <f>IF(VLOOKUP(V32,#REF!,14)="","",VLOOKUP(V32,#REF!,14))</f>
        <v>#REF!</v>
      </c>
      <c r="Y37" s="36" t="e">
        <f>IF(VLOOKUP(V32,#REF!,21)="","",VLOOKUP(V32,#REF!,21))</f>
        <v>#REF!</v>
      </c>
      <c r="Z37" s="36" t="e">
        <f>IF(VLOOKUP(V32,#REF!,28)="","",VLOOKUP(V32,#REF!,28))</f>
        <v>#REF!</v>
      </c>
      <c r="AA37" s="38" t="e">
        <f>IF(VLOOKUP(V32,#REF!,35)="","",VLOOKUP(V32,#REF!,35))</f>
        <v>#REF!</v>
      </c>
    </row>
    <row r="38" spans="1:27" ht="27.9" customHeight="1" x14ac:dyDescent="0.2">
      <c r="A38" s="25">
        <v>5</v>
      </c>
      <c r="B38" s="36" t="e">
        <f>IF(VLOOKUP(A32,#REF!,8)="","",VLOOKUP(A32,#REF!,8))</f>
        <v>#REF!</v>
      </c>
      <c r="C38" s="36" t="e">
        <f>IF(VLOOKUP(A32,#REF!,15)="","",VLOOKUP(A32,#REF!,15))</f>
        <v>#REF!</v>
      </c>
      <c r="D38" s="36" t="e">
        <f>IF(VLOOKUP(A32,#REF!,22)="","",VLOOKUP(A32,#REF!,22))</f>
        <v>#REF!</v>
      </c>
      <c r="E38" s="36" t="e">
        <f>IF(VLOOKUP(A32,#REF!,29)="","",VLOOKUP(A32,#REF!,29))</f>
        <v>#REF!</v>
      </c>
      <c r="F38" s="38" t="e">
        <f>IF(VLOOKUP(A32,#REF!,36)="","",VLOOKUP(A32,#REF!,36))</f>
        <v>#REF!</v>
      </c>
      <c r="H38" s="25">
        <v>5</v>
      </c>
      <c r="I38" s="36" t="e">
        <f>IF(VLOOKUP(H32,#REF!,8)="","",VLOOKUP(H32,#REF!,8))</f>
        <v>#REF!</v>
      </c>
      <c r="J38" s="36" t="e">
        <f>IF(VLOOKUP(H32,#REF!,15)="","",VLOOKUP(H32,#REF!,15))</f>
        <v>#REF!</v>
      </c>
      <c r="K38" s="36" t="e">
        <f>IF(VLOOKUP(H32,#REF!,22)="","",VLOOKUP(H32,#REF!,22))</f>
        <v>#REF!</v>
      </c>
      <c r="L38" s="36" t="e">
        <f>IF(VLOOKUP(H32,#REF!,29)="","",VLOOKUP(H32,#REF!,29))</f>
        <v>#REF!</v>
      </c>
      <c r="M38" s="38" t="e">
        <f>IF(VLOOKUP(H32,#REF!,36)="","",VLOOKUP(H32,#REF!,36))</f>
        <v>#REF!</v>
      </c>
      <c r="O38" s="25">
        <v>5</v>
      </c>
      <c r="P38" s="36" t="e">
        <f>IF(VLOOKUP(O32,#REF!,8)="","",VLOOKUP(O32,#REF!,8))</f>
        <v>#REF!</v>
      </c>
      <c r="Q38" s="36" t="e">
        <f>IF(VLOOKUP(O32,#REF!,15)="","",VLOOKUP(O32,#REF!,15))</f>
        <v>#REF!</v>
      </c>
      <c r="R38" s="36" t="e">
        <f>IF(VLOOKUP(O32,#REF!,22)="","",VLOOKUP(O32,#REF!,22))</f>
        <v>#REF!</v>
      </c>
      <c r="S38" s="36" t="e">
        <f>IF(VLOOKUP(O32,#REF!,29)="","",VLOOKUP(O32,#REF!,29))</f>
        <v>#REF!</v>
      </c>
      <c r="T38" s="38" t="e">
        <f>IF(VLOOKUP(O32,#REF!,36)="","",VLOOKUP(O32,#REF!,36))</f>
        <v>#REF!</v>
      </c>
      <c r="V38" s="25">
        <v>5</v>
      </c>
      <c r="W38" s="36" t="e">
        <f>IF(VLOOKUP(V32,#REF!,8)="","",VLOOKUP(V32,#REF!,8))</f>
        <v>#REF!</v>
      </c>
      <c r="X38" s="36" t="e">
        <f>IF(VLOOKUP(V32,#REF!,15)="","",VLOOKUP(V32,#REF!,15))</f>
        <v>#REF!</v>
      </c>
      <c r="Y38" s="36" t="e">
        <f>IF(VLOOKUP(V32,#REF!,22)="","",VLOOKUP(V32,#REF!,22))</f>
        <v>#REF!</v>
      </c>
      <c r="Z38" s="36" t="e">
        <f>IF(VLOOKUP(V32,#REF!,29)="","",VLOOKUP(V32,#REF!,29))</f>
        <v>#REF!</v>
      </c>
      <c r="AA38" s="38" t="e">
        <f>IF(VLOOKUP(V32,#REF!,36)="","",VLOOKUP(V32,#REF!,36))</f>
        <v>#REF!</v>
      </c>
    </row>
    <row r="39" spans="1:27" ht="27.9" customHeight="1" thickBot="1" x14ac:dyDescent="0.25">
      <c r="A39" s="26">
        <v>6</v>
      </c>
      <c r="B39" s="35" t="e">
        <f>IF(VLOOKUP(A32,#REF!,9)="","",VLOOKUP(A32,#REF!,9))</f>
        <v>#REF!</v>
      </c>
      <c r="C39" s="35" t="e">
        <f>IF(VLOOKUP(A32,#REF!,16)="","",VLOOKUP(A32,#REF!,16))</f>
        <v>#REF!</v>
      </c>
      <c r="D39" s="35" t="e">
        <f>IF(VLOOKUP(A32,#REF!,23)="","",VLOOKUP(A32,#REF!,23))</f>
        <v>#REF!</v>
      </c>
      <c r="E39" s="35" t="e">
        <f>IF(VLOOKUP(A32,#REF!,30)="","",VLOOKUP(A32,#REF!,30))</f>
        <v>#REF!</v>
      </c>
      <c r="F39" s="39" t="e">
        <f>IF(VLOOKUP(A32,#REF!,37)="","",VLOOKUP(A32,#REF!,37))</f>
        <v>#REF!</v>
      </c>
      <c r="H39" s="26">
        <v>6</v>
      </c>
      <c r="I39" s="35" t="e">
        <f>IF(VLOOKUP(H32,#REF!,9)="","",VLOOKUP(H32,#REF!,9))</f>
        <v>#REF!</v>
      </c>
      <c r="J39" s="35" t="e">
        <f>IF(VLOOKUP(H32,#REF!,16)="","",VLOOKUP(H32,#REF!,16))</f>
        <v>#REF!</v>
      </c>
      <c r="K39" s="35" t="e">
        <f>IF(VLOOKUP(H32,#REF!,23)="","",VLOOKUP(H32,#REF!,23))</f>
        <v>#REF!</v>
      </c>
      <c r="L39" s="35" t="e">
        <f>IF(VLOOKUP(H32,#REF!,30)="","",VLOOKUP(H32,#REF!,30))</f>
        <v>#REF!</v>
      </c>
      <c r="M39" s="39" t="e">
        <f>IF(VLOOKUP(H32,#REF!,37)="","",VLOOKUP(H32,#REF!,37))</f>
        <v>#REF!</v>
      </c>
      <c r="O39" s="26">
        <v>6</v>
      </c>
      <c r="P39" s="35" t="e">
        <f>IF(VLOOKUP(O32,#REF!,9)="","",VLOOKUP(O32,#REF!,9))</f>
        <v>#REF!</v>
      </c>
      <c r="Q39" s="35" t="e">
        <f>IF(VLOOKUP(O32,#REF!,16)="","",VLOOKUP(O32,#REF!,16))</f>
        <v>#REF!</v>
      </c>
      <c r="R39" s="35" t="e">
        <f>IF(VLOOKUP(O32,#REF!,23)="","",VLOOKUP(O32,#REF!,23))</f>
        <v>#REF!</v>
      </c>
      <c r="S39" s="35" t="e">
        <f>IF(VLOOKUP(O32,#REF!,30)="","",VLOOKUP(O32,#REF!,30))</f>
        <v>#REF!</v>
      </c>
      <c r="T39" s="39" t="e">
        <f>IF(VLOOKUP(O32,#REF!,37)="","",VLOOKUP(O32,#REF!,37))</f>
        <v>#REF!</v>
      </c>
      <c r="V39" s="26">
        <v>6</v>
      </c>
      <c r="W39" s="35" t="e">
        <f>IF(VLOOKUP(V32,#REF!,9)="","",VLOOKUP(V32,#REF!,9))</f>
        <v>#REF!</v>
      </c>
      <c r="X39" s="35" t="e">
        <f>IF(VLOOKUP(V32,#REF!,16)="","",VLOOKUP(V32,#REF!,16))</f>
        <v>#REF!</v>
      </c>
      <c r="Y39" s="35" t="e">
        <f>IF(VLOOKUP(V32,#REF!,23)="","",VLOOKUP(V32,#REF!,23))</f>
        <v>#REF!</v>
      </c>
      <c r="Z39" s="35" t="e">
        <f>IF(VLOOKUP(V32,#REF!,30)="","",VLOOKUP(V32,#REF!,30))</f>
        <v>#REF!</v>
      </c>
      <c r="AA39" s="39" t="e">
        <f>IF(VLOOKUP(V32,#REF!,37)="","",VLOOKUP(V32,#REF!,37))</f>
        <v>#REF!</v>
      </c>
    </row>
    <row r="41" spans="1:27" ht="27" customHeight="1" x14ac:dyDescent="0.3">
      <c r="A41" s="40" t="e">
        <f>IF(#REF!="","",#REF!)</f>
        <v>#REF!</v>
      </c>
      <c r="D41" t="s">
        <v>23</v>
      </c>
      <c r="H41" s="40" t="e">
        <f>IF(#REF!="","",#REF!)</f>
        <v>#REF!</v>
      </c>
      <c r="K41" t="s">
        <v>23</v>
      </c>
      <c r="O41" s="40" t="e">
        <f>IF(#REF!="","",#REF!)</f>
        <v>#REF!</v>
      </c>
      <c r="R41" t="s">
        <v>23</v>
      </c>
      <c r="V41" s="40" t="e">
        <f>IF(#REF!="","",#REF!)</f>
        <v>#REF!</v>
      </c>
      <c r="Y41" t="s">
        <v>23</v>
      </c>
    </row>
    <row r="42" spans="1:27" ht="17" thickBot="1" x14ac:dyDescent="0.25">
      <c r="A42" s="30">
        <v>17</v>
      </c>
      <c r="H42" s="30">
        <v>18</v>
      </c>
      <c r="O42" s="30">
        <v>19</v>
      </c>
      <c r="V42" s="30">
        <v>20</v>
      </c>
    </row>
    <row r="43" spans="1:27" s="23" customFormat="1" ht="27.9" customHeight="1" x14ac:dyDescent="0.25">
      <c r="A43" s="24"/>
      <c r="B43" s="7" t="s">
        <v>11</v>
      </c>
      <c r="C43" s="7" t="s">
        <v>3</v>
      </c>
      <c r="D43" s="7" t="s">
        <v>5</v>
      </c>
      <c r="E43" s="7" t="s">
        <v>7</v>
      </c>
      <c r="F43" s="9" t="s">
        <v>9</v>
      </c>
      <c r="H43" s="24"/>
      <c r="I43" s="7" t="s">
        <v>11</v>
      </c>
      <c r="J43" s="7" t="s">
        <v>3</v>
      </c>
      <c r="K43" s="7" t="s">
        <v>5</v>
      </c>
      <c r="L43" s="7" t="s">
        <v>7</v>
      </c>
      <c r="M43" s="9" t="s">
        <v>9</v>
      </c>
      <c r="O43" s="24"/>
      <c r="P43" s="7" t="s">
        <v>11</v>
      </c>
      <c r="Q43" s="7" t="s">
        <v>3</v>
      </c>
      <c r="R43" s="7" t="s">
        <v>5</v>
      </c>
      <c r="S43" s="7" t="s">
        <v>7</v>
      </c>
      <c r="T43" s="9" t="s">
        <v>9</v>
      </c>
      <c r="V43" s="24"/>
      <c r="W43" s="7" t="s">
        <v>11</v>
      </c>
      <c r="X43" s="7" t="s">
        <v>3</v>
      </c>
      <c r="Y43" s="7" t="s">
        <v>5</v>
      </c>
      <c r="Z43" s="7" t="s">
        <v>7</v>
      </c>
      <c r="AA43" s="9" t="s">
        <v>9</v>
      </c>
    </row>
    <row r="44" spans="1:27" ht="27.9" customHeight="1" x14ac:dyDescent="0.2">
      <c r="A44" s="25">
        <v>1</v>
      </c>
      <c r="B44" s="36" t="e">
        <f>IF(VLOOKUP(A42,#REF!,4)="","",VLOOKUP(A42,#REF!,4))</f>
        <v>#REF!</v>
      </c>
      <c r="C44" s="36" t="e">
        <f>IF(VLOOKUP(A42,#REF!,11)="","",VLOOKUP(A42,#REF!,11))</f>
        <v>#REF!</v>
      </c>
      <c r="D44" s="36" t="e">
        <f>IF(VLOOKUP(A42,#REF!,18)="","",VLOOKUP(A42,#REF!,18))</f>
        <v>#REF!</v>
      </c>
      <c r="E44" s="36" t="e">
        <f>IF(VLOOKUP(A42,#REF!,25)="","",VLOOKUP(A42,#REF!,25))</f>
        <v>#REF!</v>
      </c>
      <c r="F44" s="38" t="e">
        <f>IF(VLOOKUP(A42,#REF!,32)="","",VLOOKUP(A42,#REF!,32))</f>
        <v>#REF!</v>
      </c>
      <c r="H44" s="25">
        <v>1</v>
      </c>
      <c r="I44" s="36" t="e">
        <f>IF(VLOOKUP(H42,#REF!,4)="","",VLOOKUP(H42,#REF!,4))</f>
        <v>#REF!</v>
      </c>
      <c r="J44" s="36" t="e">
        <f>IF(VLOOKUP(H42,#REF!,11)="","",VLOOKUP(H42,#REF!,11))</f>
        <v>#REF!</v>
      </c>
      <c r="K44" s="36" t="e">
        <f>IF(VLOOKUP(H42,#REF!,18)="","",VLOOKUP(H42,#REF!,18))</f>
        <v>#REF!</v>
      </c>
      <c r="L44" s="36" t="e">
        <f>IF(VLOOKUP(H42,#REF!,25)="","",VLOOKUP(H42,#REF!,25))</f>
        <v>#REF!</v>
      </c>
      <c r="M44" s="38" t="e">
        <f>IF(VLOOKUP(H42,#REF!,32)="","",VLOOKUP(H42,#REF!,32))</f>
        <v>#REF!</v>
      </c>
      <c r="O44" s="25">
        <v>1</v>
      </c>
      <c r="P44" s="36" t="e">
        <f>IF(VLOOKUP(O42,#REF!,4)="","",VLOOKUP(O42,#REF!,4))</f>
        <v>#REF!</v>
      </c>
      <c r="Q44" s="36" t="e">
        <f>IF(VLOOKUP(O42,#REF!,11)="","",VLOOKUP(O42,#REF!,11))</f>
        <v>#REF!</v>
      </c>
      <c r="R44" s="36" t="e">
        <f>IF(VLOOKUP(O42,#REF!,18)="","",VLOOKUP(O42,#REF!,18))</f>
        <v>#REF!</v>
      </c>
      <c r="S44" s="36" t="e">
        <f>IF(VLOOKUP(O42,#REF!,25)="","",VLOOKUP(O42,#REF!,25))</f>
        <v>#REF!</v>
      </c>
      <c r="T44" s="38" t="e">
        <f>IF(VLOOKUP(O42,#REF!,32)="","",VLOOKUP(O42,#REF!,32))</f>
        <v>#REF!</v>
      </c>
      <c r="V44" s="25">
        <v>1</v>
      </c>
      <c r="W44" s="36" t="e">
        <f>IF(VLOOKUP(V42,#REF!,4)="","",VLOOKUP(V42,#REF!,4))</f>
        <v>#REF!</v>
      </c>
      <c r="X44" s="36" t="e">
        <f>IF(VLOOKUP(V42,#REF!,11)="","",VLOOKUP(V42,#REF!,11))</f>
        <v>#REF!</v>
      </c>
      <c r="Y44" s="36" t="e">
        <f>IF(VLOOKUP(V42,#REF!,18)="","",VLOOKUP(V42,#REF!,18))</f>
        <v>#REF!</v>
      </c>
      <c r="Z44" s="36" t="e">
        <f>IF(VLOOKUP(V42,#REF!,25)="","",VLOOKUP(V42,#REF!,25))</f>
        <v>#REF!</v>
      </c>
      <c r="AA44" s="38" t="e">
        <f>IF(VLOOKUP(V42,#REF!,32)="","",VLOOKUP(V42,#REF!,32))</f>
        <v>#REF!</v>
      </c>
    </row>
    <row r="45" spans="1:27" ht="27.9" customHeight="1" x14ac:dyDescent="0.2">
      <c r="A45" s="25">
        <v>2</v>
      </c>
      <c r="B45" s="36" t="e">
        <f>IF(VLOOKUP(A42,#REF!,5)="","",VLOOKUP(A42,#REF!,5))</f>
        <v>#REF!</v>
      </c>
      <c r="C45" s="36" t="e">
        <f>IF(VLOOKUP(A42,#REF!,12)="","",VLOOKUP(A42,#REF!,12))</f>
        <v>#REF!</v>
      </c>
      <c r="D45" s="36" t="e">
        <f>IF(VLOOKUP(A42,#REF!,19)="","",VLOOKUP(A42,#REF!,19))</f>
        <v>#REF!</v>
      </c>
      <c r="E45" s="36" t="e">
        <f>IF(VLOOKUP(A42,#REF!,26)="","",VLOOKUP(A42,#REF!,26))</f>
        <v>#REF!</v>
      </c>
      <c r="F45" s="38" t="e">
        <f>IF(VLOOKUP(A42,#REF!,33)="","",VLOOKUP(A42,#REF!,33))</f>
        <v>#REF!</v>
      </c>
      <c r="H45" s="25">
        <v>2</v>
      </c>
      <c r="I45" s="36" t="e">
        <f>IF(VLOOKUP(H42,#REF!,5)="","",VLOOKUP(H42,#REF!,5))</f>
        <v>#REF!</v>
      </c>
      <c r="J45" s="36" t="e">
        <f>IF(VLOOKUP(H42,#REF!,12)="","",VLOOKUP(H42,#REF!,12))</f>
        <v>#REF!</v>
      </c>
      <c r="K45" s="36" t="e">
        <f>IF(VLOOKUP(H42,#REF!,19)="","",VLOOKUP(H42,#REF!,19))</f>
        <v>#REF!</v>
      </c>
      <c r="L45" s="36" t="e">
        <f>IF(VLOOKUP(H42,#REF!,26)="","",VLOOKUP(H42,#REF!,26))</f>
        <v>#REF!</v>
      </c>
      <c r="M45" s="38" t="e">
        <f>IF(VLOOKUP(H42,#REF!,33)="","",VLOOKUP(H42,#REF!,33))</f>
        <v>#REF!</v>
      </c>
      <c r="O45" s="25">
        <v>2</v>
      </c>
      <c r="P45" s="36" t="e">
        <f>IF(VLOOKUP(O42,#REF!,5)="","",VLOOKUP(O42,#REF!,5))</f>
        <v>#REF!</v>
      </c>
      <c r="Q45" s="36" t="e">
        <f>IF(VLOOKUP(O42,#REF!,12)="","",VLOOKUP(O42,#REF!,12))</f>
        <v>#REF!</v>
      </c>
      <c r="R45" s="36" t="e">
        <f>IF(VLOOKUP(O42,#REF!,19)="","",VLOOKUP(O42,#REF!,19))</f>
        <v>#REF!</v>
      </c>
      <c r="S45" s="36" t="e">
        <f>IF(VLOOKUP(O42,#REF!,26)="","",VLOOKUP(O42,#REF!,26))</f>
        <v>#REF!</v>
      </c>
      <c r="T45" s="38" t="e">
        <f>IF(VLOOKUP(O42,#REF!,33)="","",VLOOKUP(O42,#REF!,33))</f>
        <v>#REF!</v>
      </c>
      <c r="V45" s="25">
        <v>2</v>
      </c>
      <c r="W45" s="36" t="e">
        <f>IF(VLOOKUP(V42,#REF!,5)="","",VLOOKUP(V42,#REF!,5))</f>
        <v>#REF!</v>
      </c>
      <c r="X45" s="36" t="e">
        <f>IF(VLOOKUP(V42,#REF!,12)="","",VLOOKUP(V42,#REF!,12))</f>
        <v>#REF!</v>
      </c>
      <c r="Y45" s="36" t="e">
        <f>IF(VLOOKUP(V42,#REF!,19)="","",VLOOKUP(V42,#REF!,19))</f>
        <v>#REF!</v>
      </c>
      <c r="Z45" s="36" t="e">
        <f>IF(VLOOKUP(V42,#REF!,26)="","",VLOOKUP(V42,#REF!,26))</f>
        <v>#REF!</v>
      </c>
      <c r="AA45" s="38" t="e">
        <f>IF(VLOOKUP(V42,#REF!,33)="","",VLOOKUP(V42,#REF!,33))</f>
        <v>#REF!</v>
      </c>
    </row>
    <row r="46" spans="1:27" ht="27.9" customHeight="1" x14ac:dyDescent="0.2">
      <c r="A46" s="25">
        <v>3</v>
      </c>
      <c r="B46" s="36" t="e">
        <f>IF(VLOOKUP(A42,#REF!,6)="","",VLOOKUP(A42,#REF!,6))</f>
        <v>#REF!</v>
      </c>
      <c r="C46" s="36" t="e">
        <f>IF(VLOOKUP(A42,#REF!,13)="","",VLOOKUP(A42,#REF!,13))</f>
        <v>#REF!</v>
      </c>
      <c r="D46" s="36" t="e">
        <f>IF(VLOOKUP(A42,#REF!,20)="","",VLOOKUP(A42,#REF!,20))</f>
        <v>#REF!</v>
      </c>
      <c r="E46" s="36" t="e">
        <f>IF(VLOOKUP(A42,#REF!,27)="","",VLOOKUP(A42,#REF!,27))</f>
        <v>#REF!</v>
      </c>
      <c r="F46" s="38" t="e">
        <f>IF(VLOOKUP(A42,#REF!,34)="","",VLOOKUP(A42,#REF!,34))</f>
        <v>#REF!</v>
      </c>
      <c r="H46" s="25">
        <v>3</v>
      </c>
      <c r="I46" s="36" t="e">
        <f>IF(VLOOKUP(H42,#REF!,6)="","",VLOOKUP(H42,#REF!,6))</f>
        <v>#REF!</v>
      </c>
      <c r="J46" s="36" t="e">
        <f>IF(VLOOKUP(H42,#REF!,13)="","",VLOOKUP(H42,#REF!,13))</f>
        <v>#REF!</v>
      </c>
      <c r="K46" s="36" t="e">
        <f>IF(VLOOKUP(H42,#REF!,20)="","",VLOOKUP(H42,#REF!,20))</f>
        <v>#REF!</v>
      </c>
      <c r="L46" s="36" t="e">
        <f>IF(VLOOKUP(H42,#REF!,27)="","",VLOOKUP(H42,#REF!,27))</f>
        <v>#REF!</v>
      </c>
      <c r="M46" s="38" t="e">
        <f>IF(VLOOKUP(H42,#REF!,34)="","",VLOOKUP(H42,#REF!,34))</f>
        <v>#REF!</v>
      </c>
      <c r="O46" s="25">
        <v>3</v>
      </c>
      <c r="P46" s="36" t="e">
        <f>IF(VLOOKUP(O42,#REF!,6)="","",VLOOKUP(O42,#REF!,6))</f>
        <v>#REF!</v>
      </c>
      <c r="Q46" s="36" t="e">
        <f>IF(VLOOKUP(O42,#REF!,13)="","",VLOOKUP(O42,#REF!,13))</f>
        <v>#REF!</v>
      </c>
      <c r="R46" s="36" t="e">
        <f>IF(VLOOKUP(O42,#REF!,20)="","",VLOOKUP(O42,#REF!,20))</f>
        <v>#REF!</v>
      </c>
      <c r="S46" s="36" t="e">
        <f>IF(VLOOKUP(O42,#REF!,27)="","",VLOOKUP(O42,#REF!,27))</f>
        <v>#REF!</v>
      </c>
      <c r="T46" s="38" t="e">
        <f>IF(VLOOKUP(O42,#REF!,34)="","",VLOOKUP(O42,#REF!,34))</f>
        <v>#REF!</v>
      </c>
      <c r="V46" s="25">
        <v>3</v>
      </c>
      <c r="W46" s="36" t="e">
        <f>IF(VLOOKUP(V42,#REF!,6)="","",VLOOKUP(V42,#REF!,6))</f>
        <v>#REF!</v>
      </c>
      <c r="X46" s="36" t="e">
        <f>IF(VLOOKUP(V42,#REF!,13)="","",VLOOKUP(V42,#REF!,13))</f>
        <v>#REF!</v>
      </c>
      <c r="Y46" s="36" t="e">
        <f>IF(VLOOKUP(V42,#REF!,20)="","",VLOOKUP(V42,#REF!,20))</f>
        <v>#REF!</v>
      </c>
      <c r="Z46" s="36" t="e">
        <f>IF(VLOOKUP(V42,#REF!,27)="","",VLOOKUP(V42,#REF!,27))</f>
        <v>#REF!</v>
      </c>
      <c r="AA46" s="38" t="e">
        <f>IF(VLOOKUP(V42,#REF!,34)="","",VLOOKUP(V42,#REF!,34))</f>
        <v>#REF!</v>
      </c>
    </row>
    <row r="47" spans="1:27" ht="27.9" customHeight="1" x14ac:dyDescent="0.2">
      <c r="A47" s="25">
        <v>4</v>
      </c>
      <c r="B47" s="36" t="e">
        <f>IF(VLOOKUP(A42,#REF!,7)="","",VLOOKUP(A42,#REF!,7))</f>
        <v>#REF!</v>
      </c>
      <c r="C47" s="36" t="e">
        <f>IF(VLOOKUP(A42,#REF!,14)="","",VLOOKUP(A42,#REF!,14))</f>
        <v>#REF!</v>
      </c>
      <c r="D47" s="36" t="e">
        <f>IF(VLOOKUP(A42,#REF!,21)="","",VLOOKUP(A42,#REF!,21))</f>
        <v>#REF!</v>
      </c>
      <c r="E47" s="36" t="e">
        <f>IF(VLOOKUP(A42,#REF!,28)="","",VLOOKUP(A42,#REF!,28))</f>
        <v>#REF!</v>
      </c>
      <c r="F47" s="38" t="e">
        <f>IF(VLOOKUP(A42,#REF!,35)="","",VLOOKUP(A42,#REF!,35))</f>
        <v>#REF!</v>
      </c>
      <c r="H47" s="25">
        <v>4</v>
      </c>
      <c r="I47" s="36" t="e">
        <f>IF(VLOOKUP(H42,#REF!,7)="","",VLOOKUP(H42,#REF!,7))</f>
        <v>#REF!</v>
      </c>
      <c r="J47" s="36" t="e">
        <f>IF(VLOOKUP(H42,#REF!,14)="","",VLOOKUP(H42,#REF!,14))</f>
        <v>#REF!</v>
      </c>
      <c r="K47" s="36" t="e">
        <f>IF(VLOOKUP(H42,#REF!,21)="","",VLOOKUP(H42,#REF!,21))</f>
        <v>#REF!</v>
      </c>
      <c r="L47" s="36" t="e">
        <f>IF(VLOOKUP(H42,#REF!,28)="","",VLOOKUP(H42,#REF!,28))</f>
        <v>#REF!</v>
      </c>
      <c r="M47" s="38" t="e">
        <f>IF(VLOOKUP(H42,#REF!,35)="","",VLOOKUP(H42,#REF!,35))</f>
        <v>#REF!</v>
      </c>
      <c r="O47" s="25">
        <v>4</v>
      </c>
      <c r="P47" s="36" t="e">
        <f>IF(VLOOKUP(O42,#REF!,7)="","",VLOOKUP(O42,#REF!,7))</f>
        <v>#REF!</v>
      </c>
      <c r="Q47" s="36" t="e">
        <f>IF(VLOOKUP(O42,#REF!,14)="","",VLOOKUP(O42,#REF!,14))</f>
        <v>#REF!</v>
      </c>
      <c r="R47" s="36" t="e">
        <f>IF(VLOOKUP(O42,#REF!,21)="","",VLOOKUP(O42,#REF!,21))</f>
        <v>#REF!</v>
      </c>
      <c r="S47" s="36" t="e">
        <f>IF(VLOOKUP(O42,#REF!,28)="","",VLOOKUP(O42,#REF!,28))</f>
        <v>#REF!</v>
      </c>
      <c r="T47" s="38" t="e">
        <f>IF(VLOOKUP(O42,#REF!,35)="","",VLOOKUP(O42,#REF!,35))</f>
        <v>#REF!</v>
      </c>
      <c r="V47" s="25">
        <v>4</v>
      </c>
      <c r="W47" s="36" t="e">
        <f>IF(VLOOKUP(V42,#REF!,7)="","",VLOOKUP(V42,#REF!,7))</f>
        <v>#REF!</v>
      </c>
      <c r="X47" s="36" t="e">
        <f>IF(VLOOKUP(V42,#REF!,14)="","",VLOOKUP(V42,#REF!,14))</f>
        <v>#REF!</v>
      </c>
      <c r="Y47" s="36" t="e">
        <f>IF(VLOOKUP(V42,#REF!,21)="","",VLOOKUP(V42,#REF!,21))</f>
        <v>#REF!</v>
      </c>
      <c r="Z47" s="36" t="e">
        <f>IF(VLOOKUP(V42,#REF!,28)="","",VLOOKUP(V42,#REF!,28))</f>
        <v>#REF!</v>
      </c>
      <c r="AA47" s="38" t="e">
        <f>IF(VLOOKUP(V42,#REF!,35)="","",VLOOKUP(V42,#REF!,35))</f>
        <v>#REF!</v>
      </c>
    </row>
    <row r="48" spans="1:27" ht="27.9" customHeight="1" x14ac:dyDescent="0.2">
      <c r="A48" s="25">
        <v>5</v>
      </c>
      <c r="B48" s="36" t="e">
        <f>IF(VLOOKUP(A42,#REF!,8)="","",VLOOKUP(A42,#REF!,8))</f>
        <v>#REF!</v>
      </c>
      <c r="C48" s="36" t="e">
        <f>IF(VLOOKUP(A42,#REF!,15)="","",VLOOKUP(A42,#REF!,15))</f>
        <v>#REF!</v>
      </c>
      <c r="D48" s="36" t="e">
        <f>IF(VLOOKUP(A42,#REF!,22)="","",VLOOKUP(A42,#REF!,22))</f>
        <v>#REF!</v>
      </c>
      <c r="E48" s="36" t="e">
        <f>IF(VLOOKUP(A42,#REF!,29)="","",VLOOKUP(A42,#REF!,29))</f>
        <v>#REF!</v>
      </c>
      <c r="F48" s="38" t="e">
        <f>IF(VLOOKUP(A42,#REF!,36)="","",VLOOKUP(A42,#REF!,36))</f>
        <v>#REF!</v>
      </c>
      <c r="H48" s="25">
        <v>5</v>
      </c>
      <c r="I48" s="36" t="e">
        <f>IF(VLOOKUP(H42,#REF!,8)="","",VLOOKUP(H42,#REF!,8))</f>
        <v>#REF!</v>
      </c>
      <c r="J48" s="36" t="e">
        <f>IF(VLOOKUP(H42,#REF!,15)="","",VLOOKUP(H42,#REF!,15))</f>
        <v>#REF!</v>
      </c>
      <c r="K48" s="36" t="e">
        <f>IF(VLOOKUP(H42,#REF!,22)="","",VLOOKUP(H42,#REF!,22))</f>
        <v>#REF!</v>
      </c>
      <c r="L48" s="36" t="e">
        <f>IF(VLOOKUP(H42,#REF!,29)="","",VLOOKUP(H42,#REF!,29))</f>
        <v>#REF!</v>
      </c>
      <c r="M48" s="38" t="e">
        <f>IF(VLOOKUP(H42,#REF!,36)="","",VLOOKUP(H42,#REF!,36))</f>
        <v>#REF!</v>
      </c>
      <c r="O48" s="25">
        <v>5</v>
      </c>
      <c r="P48" s="36" t="e">
        <f>IF(VLOOKUP(O42,#REF!,8)="","",VLOOKUP(O42,#REF!,8))</f>
        <v>#REF!</v>
      </c>
      <c r="Q48" s="36" t="e">
        <f>IF(VLOOKUP(O42,#REF!,15)="","",VLOOKUP(O42,#REF!,15))</f>
        <v>#REF!</v>
      </c>
      <c r="R48" s="36" t="e">
        <f>IF(VLOOKUP(O42,#REF!,22)="","",VLOOKUP(O42,#REF!,22))</f>
        <v>#REF!</v>
      </c>
      <c r="S48" s="36" t="e">
        <f>IF(VLOOKUP(O42,#REF!,29)="","",VLOOKUP(O42,#REF!,29))</f>
        <v>#REF!</v>
      </c>
      <c r="T48" s="38" t="e">
        <f>IF(VLOOKUP(O42,#REF!,36)="","",VLOOKUP(O42,#REF!,36))</f>
        <v>#REF!</v>
      </c>
      <c r="V48" s="25">
        <v>5</v>
      </c>
      <c r="W48" s="36" t="e">
        <f>IF(VLOOKUP(V42,#REF!,8)="","",VLOOKUP(V42,#REF!,8))</f>
        <v>#REF!</v>
      </c>
      <c r="X48" s="36" t="e">
        <f>IF(VLOOKUP(V42,#REF!,15)="","",VLOOKUP(V42,#REF!,15))</f>
        <v>#REF!</v>
      </c>
      <c r="Y48" s="36" t="e">
        <f>IF(VLOOKUP(V42,#REF!,22)="","",VLOOKUP(V42,#REF!,22))</f>
        <v>#REF!</v>
      </c>
      <c r="Z48" s="36" t="e">
        <f>IF(VLOOKUP(V42,#REF!,29)="","",VLOOKUP(V42,#REF!,29))</f>
        <v>#REF!</v>
      </c>
      <c r="AA48" s="38" t="e">
        <f>IF(VLOOKUP(V42,#REF!,36)="","",VLOOKUP(V42,#REF!,36))</f>
        <v>#REF!</v>
      </c>
    </row>
    <row r="49" spans="1:27" ht="27.9" customHeight="1" thickBot="1" x14ac:dyDescent="0.25">
      <c r="A49" s="26">
        <v>6</v>
      </c>
      <c r="B49" s="35" t="e">
        <f>IF(VLOOKUP(A42,#REF!,9)="","",VLOOKUP(A42,#REF!,9))</f>
        <v>#REF!</v>
      </c>
      <c r="C49" s="35" t="e">
        <f>IF(VLOOKUP(A42,#REF!,16)="","",VLOOKUP(A42,#REF!,16))</f>
        <v>#REF!</v>
      </c>
      <c r="D49" s="35" t="e">
        <f>IF(VLOOKUP(A42,#REF!,23)="","",VLOOKUP(A42,#REF!,23))</f>
        <v>#REF!</v>
      </c>
      <c r="E49" s="35" t="e">
        <f>IF(VLOOKUP(A42,#REF!,30)="","",VLOOKUP(A42,#REF!,30))</f>
        <v>#REF!</v>
      </c>
      <c r="F49" s="39" t="e">
        <f>IF(VLOOKUP(A42,#REF!,37)="","",VLOOKUP(A42,#REF!,37))</f>
        <v>#REF!</v>
      </c>
      <c r="H49" s="26">
        <v>6</v>
      </c>
      <c r="I49" s="35" t="e">
        <f>IF(VLOOKUP(H42,#REF!,9)="","",VLOOKUP(H42,#REF!,9))</f>
        <v>#REF!</v>
      </c>
      <c r="J49" s="35" t="e">
        <f>IF(VLOOKUP(H42,#REF!,16)="","",VLOOKUP(H42,#REF!,16))</f>
        <v>#REF!</v>
      </c>
      <c r="K49" s="35" t="e">
        <f>IF(VLOOKUP(H42,#REF!,23)="","",VLOOKUP(H42,#REF!,23))</f>
        <v>#REF!</v>
      </c>
      <c r="L49" s="35" t="e">
        <f>IF(VLOOKUP(H42,#REF!,30)="","",VLOOKUP(H42,#REF!,30))</f>
        <v>#REF!</v>
      </c>
      <c r="M49" s="39" t="e">
        <f>IF(VLOOKUP(H42,#REF!,37)="","",VLOOKUP(H42,#REF!,37))</f>
        <v>#REF!</v>
      </c>
      <c r="O49" s="26">
        <v>6</v>
      </c>
      <c r="P49" s="35" t="e">
        <f>IF(VLOOKUP(O42,#REF!,9)="","",VLOOKUP(O42,#REF!,9))</f>
        <v>#REF!</v>
      </c>
      <c r="Q49" s="35" t="e">
        <f>IF(VLOOKUP(O42,#REF!,16)="","",VLOOKUP(O42,#REF!,16))</f>
        <v>#REF!</v>
      </c>
      <c r="R49" s="35" t="e">
        <f>IF(VLOOKUP(O42,#REF!,23)="","",VLOOKUP(O42,#REF!,23))</f>
        <v>#REF!</v>
      </c>
      <c r="S49" s="35" t="e">
        <f>IF(VLOOKUP(O42,#REF!,30)="","",VLOOKUP(O42,#REF!,30))</f>
        <v>#REF!</v>
      </c>
      <c r="T49" s="39" t="e">
        <f>IF(VLOOKUP(O42,#REF!,37)="","",VLOOKUP(O42,#REF!,37))</f>
        <v>#REF!</v>
      </c>
      <c r="V49" s="26">
        <v>6</v>
      </c>
      <c r="W49" s="35" t="e">
        <f>IF(VLOOKUP(V42,#REF!,9)="","",VLOOKUP(V42,#REF!,9))</f>
        <v>#REF!</v>
      </c>
      <c r="X49" s="35" t="e">
        <f>IF(VLOOKUP(V42,#REF!,16)="","",VLOOKUP(V42,#REF!,16))</f>
        <v>#REF!</v>
      </c>
      <c r="Y49" s="35" t="e">
        <f>IF(VLOOKUP(V42,#REF!,23)="","",VLOOKUP(V42,#REF!,23))</f>
        <v>#REF!</v>
      </c>
      <c r="Z49" s="35" t="e">
        <f>IF(VLOOKUP(V42,#REF!,30)="","",VLOOKUP(V42,#REF!,30))</f>
        <v>#REF!</v>
      </c>
      <c r="AA49" s="39" t="e">
        <f>IF(VLOOKUP(V42,#REF!,37)="","",VLOOKUP(V42,#REF!,37))</f>
        <v>#REF!</v>
      </c>
    </row>
    <row r="51" spans="1:27" ht="27" customHeight="1" x14ac:dyDescent="0.3">
      <c r="A51" s="40" t="e">
        <f>IF(#REF!="","",#REF!)</f>
        <v>#REF!</v>
      </c>
      <c r="D51" t="s">
        <v>23</v>
      </c>
      <c r="H51" s="40" t="e">
        <f>IF(#REF!="","",#REF!)</f>
        <v>#REF!</v>
      </c>
      <c r="K51" t="s">
        <v>23</v>
      </c>
      <c r="O51" s="40" t="e">
        <f>IF(#REF!="","",#REF!)</f>
        <v>#REF!</v>
      </c>
      <c r="R51" t="s">
        <v>23</v>
      </c>
      <c r="V51" s="40" t="e">
        <f>IF(#REF!="","",#REF!)</f>
        <v>#REF!</v>
      </c>
      <c r="Y51" t="s">
        <v>23</v>
      </c>
    </row>
    <row r="52" spans="1:27" ht="17" thickBot="1" x14ac:dyDescent="0.25">
      <c r="A52" s="30">
        <v>21</v>
      </c>
      <c r="H52" s="30">
        <v>22</v>
      </c>
      <c r="O52" s="30">
        <v>23</v>
      </c>
      <c r="V52" s="30">
        <v>24</v>
      </c>
    </row>
    <row r="53" spans="1:27" s="23" customFormat="1" ht="27.9" customHeight="1" x14ac:dyDescent="0.25">
      <c r="A53" s="24"/>
      <c r="B53" s="7" t="s">
        <v>11</v>
      </c>
      <c r="C53" s="7" t="s">
        <v>3</v>
      </c>
      <c r="D53" s="7" t="s">
        <v>5</v>
      </c>
      <c r="E53" s="7" t="s">
        <v>7</v>
      </c>
      <c r="F53" s="9" t="s">
        <v>9</v>
      </c>
      <c r="H53" s="24"/>
      <c r="I53" s="7" t="s">
        <v>11</v>
      </c>
      <c r="J53" s="7" t="s">
        <v>3</v>
      </c>
      <c r="K53" s="7" t="s">
        <v>5</v>
      </c>
      <c r="L53" s="7" t="s">
        <v>7</v>
      </c>
      <c r="M53" s="9" t="s">
        <v>9</v>
      </c>
      <c r="O53" s="24"/>
      <c r="P53" s="7" t="s">
        <v>11</v>
      </c>
      <c r="Q53" s="7" t="s">
        <v>3</v>
      </c>
      <c r="R53" s="7" t="s">
        <v>5</v>
      </c>
      <c r="S53" s="7" t="s">
        <v>7</v>
      </c>
      <c r="T53" s="9" t="s">
        <v>9</v>
      </c>
      <c r="V53" s="24"/>
      <c r="W53" s="7" t="s">
        <v>11</v>
      </c>
      <c r="X53" s="7" t="s">
        <v>3</v>
      </c>
      <c r="Y53" s="7" t="s">
        <v>5</v>
      </c>
      <c r="Z53" s="7" t="s">
        <v>7</v>
      </c>
      <c r="AA53" s="9" t="s">
        <v>9</v>
      </c>
    </row>
    <row r="54" spans="1:27" ht="27.9" customHeight="1" x14ac:dyDescent="0.2">
      <c r="A54" s="25">
        <v>1</v>
      </c>
      <c r="B54" s="36" t="e">
        <f>IF(VLOOKUP(A52,#REF!,4)="","",VLOOKUP(A52,#REF!,4))</f>
        <v>#REF!</v>
      </c>
      <c r="C54" s="36" t="e">
        <f>IF(VLOOKUP(A52,#REF!,11)="","",VLOOKUP(A52,#REF!,11))</f>
        <v>#REF!</v>
      </c>
      <c r="D54" s="36" t="e">
        <f>IF(VLOOKUP(A52,#REF!,18)="","",VLOOKUP(A52,#REF!,18))</f>
        <v>#REF!</v>
      </c>
      <c r="E54" s="36" t="e">
        <f>IF(VLOOKUP(A52,#REF!,25)="","",VLOOKUP(A52,#REF!,25))</f>
        <v>#REF!</v>
      </c>
      <c r="F54" s="38" t="e">
        <f>IF(VLOOKUP(A52,#REF!,32)="","",VLOOKUP(A52,#REF!,32))</f>
        <v>#REF!</v>
      </c>
      <c r="H54" s="25">
        <v>1</v>
      </c>
      <c r="I54" s="36" t="e">
        <f>IF(VLOOKUP(H52,#REF!,4)="","",VLOOKUP(H52,#REF!,4))</f>
        <v>#REF!</v>
      </c>
      <c r="J54" s="36" t="e">
        <f>IF(VLOOKUP(H52,#REF!,11)="","",VLOOKUP(H52,#REF!,11))</f>
        <v>#REF!</v>
      </c>
      <c r="K54" s="36" t="e">
        <f>IF(VLOOKUP(H52,#REF!,18)="","",VLOOKUP(H52,#REF!,18))</f>
        <v>#REF!</v>
      </c>
      <c r="L54" s="36" t="e">
        <f>IF(VLOOKUP(H52,#REF!,25)="","",VLOOKUP(H52,#REF!,25))</f>
        <v>#REF!</v>
      </c>
      <c r="M54" s="38" t="e">
        <f>IF(VLOOKUP(H52,#REF!,32)="","",VLOOKUP(H52,#REF!,32))</f>
        <v>#REF!</v>
      </c>
      <c r="O54" s="25">
        <v>1</v>
      </c>
      <c r="P54" s="36" t="e">
        <f>IF(VLOOKUP(O52,#REF!,4)="","",VLOOKUP(O52,#REF!,4))</f>
        <v>#REF!</v>
      </c>
      <c r="Q54" s="36" t="e">
        <f>IF(VLOOKUP(O52,#REF!,11)="","",VLOOKUP(O52,#REF!,11))</f>
        <v>#REF!</v>
      </c>
      <c r="R54" s="36" t="e">
        <f>IF(VLOOKUP(O52,#REF!,18)="","",VLOOKUP(O52,#REF!,18))</f>
        <v>#REF!</v>
      </c>
      <c r="S54" s="36" t="e">
        <f>IF(VLOOKUP(O52,#REF!,25)="","",VLOOKUP(O52,#REF!,25))</f>
        <v>#REF!</v>
      </c>
      <c r="T54" s="38" t="e">
        <f>IF(VLOOKUP(O52,#REF!,32)="","",VLOOKUP(O52,#REF!,32))</f>
        <v>#REF!</v>
      </c>
      <c r="V54" s="25">
        <v>1</v>
      </c>
      <c r="W54" s="36" t="e">
        <f>IF(VLOOKUP(V52,#REF!,4)="","",VLOOKUP(V52,#REF!,4))</f>
        <v>#REF!</v>
      </c>
      <c r="X54" s="36" t="e">
        <f>IF(VLOOKUP(V52,#REF!,11)="","",VLOOKUP(V52,#REF!,11))</f>
        <v>#REF!</v>
      </c>
      <c r="Y54" s="36" t="e">
        <f>IF(VLOOKUP(V52,#REF!,18)="","",VLOOKUP(V52,#REF!,18))</f>
        <v>#REF!</v>
      </c>
      <c r="Z54" s="36" t="e">
        <f>IF(VLOOKUP(V52,#REF!,25)="","",VLOOKUP(V52,#REF!,25))</f>
        <v>#REF!</v>
      </c>
      <c r="AA54" s="38" t="e">
        <f>IF(VLOOKUP(V52,#REF!,32)="","",VLOOKUP(V52,#REF!,32))</f>
        <v>#REF!</v>
      </c>
    </row>
    <row r="55" spans="1:27" ht="27.9" customHeight="1" x14ac:dyDescent="0.2">
      <c r="A55" s="25">
        <v>2</v>
      </c>
      <c r="B55" s="36" t="e">
        <f>IF(VLOOKUP(A52,#REF!,5)="","",VLOOKUP(A52,#REF!,5))</f>
        <v>#REF!</v>
      </c>
      <c r="C55" s="36" t="e">
        <f>IF(VLOOKUP(A52,#REF!,12)="","",VLOOKUP(A52,#REF!,12))</f>
        <v>#REF!</v>
      </c>
      <c r="D55" s="36" t="e">
        <f>IF(VLOOKUP(A52,#REF!,19)="","",VLOOKUP(A52,#REF!,19))</f>
        <v>#REF!</v>
      </c>
      <c r="E55" s="36" t="e">
        <f>IF(VLOOKUP(A52,#REF!,26)="","",VLOOKUP(A52,#REF!,26))</f>
        <v>#REF!</v>
      </c>
      <c r="F55" s="38" t="e">
        <f>IF(VLOOKUP(A52,#REF!,33)="","",VLOOKUP(A52,#REF!,33))</f>
        <v>#REF!</v>
      </c>
      <c r="H55" s="25">
        <v>2</v>
      </c>
      <c r="I55" s="36" t="e">
        <f>IF(VLOOKUP(H52,#REF!,5)="","",VLOOKUP(H52,#REF!,5))</f>
        <v>#REF!</v>
      </c>
      <c r="J55" s="36" t="e">
        <f>IF(VLOOKUP(H52,#REF!,12)="","",VLOOKUP(H52,#REF!,12))</f>
        <v>#REF!</v>
      </c>
      <c r="K55" s="36" t="e">
        <f>IF(VLOOKUP(H52,#REF!,19)="","",VLOOKUP(H52,#REF!,19))</f>
        <v>#REF!</v>
      </c>
      <c r="L55" s="36" t="e">
        <f>IF(VLOOKUP(H52,#REF!,26)="","",VLOOKUP(H52,#REF!,26))</f>
        <v>#REF!</v>
      </c>
      <c r="M55" s="38" t="e">
        <f>IF(VLOOKUP(H52,#REF!,33)="","",VLOOKUP(H52,#REF!,33))</f>
        <v>#REF!</v>
      </c>
      <c r="O55" s="25">
        <v>2</v>
      </c>
      <c r="P55" s="36" t="e">
        <f>IF(VLOOKUP(O52,#REF!,5)="","",VLOOKUP(O52,#REF!,5))</f>
        <v>#REF!</v>
      </c>
      <c r="Q55" s="36" t="e">
        <f>IF(VLOOKUP(O52,#REF!,12)="","",VLOOKUP(O52,#REF!,12))</f>
        <v>#REF!</v>
      </c>
      <c r="R55" s="36" t="e">
        <f>IF(VLOOKUP(O52,#REF!,19)="","",VLOOKUP(O52,#REF!,19))</f>
        <v>#REF!</v>
      </c>
      <c r="S55" s="36" t="e">
        <f>IF(VLOOKUP(O52,#REF!,26)="","",VLOOKUP(O52,#REF!,26))</f>
        <v>#REF!</v>
      </c>
      <c r="T55" s="38" t="e">
        <f>IF(VLOOKUP(O52,#REF!,33)="","",VLOOKUP(O52,#REF!,33))</f>
        <v>#REF!</v>
      </c>
      <c r="V55" s="25">
        <v>2</v>
      </c>
      <c r="W55" s="36" t="e">
        <f>IF(VLOOKUP(V52,#REF!,5)="","",VLOOKUP(V52,#REF!,5))</f>
        <v>#REF!</v>
      </c>
      <c r="X55" s="36" t="e">
        <f>IF(VLOOKUP(V52,#REF!,12)="","",VLOOKUP(V52,#REF!,12))</f>
        <v>#REF!</v>
      </c>
      <c r="Y55" s="36" t="e">
        <f>IF(VLOOKUP(V52,#REF!,19)="","",VLOOKUP(V52,#REF!,19))</f>
        <v>#REF!</v>
      </c>
      <c r="Z55" s="36" t="e">
        <f>IF(VLOOKUP(V52,#REF!,26)="","",VLOOKUP(V52,#REF!,26))</f>
        <v>#REF!</v>
      </c>
      <c r="AA55" s="38" t="e">
        <f>IF(VLOOKUP(V52,#REF!,33)="","",VLOOKUP(V52,#REF!,33))</f>
        <v>#REF!</v>
      </c>
    </row>
    <row r="56" spans="1:27" ht="27.9" customHeight="1" x14ac:dyDescent="0.2">
      <c r="A56" s="25">
        <v>3</v>
      </c>
      <c r="B56" s="36" t="e">
        <f>IF(VLOOKUP(A52,#REF!,6)="","",VLOOKUP(A52,#REF!,6))</f>
        <v>#REF!</v>
      </c>
      <c r="C56" s="36" t="e">
        <f>IF(VLOOKUP(A52,#REF!,13)="","",VLOOKUP(A52,#REF!,13))</f>
        <v>#REF!</v>
      </c>
      <c r="D56" s="36" t="e">
        <f>IF(VLOOKUP(A52,#REF!,20)="","",VLOOKUP(A52,#REF!,20))</f>
        <v>#REF!</v>
      </c>
      <c r="E56" s="36" t="e">
        <f>IF(VLOOKUP(A52,#REF!,27)="","",VLOOKUP(A52,#REF!,27))</f>
        <v>#REF!</v>
      </c>
      <c r="F56" s="38" t="e">
        <f>IF(VLOOKUP(A52,#REF!,34)="","",VLOOKUP(A52,#REF!,34))</f>
        <v>#REF!</v>
      </c>
      <c r="H56" s="25">
        <v>3</v>
      </c>
      <c r="I56" s="36" t="e">
        <f>IF(VLOOKUP(H52,#REF!,6)="","",VLOOKUP(H52,#REF!,6))</f>
        <v>#REF!</v>
      </c>
      <c r="J56" s="36" t="e">
        <f>IF(VLOOKUP(H52,#REF!,13)="","",VLOOKUP(H52,#REF!,13))</f>
        <v>#REF!</v>
      </c>
      <c r="K56" s="36" t="e">
        <f>IF(VLOOKUP(H52,#REF!,20)="","",VLOOKUP(H52,#REF!,20))</f>
        <v>#REF!</v>
      </c>
      <c r="L56" s="36" t="e">
        <f>IF(VLOOKUP(H52,#REF!,27)="","",VLOOKUP(H52,#REF!,27))</f>
        <v>#REF!</v>
      </c>
      <c r="M56" s="38" t="e">
        <f>IF(VLOOKUP(H52,#REF!,34)="","",VLOOKUP(H52,#REF!,34))</f>
        <v>#REF!</v>
      </c>
      <c r="O56" s="25">
        <v>3</v>
      </c>
      <c r="P56" s="36" t="e">
        <f>IF(VLOOKUP(O52,#REF!,6)="","",VLOOKUP(O52,#REF!,6))</f>
        <v>#REF!</v>
      </c>
      <c r="Q56" s="36" t="e">
        <f>IF(VLOOKUP(O52,#REF!,13)="","",VLOOKUP(O52,#REF!,13))</f>
        <v>#REF!</v>
      </c>
      <c r="R56" s="36" t="e">
        <f>IF(VLOOKUP(O52,#REF!,20)="","",VLOOKUP(O52,#REF!,20))</f>
        <v>#REF!</v>
      </c>
      <c r="S56" s="36" t="e">
        <f>IF(VLOOKUP(O52,#REF!,27)="","",VLOOKUP(O52,#REF!,27))</f>
        <v>#REF!</v>
      </c>
      <c r="T56" s="38" t="e">
        <f>IF(VLOOKUP(O52,#REF!,34)="","",VLOOKUP(O52,#REF!,34))</f>
        <v>#REF!</v>
      </c>
      <c r="V56" s="25">
        <v>3</v>
      </c>
      <c r="W56" s="36" t="e">
        <f>IF(VLOOKUP(V52,#REF!,6)="","",VLOOKUP(V52,#REF!,6))</f>
        <v>#REF!</v>
      </c>
      <c r="X56" s="36" t="e">
        <f>IF(VLOOKUP(V52,#REF!,13)="","",VLOOKUP(V52,#REF!,13))</f>
        <v>#REF!</v>
      </c>
      <c r="Y56" s="36" t="e">
        <f>IF(VLOOKUP(V52,#REF!,20)="","",VLOOKUP(V52,#REF!,20))</f>
        <v>#REF!</v>
      </c>
      <c r="Z56" s="36" t="e">
        <f>IF(VLOOKUP(V52,#REF!,27)="","",VLOOKUP(V52,#REF!,27))</f>
        <v>#REF!</v>
      </c>
      <c r="AA56" s="38" t="e">
        <f>IF(VLOOKUP(V52,#REF!,34)="","",VLOOKUP(V52,#REF!,34))</f>
        <v>#REF!</v>
      </c>
    </row>
    <row r="57" spans="1:27" ht="27.9" customHeight="1" x14ac:dyDescent="0.2">
      <c r="A57" s="25">
        <v>4</v>
      </c>
      <c r="B57" s="36" t="e">
        <f>IF(VLOOKUP(A52,#REF!,7)="","",VLOOKUP(A52,#REF!,7))</f>
        <v>#REF!</v>
      </c>
      <c r="C57" s="36" t="e">
        <f>IF(VLOOKUP(A52,#REF!,14)="","",VLOOKUP(A52,#REF!,14))</f>
        <v>#REF!</v>
      </c>
      <c r="D57" s="36" t="e">
        <f>IF(VLOOKUP(A52,#REF!,21)="","",VLOOKUP(A52,#REF!,21))</f>
        <v>#REF!</v>
      </c>
      <c r="E57" s="36" t="e">
        <f>IF(VLOOKUP(A52,#REF!,28)="","",VLOOKUP(A52,#REF!,28))</f>
        <v>#REF!</v>
      </c>
      <c r="F57" s="38" t="e">
        <f>IF(VLOOKUP(A52,#REF!,35)="","",VLOOKUP(A52,#REF!,35))</f>
        <v>#REF!</v>
      </c>
      <c r="H57" s="25">
        <v>4</v>
      </c>
      <c r="I57" s="36" t="e">
        <f>IF(VLOOKUP(H52,#REF!,7)="","",VLOOKUP(H52,#REF!,7))</f>
        <v>#REF!</v>
      </c>
      <c r="J57" s="36" t="e">
        <f>IF(VLOOKUP(H52,#REF!,14)="","",VLOOKUP(H52,#REF!,14))</f>
        <v>#REF!</v>
      </c>
      <c r="K57" s="36" t="e">
        <f>IF(VLOOKUP(H52,#REF!,21)="","",VLOOKUP(H52,#REF!,21))</f>
        <v>#REF!</v>
      </c>
      <c r="L57" s="36" t="e">
        <f>IF(VLOOKUP(H52,#REF!,28)="","",VLOOKUP(H52,#REF!,28))</f>
        <v>#REF!</v>
      </c>
      <c r="M57" s="38" t="e">
        <f>IF(VLOOKUP(H52,#REF!,35)="","",VLOOKUP(H52,#REF!,35))</f>
        <v>#REF!</v>
      </c>
      <c r="O57" s="25">
        <v>4</v>
      </c>
      <c r="P57" s="36" t="e">
        <f>IF(VLOOKUP(O52,#REF!,7)="","",VLOOKUP(O52,#REF!,7))</f>
        <v>#REF!</v>
      </c>
      <c r="Q57" s="36" t="e">
        <f>IF(VLOOKUP(O52,#REF!,14)="","",VLOOKUP(O52,#REF!,14))</f>
        <v>#REF!</v>
      </c>
      <c r="R57" s="36" t="e">
        <f>IF(VLOOKUP(O52,#REF!,21)="","",VLOOKUP(O52,#REF!,21))</f>
        <v>#REF!</v>
      </c>
      <c r="S57" s="36" t="e">
        <f>IF(VLOOKUP(O52,#REF!,28)="","",VLOOKUP(O52,#REF!,28))</f>
        <v>#REF!</v>
      </c>
      <c r="T57" s="38" t="e">
        <f>IF(VLOOKUP(O52,#REF!,35)="","",VLOOKUP(O52,#REF!,35))</f>
        <v>#REF!</v>
      </c>
      <c r="V57" s="25">
        <v>4</v>
      </c>
      <c r="W57" s="36" t="e">
        <f>IF(VLOOKUP(V52,#REF!,7)="","",VLOOKUP(V52,#REF!,7))</f>
        <v>#REF!</v>
      </c>
      <c r="X57" s="36" t="e">
        <f>IF(VLOOKUP(V52,#REF!,14)="","",VLOOKUP(V52,#REF!,14))</f>
        <v>#REF!</v>
      </c>
      <c r="Y57" s="36" t="e">
        <f>IF(VLOOKUP(V52,#REF!,21)="","",VLOOKUP(V52,#REF!,21))</f>
        <v>#REF!</v>
      </c>
      <c r="Z57" s="36" t="e">
        <f>IF(VLOOKUP(V52,#REF!,28)="","",VLOOKUP(V52,#REF!,28))</f>
        <v>#REF!</v>
      </c>
      <c r="AA57" s="38" t="e">
        <f>IF(VLOOKUP(V52,#REF!,35)="","",VLOOKUP(V52,#REF!,35))</f>
        <v>#REF!</v>
      </c>
    </row>
    <row r="58" spans="1:27" ht="27.9" customHeight="1" x14ac:dyDescent="0.2">
      <c r="A58" s="25">
        <v>5</v>
      </c>
      <c r="B58" s="36" t="e">
        <f>IF(VLOOKUP(A52,#REF!,8)="","",VLOOKUP(A52,#REF!,8))</f>
        <v>#REF!</v>
      </c>
      <c r="C58" s="36" t="e">
        <f>IF(VLOOKUP(A52,#REF!,15)="","",VLOOKUP(A52,#REF!,15))</f>
        <v>#REF!</v>
      </c>
      <c r="D58" s="36" t="e">
        <f>IF(VLOOKUP(A52,#REF!,22)="","",VLOOKUP(A52,#REF!,22))</f>
        <v>#REF!</v>
      </c>
      <c r="E58" s="36" t="e">
        <f>IF(VLOOKUP(A52,#REF!,29)="","",VLOOKUP(A52,#REF!,29))</f>
        <v>#REF!</v>
      </c>
      <c r="F58" s="38" t="e">
        <f>IF(VLOOKUP(A52,#REF!,36)="","",VLOOKUP(A52,#REF!,36))</f>
        <v>#REF!</v>
      </c>
      <c r="H58" s="25">
        <v>5</v>
      </c>
      <c r="I58" s="36" t="e">
        <f>IF(VLOOKUP(H52,#REF!,8)="","",VLOOKUP(H52,#REF!,8))</f>
        <v>#REF!</v>
      </c>
      <c r="J58" s="36" t="e">
        <f>IF(VLOOKUP(H52,#REF!,15)="","",VLOOKUP(H52,#REF!,15))</f>
        <v>#REF!</v>
      </c>
      <c r="K58" s="36" t="e">
        <f>IF(VLOOKUP(H52,#REF!,22)="","",VLOOKUP(H52,#REF!,22))</f>
        <v>#REF!</v>
      </c>
      <c r="L58" s="36" t="e">
        <f>IF(VLOOKUP(H52,#REF!,29)="","",VLOOKUP(H52,#REF!,29))</f>
        <v>#REF!</v>
      </c>
      <c r="M58" s="38" t="e">
        <f>IF(VLOOKUP(H52,#REF!,36)="","",VLOOKUP(H52,#REF!,36))</f>
        <v>#REF!</v>
      </c>
      <c r="O58" s="25">
        <v>5</v>
      </c>
      <c r="P58" s="36" t="e">
        <f>IF(VLOOKUP(O52,#REF!,8)="","",VLOOKUP(O52,#REF!,8))</f>
        <v>#REF!</v>
      </c>
      <c r="Q58" s="36" t="e">
        <f>IF(VLOOKUP(O52,#REF!,15)="","",VLOOKUP(O52,#REF!,15))</f>
        <v>#REF!</v>
      </c>
      <c r="R58" s="36" t="e">
        <f>IF(VLOOKUP(O52,#REF!,22)="","",VLOOKUP(O52,#REF!,22))</f>
        <v>#REF!</v>
      </c>
      <c r="S58" s="36" t="e">
        <f>IF(VLOOKUP(O52,#REF!,29)="","",VLOOKUP(O52,#REF!,29))</f>
        <v>#REF!</v>
      </c>
      <c r="T58" s="38" t="e">
        <f>IF(VLOOKUP(O52,#REF!,36)="","",VLOOKUP(O52,#REF!,36))</f>
        <v>#REF!</v>
      </c>
      <c r="V58" s="25">
        <v>5</v>
      </c>
      <c r="W58" s="36" t="e">
        <f>IF(VLOOKUP(V52,#REF!,8)="","",VLOOKUP(V52,#REF!,8))</f>
        <v>#REF!</v>
      </c>
      <c r="X58" s="36" t="e">
        <f>IF(VLOOKUP(V52,#REF!,15)="","",VLOOKUP(V52,#REF!,15))</f>
        <v>#REF!</v>
      </c>
      <c r="Y58" s="36" t="e">
        <f>IF(VLOOKUP(V52,#REF!,22)="","",VLOOKUP(V52,#REF!,22))</f>
        <v>#REF!</v>
      </c>
      <c r="Z58" s="36" t="e">
        <f>IF(VLOOKUP(V52,#REF!,29)="","",VLOOKUP(V52,#REF!,29))</f>
        <v>#REF!</v>
      </c>
      <c r="AA58" s="38" t="e">
        <f>IF(VLOOKUP(V52,#REF!,36)="","",VLOOKUP(V52,#REF!,36))</f>
        <v>#REF!</v>
      </c>
    </row>
    <row r="59" spans="1:27" ht="27.9" customHeight="1" thickBot="1" x14ac:dyDescent="0.25">
      <c r="A59" s="26">
        <v>6</v>
      </c>
      <c r="B59" s="35" t="e">
        <f>IF(VLOOKUP(A52,#REF!,9)="","",VLOOKUP(A52,#REF!,9))</f>
        <v>#REF!</v>
      </c>
      <c r="C59" s="35" t="e">
        <f>IF(VLOOKUP(A52,#REF!,16)="","",VLOOKUP(A52,#REF!,16))</f>
        <v>#REF!</v>
      </c>
      <c r="D59" s="35" t="e">
        <f>IF(VLOOKUP(A52,#REF!,23)="","",VLOOKUP(A52,#REF!,23))</f>
        <v>#REF!</v>
      </c>
      <c r="E59" s="35" t="e">
        <f>IF(VLOOKUP(A52,#REF!,30)="","",VLOOKUP(A52,#REF!,30))</f>
        <v>#REF!</v>
      </c>
      <c r="F59" s="39" t="e">
        <f>IF(VLOOKUP(A52,#REF!,37)="","",VLOOKUP(A52,#REF!,37))</f>
        <v>#REF!</v>
      </c>
      <c r="H59" s="26">
        <v>6</v>
      </c>
      <c r="I59" s="35" t="e">
        <f>IF(VLOOKUP(H52,#REF!,9)="","",VLOOKUP(H52,#REF!,9))</f>
        <v>#REF!</v>
      </c>
      <c r="J59" s="35" t="e">
        <f>IF(VLOOKUP(H52,#REF!,16)="","",VLOOKUP(H52,#REF!,16))</f>
        <v>#REF!</v>
      </c>
      <c r="K59" s="35" t="e">
        <f>IF(VLOOKUP(H52,#REF!,23)="","",VLOOKUP(H52,#REF!,23))</f>
        <v>#REF!</v>
      </c>
      <c r="L59" s="35" t="e">
        <f>IF(VLOOKUP(H52,#REF!,30)="","",VLOOKUP(H52,#REF!,30))</f>
        <v>#REF!</v>
      </c>
      <c r="M59" s="39" t="e">
        <f>IF(VLOOKUP(H52,#REF!,37)="","",VLOOKUP(H52,#REF!,37))</f>
        <v>#REF!</v>
      </c>
      <c r="O59" s="26">
        <v>6</v>
      </c>
      <c r="P59" s="35" t="e">
        <f>IF(VLOOKUP(O52,#REF!,9)="","",VLOOKUP(O52,#REF!,9))</f>
        <v>#REF!</v>
      </c>
      <c r="Q59" s="35" t="e">
        <f>IF(VLOOKUP(O52,#REF!,16)="","",VLOOKUP(O52,#REF!,16))</f>
        <v>#REF!</v>
      </c>
      <c r="R59" s="35" t="e">
        <f>IF(VLOOKUP(O52,#REF!,23)="","",VLOOKUP(O52,#REF!,23))</f>
        <v>#REF!</v>
      </c>
      <c r="S59" s="35" t="e">
        <f>IF(VLOOKUP(O52,#REF!,30)="","",VLOOKUP(O52,#REF!,30))</f>
        <v>#REF!</v>
      </c>
      <c r="T59" s="39" t="e">
        <f>IF(VLOOKUP(O52,#REF!,37)="","",VLOOKUP(O52,#REF!,37))</f>
        <v>#REF!</v>
      </c>
      <c r="V59" s="26">
        <v>6</v>
      </c>
      <c r="W59" s="35" t="e">
        <f>IF(VLOOKUP(V52,#REF!,9)="","",VLOOKUP(V52,#REF!,9))</f>
        <v>#REF!</v>
      </c>
      <c r="X59" s="35" t="e">
        <f>IF(VLOOKUP(V52,#REF!,16)="","",VLOOKUP(V52,#REF!,16))</f>
        <v>#REF!</v>
      </c>
      <c r="Y59" s="35" t="e">
        <f>IF(VLOOKUP(V52,#REF!,23)="","",VLOOKUP(V52,#REF!,23))</f>
        <v>#REF!</v>
      </c>
      <c r="Z59" s="35" t="e">
        <f>IF(VLOOKUP(V52,#REF!,30)="","",VLOOKUP(V52,#REF!,30))</f>
        <v>#REF!</v>
      </c>
      <c r="AA59" s="39" t="e">
        <f>IF(VLOOKUP(V52,#REF!,37)="","",VLOOKUP(V52,#REF!,37))</f>
        <v>#REF!</v>
      </c>
    </row>
    <row r="60" spans="1:27" ht="20.149999999999999" customHeight="1" x14ac:dyDescent="0.2">
      <c r="A60" s="27"/>
      <c r="B60" s="21"/>
      <c r="C60" s="21"/>
      <c r="D60" s="21"/>
      <c r="E60" s="21"/>
      <c r="F60" s="21"/>
      <c r="H60" s="27"/>
      <c r="I60" s="21"/>
      <c r="J60" s="21"/>
      <c r="K60" s="21"/>
      <c r="L60" s="21"/>
      <c r="M60" s="21"/>
      <c r="O60" s="27"/>
      <c r="P60" s="21"/>
      <c r="Q60" s="21"/>
      <c r="R60" s="21"/>
      <c r="S60" s="21"/>
      <c r="T60" s="21"/>
      <c r="V60" s="27"/>
      <c r="W60" s="21"/>
      <c r="X60" s="21"/>
      <c r="Y60" s="21"/>
      <c r="Z60" s="21"/>
      <c r="AA60" s="21"/>
    </row>
    <row r="61" spans="1:27" ht="27" customHeight="1" x14ac:dyDescent="0.3">
      <c r="A61" s="40" t="e">
        <f>IF(#REF!="","",#REF!)</f>
        <v>#REF!</v>
      </c>
      <c r="D61" t="s">
        <v>23</v>
      </c>
      <c r="H61" s="40" t="e">
        <f>IF(#REF!="","",#REF!)</f>
        <v>#REF!</v>
      </c>
      <c r="K61" t="s">
        <v>23</v>
      </c>
      <c r="O61" s="40" t="e">
        <f>IF(#REF!="","",#REF!)</f>
        <v>#REF!</v>
      </c>
      <c r="R61" t="s">
        <v>23</v>
      </c>
      <c r="V61" s="40" t="e">
        <f>IF(#REF!="","",#REF!)</f>
        <v>#REF!</v>
      </c>
      <c r="Y61" t="s">
        <v>23</v>
      </c>
    </row>
    <row r="62" spans="1:27" ht="17" thickBot="1" x14ac:dyDescent="0.25">
      <c r="A62" s="30">
        <v>25</v>
      </c>
      <c r="H62" s="30">
        <v>26</v>
      </c>
      <c r="O62" s="30">
        <v>27</v>
      </c>
      <c r="V62" s="30">
        <v>28</v>
      </c>
    </row>
    <row r="63" spans="1:27" s="23" customFormat="1" ht="27.9" customHeight="1" x14ac:dyDescent="0.25">
      <c r="A63" s="24"/>
      <c r="B63" s="7" t="s">
        <v>11</v>
      </c>
      <c r="C63" s="7" t="s">
        <v>3</v>
      </c>
      <c r="D63" s="7" t="s">
        <v>5</v>
      </c>
      <c r="E63" s="7" t="s">
        <v>7</v>
      </c>
      <c r="F63" s="9" t="s">
        <v>9</v>
      </c>
      <c r="H63" s="24"/>
      <c r="I63" s="7" t="s">
        <v>11</v>
      </c>
      <c r="J63" s="7" t="s">
        <v>3</v>
      </c>
      <c r="K63" s="7" t="s">
        <v>5</v>
      </c>
      <c r="L63" s="7" t="s">
        <v>7</v>
      </c>
      <c r="M63" s="9" t="s">
        <v>9</v>
      </c>
      <c r="O63" s="24"/>
      <c r="P63" s="7" t="s">
        <v>11</v>
      </c>
      <c r="Q63" s="7" t="s">
        <v>3</v>
      </c>
      <c r="R63" s="7" t="s">
        <v>5</v>
      </c>
      <c r="S63" s="7" t="s">
        <v>7</v>
      </c>
      <c r="T63" s="9" t="s">
        <v>9</v>
      </c>
      <c r="V63" s="24"/>
      <c r="W63" s="7" t="s">
        <v>11</v>
      </c>
      <c r="X63" s="7" t="s">
        <v>3</v>
      </c>
      <c r="Y63" s="7" t="s">
        <v>5</v>
      </c>
      <c r="Z63" s="7" t="s">
        <v>7</v>
      </c>
      <c r="AA63" s="9" t="s">
        <v>9</v>
      </c>
    </row>
    <row r="64" spans="1:27" ht="27.9" customHeight="1" x14ac:dyDescent="0.2">
      <c r="A64" s="25">
        <v>1</v>
      </c>
      <c r="B64" s="36" t="e">
        <f>IF(VLOOKUP(A62,#REF!,4)="","",VLOOKUP(A62,#REF!,4))</f>
        <v>#REF!</v>
      </c>
      <c r="C64" s="36" t="e">
        <f>IF(VLOOKUP(A62,#REF!,11)="","",VLOOKUP(A62,#REF!,11))</f>
        <v>#REF!</v>
      </c>
      <c r="D64" s="36" t="e">
        <f>IF(VLOOKUP(A62,#REF!,18)="","",VLOOKUP(A62,#REF!,18))</f>
        <v>#REF!</v>
      </c>
      <c r="E64" s="36" t="e">
        <f>IF(VLOOKUP(A62,#REF!,25)="","",VLOOKUP(A62,#REF!,25))</f>
        <v>#REF!</v>
      </c>
      <c r="F64" s="38" t="e">
        <f>IF(VLOOKUP(A62,#REF!,32)="","",VLOOKUP(A62,#REF!,32))</f>
        <v>#REF!</v>
      </c>
      <c r="H64" s="25">
        <v>1</v>
      </c>
      <c r="I64" s="36" t="e">
        <f>IF(VLOOKUP(H62,#REF!,4)="","",VLOOKUP(H62,#REF!,4))</f>
        <v>#REF!</v>
      </c>
      <c r="J64" s="36" t="e">
        <f>IF(VLOOKUP(H62,#REF!,11)="","",VLOOKUP(H62,#REF!,11))</f>
        <v>#REF!</v>
      </c>
      <c r="K64" s="36" t="e">
        <f>IF(VLOOKUP(H62,#REF!,18)="","",VLOOKUP(H62,#REF!,18))</f>
        <v>#REF!</v>
      </c>
      <c r="L64" s="36" t="e">
        <f>IF(VLOOKUP(H62,#REF!,25)="","",VLOOKUP(H62,#REF!,25))</f>
        <v>#REF!</v>
      </c>
      <c r="M64" s="38" t="e">
        <f>IF(VLOOKUP(H62,#REF!,32)="","",VLOOKUP(H62,#REF!,32))</f>
        <v>#REF!</v>
      </c>
      <c r="O64" s="25">
        <v>1</v>
      </c>
      <c r="P64" s="36" t="e">
        <f>IF(VLOOKUP(O62,#REF!,4)="","",VLOOKUP(O62,#REF!,4))</f>
        <v>#REF!</v>
      </c>
      <c r="Q64" s="36" t="e">
        <f>IF(VLOOKUP(O62,#REF!,11)="","",VLOOKUP(O62,#REF!,11))</f>
        <v>#REF!</v>
      </c>
      <c r="R64" s="36" t="e">
        <f>IF(VLOOKUP(O62,#REF!,18)="","",VLOOKUP(O62,#REF!,18))</f>
        <v>#REF!</v>
      </c>
      <c r="S64" s="36" t="e">
        <f>IF(VLOOKUP(O62,#REF!,25)="","",VLOOKUP(O62,#REF!,25))</f>
        <v>#REF!</v>
      </c>
      <c r="T64" s="38" t="e">
        <f>IF(VLOOKUP(O62,#REF!,32)="","",VLOOKUP(O62,#REF!,32))</f>
        <v>#REF!</v>
      </c>
      <c r="V64" s="25">
        <v>1</v>
      </c>
      <c r="W64" s="36" t="e">
        <f>IF(VLOOKUP(V62,#REF!,4)="","",VLOOKUP(V62,#REF!,4))</f>
        <v>#REF!</v>
      </c>
      <c r="X64" s="36" t="e">
        <f>IF(VLOOKUP(V62,#REF!,11)="","",VLOOKUP(V62,#REF!,11))</f>
        <v>#REF!</v>
      </c>
      <c r="Y64" s="36" t="e">
        <f>IF(VLOOKUP(V62,#REF!,18)="","",VLOOKUP(V62,#REF!,18))</f>
        <v>#REF!</v>
      </c>
      <c r="Z64" s="36" t="e">
        <f>IF(VLOOKUP(V62,#REF!,25)="","",VLOOKUP(V62,#REF!,25))</f>
        <v>#REF!</v>
      </c>
      <c r="AA64" s="38" t="e">
        <f>IF(VLOOKUP(V62,#REF!,32)="","",VLOOKUP(V62,#REF!,32))</f>
        <v>#REF!</v>
      </c>
    </row>
    <row r="65" spans="1:27" ht="27.9" customHeight="1" x14ac:dyDescent="0.2">
      <c r="A65" s="25">
        <v>2</v>
      </c>
      <c r="B65" s="36" t="e">
        <f>IF(VLOOKUP(A62,#REF!,5)="","",VLOOKUP(A62,#REF!,5))</f>
        <v>#REF!</v>
      </c>
      <c r="C65" s="36" t="e">
        <f>IF(VLOOKUP(A62,#REF!,12)="","",VLOOKUP(A62,#REF!,12))</f>
        <v>#REF!</v>
      </c>
      <c r="D65" s="36" t="e">
        <f>IF(VLOOKUP(A62,#REF!,19)="","",VLOOKUP(A62,#REF!,19))</f>
        <v>#REF!</v>
      </c>
      <c r="E65" s="36" t="e">
        <f>IF(VLOOKUP(A62,#REF!,26)="","",VLOOKUP(A62,#REF!,26))</f>
        <v>#REF!</v>
      </c>
      <c r="F65" s="38" t="e">
        <f>IF(VLOOKUP(A62,#REF!,33)="","",VLOOKUP(A62,#REF!,33))</f>
        <v>#REF!</v>
      </c>
      <c r="H65" s="25">
        <v>2</v>
      </c>
      <c r="I65" s="36" t="e">
        <f>IF(VLOOKUP(H62,#REF!,5)="","",VLOOKUP(H62,#REF!,5))</f>
        <v>#REF!</v>
      </c>
      <c r="J65" s="36" t="e">
        <f>IF(VLOOKUP(H62,#REF!,12)="","",VLOOKUP(H62,#REF!,12))</f>
        <v>#REF!</v>
      </c>
      <c r="K65" s="36" t="e">
        <f>IF(VLOOKUP(H62,#REF!,19)="","",VLOOKUP(H62,#REF!,19))</f>
        <v>#REF!</v>
      </c>
      <c r="L65" s="36" t="e">
        <f>IF(VLOOKUP(H62,#REF!,26)="","",VLOOKUP(H62,#REF!,26))</f>
        <v>#REF!</v>
      </c>
      <c r="M65" s="38" t="e">
        <f>IF(VLOOKUP(H62,#REF!,33)="","",VLOOKUP(H62,#REF!,33))</f>
        <v>#REF!</v>
      </c>
      <c r="O65" s="25">
        <v>2</v>
      </c>
      <c r="P65" s="36" t="e">
        <f>IF(VLOOKUP(O62,#REF!,5)="","",VLOOKUP(O62,#REF!,5))</f>
        <v>#REF!</v>
      </c>
      <c r="Q65" s="36" t="e">
        <f>IF(VLOOKUP(O62,#REF!,12)="","",VLOOKUP(O62,#REF!,12))</f>
        <v>#REF!</v>
      </c>
      <c r="R65" s="36" t="e">
        <f>IF(VLOOKUP(O62,#REF!,19)="","",VLOOKUP(O62,#REF!,19))</f>
        <v>#REF!</v>
      </c>
      <c r="S65" s="36" t="e">
        <f>IF(VLOOKUP(O62,#REF!,26)="","",VLOOKUP(O62,#REF!,26))</f>
        <v>#REF!</v>
      </c>
      <c r="T65" s="38" t="e">
        <f>IF(VLOOKUP(O62,#REF!,33)="","",VLOOKUP(O62,#REF!,33))</f>
        <v>#REF!</v>
      </c>
      <c r="V65" s="25">
        <v>2</v>
      </c>
      <c r="W65" s="36" t="e">
        <f>IF(VLOOKUP(V62,#REF!,5)="","",VLOOKUP(V62,#REF!,5))</f>
        <v>#REF!</v>
      </c>
      <c r="X65" s="36" t="e">
        <f>IF(VLOOKUP(V62,#REF!,12)="","",VLOOKUP(V62,#REF!,12))</f>
        <v>#REF!</v>
      </c>
      <c r="Y65" s="36" t="e">
        <f>IF(VLOOKUP(V62,#REF!,19)="","",VLOOKUP(V62,#REF!,19))</f>
        <v>#REF!</v>
      </c>
      <c r="Z65" s="36" t="e">
        <f>IF(VLOOKUP(V62,#REF!,26)="","",VLOOKUP(V62,#REF!,26))</f>
        <v>#REF!</v>
      </c>
      <c r="AA65" s="38" t="e">
        <f>IF(VLOOKUP(V62,#REF!,33)="","",VLOOKUP(V62,#REF!,33))</f>
        <v>#REF!</v>
      </c>
    </row>
    <row r="66" spans="1:27" ht="27.9" customHeight="1" x14ac:dyDescent="0.2">
      <c r="A66" s="25">
        <v>3</v>
      </c>
      <c r="B66" s="36" t="e">
        <f>IF(VLOOKUP(A62,#REF!,6)="","",VLOOKUP(A62,#REF!,6))</f>
        <v>#REF!</v>
      </c>
      <c r="C66" s="36" t="e">
        <f>IF(VLOOKUP(A62,#REF!,13)="","",VLOOKUP(A62,#REF!,13))</f>
        <v>#REF!</v>
      </c>
      <c r="D66" s="36" t="e">
        <f>IF(VLOOKUP(A62,#REF!,20)="","",VLOOKUP(A62,#REF!,20))</f>
        <v>#REF!</v>
      </c>
      <c r="E66" s="36" t="e">
        <f>IF(VLOOKUP(A62,#REF!,27)="","",VLOOKUP(A62,#REF!,27))</f>
        <v>#REF!</v>
      </c>
      <c r="F66" s="38" t="e">
        <f>IF(VLOOKUP(A62,#REF!,34)="","",VLOOKUP(A62,#REF!,34))</f>
        <v>#REF!</v>
      </c>
      <c r="H66" s="25">
        <v>3</v>
      </c>
      <c r="I66" s="36" t="e">
        <f>IF(VLOOKUP(H62,#REF!,6)="","",VLOOKUP(H62,#REF!,6))</f>
        <v>#REF!</v>
      </c>
      <c r="J66" s="36" t="e">
        <f>IF(VLOOKUP(H62,#REF!,13)="","",VLOOKUP(H62,#REF!,13))</f>
        <v>#REF!</v>
      </c>
      <c r="K66" s="36" t="e">
        <f>IF(VLOOKUP(H62,#REF!,20)="","",VLOOKUP(H62,#REF!,20))</f>
        <v>#REF!</v>
      </c>
      <c r="L66" s="36" t="e">
        <f>IF(VLOOKUP(H62,#REF!,27)="","",VLOOKUP(H62,#REF!,27))</f>
        <v>#REF!</v>
      </c>
      <c r="M66" s="38" t="e">
        <f>IF(VLOOKUP(H62,#REF!,34)="","",VLOOKUP(H62,#REF!,34))</f>
        <v>#REF!</v>
      </c>
      <c r="O66" s="25">
        <v>3</v>
      </c>
      <c r="P66" s="36" t="e">
        <f>IF(VLOOKUP(O62,#REF!,6)="","",VLOOKUP(O62,#REF!,6))</f>
        <v>#REF!</v>
      </c>
      <c r="Q66" s="36" t="e">
        <f>IF(VLOOKUP(O62,#REF!,13)="","",VLOOKUP(O62,#REF!,13))</f>
        <v>#REF!</v>
      </c>
      <c r="R66" s="36" t="e">
        <f>IF(VLOOKUP(O62,#REF!,20)="","",VLOOKUP(O62,#REF!,20))</f>
        <v>#REF!</v>
      </c>
      <c r="S66" s="36" t="e">
        <f>IF(VLOOKUP(O62,#REF!,27)="","",VLOOKUP(O62,#REF!,27))</f>
        <v>#REF!</v>
      </c>
      <c r="T66" s="38" t="e">
        <f>IF(VLOOKUP(O62,#REF!,34)="","",VLOOKUP(O62,#REF!,34))</f>
        <v>#REF!</v>
      </c>
      <c r="V66" s="25">
        <v>3</v>
      </c>
      <c r="W66" s="36" t="e">
        <f>IF(VLOOKUP(V62,#REF!,6)="","",VLOOKUP(V62,#REF!,6))</f>
        <v>#REF!</v>
      </c>
      <c r="X66" s="36" t="e">
        <f>IF(VLOOKUP(V62,#REF!,13)="","",VLOOKUP(V62,#REF!,13))</f>
        <v>#REF!</v>
      </c>
      <c r="Y66" s="36" t="e">
        <f>IF(VLOOKUP(V62,#REF!,20)="","",VLOOKUP(V62,#REF!,20))</f>
        <v>#REF!</v>
      </c>
      <c r="Z66" s="36" t="e">
        <f>IF(VLOOKUP(V62,#REF!,27)="","",VLOOKUP(V62,#REF!,27))</f>
        <v>#REF!</v>
      </c>
      <c r="AA66" s="38" t="e">
        <f>IF(VLOOKUP(V62,#REF!,34)="","",VLOOKUP(V62,#REF!,34))</f>
        <v>#REF!</v>
      </c>
    </row>
    <row r="67" spans="1:27" ht="27.9" customHeight="1" x14ac:dyDescent="0.2">
      <c r="A67" s="25">
        <v>4</v>
      </c>
      <c r="B67" s="36" t="e">
        <f>IF(VLOOKUP(A62,#REF!,7)="","",VLOOKUP(A62,#REF!,7))</f>
        <v>#REF!</v>
      </c>
      <c r="C67" s="36" t="e">
        <f>IF(VLOOKUP(A62,#REF!,14)="","",VLOOKUP(A62,#REF!,14))</f>
        <v>#REF!</v>
      </c>
      <c r="D67" s="36" t="e">
        <f>IF(VLOOKUP(A62,#REF!,21)="","",VLOOKUP(A62,#REF!,21))</f>
        <v>#REF!</v>
      </c>
      <c r="E67" s="36" t="e">
        <f>IF(VLOOKUP(A62,#REF!,28)="","",VLOOKUP(A62,#REF!,28))</f>
        <v>#REF!</v>
      </c>
      <c r="F67" s="38" t="e">
        <f>IF(VLOOKUP(A62,#REF!,35)="","",VLOOKUP(A62,#REF!,35))</f>
        <v>#REF!</v>
      </c>
      <c r="H67" s="25">
        <v>4</v>
      </c>
      <c r="I67" s="36" t="e">
        <f>IF(VLOOKUP(H62,#REF!,7)="","",VLOOKUP(H62,#REF!,7))</f>
        <v>#REF!</v>
      </c>
      <c r="J67" s="36" t="e">
        <f>IF(VLOOKUP(H62,#REF!,14)="","",VLOOKUP(H62,#REF!,14))</f>
        <v>#REF!</v>
      </c>
      <c r="K67" s="36" t="e">
        <f>IF(VLOOKUP(H62,#REF!,21)="","",VLOOKUP(H62,#REF!,21))</f>
        <v>#REF!</v>
      </c>
      <c r="L67" s="36" t="e">
        <f>IF(VLOOKUP(H62,#REF!,28)="","",VLOOKUP(H62,#REF!,28))</f>
        <v>#REF!</v>
      </c>
      <c r="M67" s="38" t="e">
        <f>IF(VLOOKUP(H62,#REF!,35)="","",VLOOKUP(H62,#REF!,35))</f>
        <v>#REF!</v>
      </c>
      <c r="O67" s="25">
        <v>4</v>
      </c>
      <c r="P67" s="36" t="e">
        <f>IF(VLOOKUP(O62,#REF!,7)="","",VLOOKUP(O62,#REF!,7))</f>
        <v>#REF!</v>
      </c>
      <c r="Q67" s="36" t="e">
        <f>IF(VLOOKUP(O62,#REF!,14)="","",VLOOKUP(O62,#REF!,14))</f>
        <v>#REF!</v>
      </c>
      <c r="R67" s="36" t="e">
        <f>IF(VLOOKUP(O62,#REF!,21)="","",VLOOKUP(O62,#REF!,21))</f>
        <v>#REF!</v>
      </c>
      <c r="S67" s="36" t="e">
        <f>IF(VLOOKUP(O62,#REF!,28)="","",VLOOKUP(O62,#REF!,28))</f>
        <v>#REF!</v>
      </c>
      <c r="T67" s="38" t="e">
        <f>IF(VLOOKUP(O62,#REF!,35)="","",VLOOKUP(O62,#REF!,35))</f>
        <v>#REF!</v>
      </c>
      <c r="V67" s="25">
        <v>4</v>
      </c>
      <c r="W67" s="36" t="e">
        <f>IF(VLOOKUP(V62,#REF!,7)="","",VLOOKUP(V62,#REF!,7))</f>
        <v>#REF!</v>
      </c>
      <c r="X67" s="36" t="e">
        <f>IF(VLOOKUP(V62,#REF!,14)="","",VLOOKUP(V62,#REF!,14))</f>
        <v>#REF!</v>
      </c>
      <c r="Y67" s="36" t="e">
        <f>IF(VLOOKUP(V62,#REF!,21)="","",VLOOKUP(V62,#REF!,21))</f>
        <v>#REF!</v>
      </c>
      <c r="Z67" s="36" t="e">
        <f>IF(VLOOKUP(V62,#REF!,28)="","",VLOOKUP(V62,#REF!,28))</f>
        <v>#REF!</v>
      </c>
      <c r="AA67" s="38" t="e">
        <f>IF(VLOOKUP(V62,#REF!,35)="","",VLOOKUP(V62,#REF!,35))</f>
        <v>#REF!</v>
      </c>
    </row>
    <row r="68" spans="1:27" ht="27.9" customHeight="1" x14ac:dyDescent="0.2">
      <c r="A68" s="25">
        <v>5</v>
      </c>
      <c r="B68" s="36" t="e">
        <f>IF(VLOOKUP(A62,#REF!,8)="","",VLOOKUP(A62,#REF!,8))</f>
        <v>#REF!</v>
      </c>
      <c r="C68" s="36" t="e">
        <f>IF(VLOOKUP(A62,#REF!,15)="","",VLOOKUP(A62,#REF!,15))</f>
        <v>#REF!</v>
      </c>
      <c r="D68" s="36" t="e">
        <f>IF(VLOOKUP(A62,#REF!,22)="","",VLOOKUP(A62,#REF!,22))</f>
        <v>#REF!</v>
      </c>
      <c r="E68" s="36" t="e">
        <f>IF(VLOOKUP(A62,#REF!,29)="","",VLOOKUP(A62,#REF!,29))</f>
        <v>#REF!</v>
      </c>
      <c r="F68" s="38" t="e">
        <f>IF(VLOOKUP(A62,#REF!,36)="","",VLOOKUP(A62,#REF!,36))</f>
        <v>#REF!</v>
      </c>
      <c r="H68" s="25">
        <v>5</v>
      </c>
      <c r="I68" s="36" t="e">
        <f>IF(VLOOKUP(H62,#REF!,8)="","",VLOOKUP(H62,#REF!,8))</f>
        <v>#REF!</v>
      </c>
      <c r="J68" s="36" t="e">
        <f>IF(VLOOKUP(H62,#REF!,15)="","",VLOOKUP(H62,#REF!,15))</f>
        <v>#REF!</v>
      </c>
      <c r="K68" s="36" t="e">
        <f>IF(VLOOKUP(H62,#REF!,22)="","",VLOOKUP(H62,#REF!,22))</f>
        <v>#REF!</v>
      </c>
      <c r="L68" s="36" t="e">
        <f>IF(VLOOKUP(H62,#REF!,29)="","",VLOOKUP(H62,#REF!,29))</f>
        <v>#REF!</v>
      </c>
      <c r="M68" s="38" t="e">
        <f>IF(VLOOKUP(H62,#REF!,36)="","",VLOOKUP(H62,#REF!,36))</f>
        <v>#REF!</v>
      </c>
      <c r="O68" s="25">
        <v>5</v>
      </c>
      <c r="P68" s="36" t="e">
        <f>IF(VLOOKUP(O62,#REF!,8)="","",VLOOKUP(O62,#REF!,8))</f>
        <v>#REF!</v>
      </c>
      <c r="Q68" s="36" t="e">
        <f>IF(VLOOKUP(O62,#REF!,15)="","",VLOOKUP(O62,#REF!,15))</f>
        <v>#REF!</v>
      </c>
      <c r="R68" s="36" t="e">
        <f>IF(VLOOKUP(O62,#REF!,22)="","",VLOOKUP(O62,#REF!,22))</f>
        <v>#REF!</v>
      </c>
      <c r="S68" s="36" t="e">
        <f>IF(VLOOKUP(O62,#REF!,29)="","",VLOOKUP(O62,#REF!,29))</f>
        <v>#REF!</v>
      </c>
      <c r="T68" s="38" t="e">
        <f>IF(VLOOKUP(O62,#REF!,36)="","",VLOOKUP(O62,#REF!,36))</f>
        <v>#REF!</v>
      </c>
      <c r="V68" s="25">
        <v>5</v>
      </c>
      <c r="W68" s="36" t="e">
        <f>IF(VLOOKUP(V62,#REF!,8)="","",VLOOKUP(V62,#REF!,8))</f>
        <v>#REF!</v>
      </c>
      <c r="X68" s="36" t="e">
        <f>IF(VLOOKUP(V62,#REF!,15)="","",VLOOKUP(V62,#REF!,15))</f>
        <v>#REF!</v>
      </c>
      <c r="Y68" s="36" t="e">
        <f>IF(VLOOKUP(V62,#REF!,22)="","",VLOOKUP(V62,#REF!,22))</f>
        <v>#REF!</v>
      </c>
      <c r="Z68" s="36" t="e">
        <f>IF(VLOOKUP(V62,#REF!,29)="","",VLOOKUP(V62,#REF!,29))</f>
        <v>#REF!</v>
      </c>
      <c r="AA68" s="38" t="e">
        <f>IF(VLOOKUP(V62,#REF!,36)="","",VLOOKUP(V62,#REF!,36))</f>
        <v>#REF!</v>
      </c>
    </row>
    <row r="69" spans="1:27" ht="27.9" customHeight="1" thickBot="1" x14ac:dyDescent="0.25">
      <c r="A69" s="26">
        <v>6</v>
      </c>
      <c r="B69" s="35" t="e">
        <f>IF(VLOOKUP(A62,#REF!,9)="","",VLOOKUP(A62,#REF!,9))</f>
        <v>#REF!</v>
      </c>
      <c r="C69" s="35" t="e">
        <f>IF(VLOOKUP(A62,#REF!,16)="","",VLOOKUP(A62,#REF!,16))</f>
        <v>#REF!</v>
      </c>
      <c r="D69" s="35" t="e">
        <f>IF(VLOOKUP(A62,#REF!,23)="","",VLOOKUP(A62,#REF!,23))</f>
        <v>#REF!</v>
      </c>
      <c r="E69" s="35" t="e">
        <f>IF(VLOOKUP(A62,#REF!,30)="","",VLOOKUP(A62,#REF!,30))</f>
        <v>#REF!</v>
      </c>
      <c r="F69" s="39" t="e">
        <f>IF(VLOOKUP(A62,#REF!,37)="","",VLOOKUP(A62,#REF!,37))</f>
        <v>#REF!</v>
      </c>
      <c r="H69" s="26">
        <v>6</v>
      </c>
      <c r="I69" s="35" t="e">
        <f>IF(VLOOKUP(H62,#REF!,9)="","",VLOOKUP(H62,#REF!,9))</f>
        <v>#REF!</v>
      </c>
      <c r="J69" s="35" t="e">
        <f>IF(VLOOKUP(H62,#REF!,16)="","",VLOOKUP(H62,#REF!,16))</f>
        <v>#REF!</v>
      </c>
      <c r="K69" s="35" t="e">
        <f>IF(VLOOKUP(H62,#REF!,23)="","",VLOOKUP(H62,#REF!,23))</f>
        <v>#REF!</v>
      </c>
      <c r="L69" s="35" t="e">
        <f>IF(VLOOKUP(H62,#REF!,30)="","",VLOOKUP(H62,#REF!,30))</f>
        <v>#REF!</v>
      </c>
      <c r="M69" s="39" t="e">
        <f>IF(VLOOKUP(H62,#REF!,37)="","",VLOOKUP(H62,#REF!,37))</f>
        <v>#REF!</v>
      </c>
      <c r="O69" s="26">
        <v>6</v>
      </c>
      <c r="P69" s="35" t="e">
        <f>IF(VLOOKUP(O62,#REF!,9)="","",VLOOKUP(O62,#REF!,9))</f>
        <v>#REF!</v>
      </c>
      <c r="Q69" s="35" t="e">
        <f>IF(VLOOKUP(O62,#REF!,16)="","",VLOOKUP(O62,#REF!,16))</f>
        <v>#REF!</v>
      </c>
      <c r="R69" s="35" t="e">
        <f>IF(VLOOKUP(O62,#REF!,23)="","",VLOOKUP(O62,#REF!,23))</f>
        <v>#REF!</v>
      </c>
      <c r="S69" s="35" t="e">
        <f>IF(VLOOKUP(O62,#REF!,30)="","",VLOOKUP(O62,#REF!,30))</f>
        <v>#REF!</v>
      </c>
      <c r="T69" s="39" t="e">
        <f>IF(VLOOKUP(O62,#REF!,37)="","",VLOOKUP(O62,#REF!,37))</f>
        <v>#REF!</v>
      </c>
      <c r="V69" s="26">
        <v>6</v>
      </c>
      <c r="W69" s="35" t="e">
        <f>IF(VLOOKUP(V62,#REF!,9)="","",VLOOKUP(V62,#REF!,9))</f>
        <v>#REF!</v>
      </c>
      <c r="X69" s="35" t="e">
        <f>IF(VLOOKUP(V62,#REF!,16)="","",VLOOKUP(V62,#REF!,16))</f>
        <v>#REF!</v>
      </c>
      <c r="Y69" s="35" t="e">
        <f>IF(VLOOKUP(V62,#REF!,23)="","",VLOOKUP(V62,#REF!,23))</f>
        <v>#REF!</v>
      </c>
      <c r="Z69" s="35" t="e">
        <f>IF(VLOOKUP(V62,#REF!,30)="","",VLOOKUP(V62,#REF!,30))</f>
        <v>#REF!</v>
      </c>
      <c r="AA69" s="39" t="e">
        <f>IF(VLOOKUP(V62,#REF!,37)="","",VLOOKUP(V62,#REF!,37))</f>
        <v>#REF!</v>
      </c>
    </row>
    <row r="71" spans="1:27" ht="27" customHeight="1" x14ac:dyDescent="0.3">
      <c r="A71" s="40" t="e">
        <f>IF(#REF!="","",#REF!)</f>
        <v>#REF!</v>
      </c>
      <c r="D71" t="s">
        <v>23</v>
      </c>
      <c r="H71" s="40" t="e">
        <f>IF(#REF!="","",#REF!)</f>
        <v>#REF!</v>
      </c>
      <c r="K71" t="s">
        <v>23</v>
      </c>
      <c r="O71" s="40" t="e">
        <f>IF(#REF!="","",#REF!)</f>
        <v>#REF!</v>
      </c>
      <c r="R71" t="s">
        <v>23</v>
      </c>
      <c r="V71" s="40" t="e">
        <f>IF(#REF!="","",#REF!)</f>
        <v>#REF!</v>
      </c>
      <c r="Y71" t="s">
        <v>23</v>
      </c>
    </row>
    <row r="72" spans="1:27" ht="17" thickBot="1" x14ac:dyDescent="0.25">
      <c r="A72" s="30">
        <v>29</v>
      </c>
      <c r="H72" s="30">
        <v>30</v>
      </c>
      <c r="O72" s="30">
        <v>31</v>
      </c>
      <c r="V72" s="30">
        <v>32</v>
      </c>
    </row>
    <row r="73" spans="1:27" s="23" customFormat="1" ht="27.9" customHeight="1" x14ac:dyDescent="0.25">
      <c r="A73" s="24"/>
      <c r="B73" s="7" t="s">
        <v>11</v>
      </c>
      <c r="C73" s="7" t="s">
        <v>3</v>
      </c>
      <c r="D73" s="7" t="s">
        <v>5</v>
      </c>
      <c r="E73" s="7" t="s">
        <v>7</v>
      </c>
      <c r="F73" s="9" t="s">
        <v>9</v>
      </c>
      <c r="H73" s="24"/>
      <c r="I73" s="7" t="s">
        <v>11</v>
      </c>
      <c r="J73" s="7" t="s">
        <v>3</v>
      </c>
      <c r="K73" s="7" t="s">
        <v>5</v>
      </c>
      <c r="L73" s="7" t="s">
        <v>7</v>
      </c>
      <c r="M73" s="9" t="s">
        <v>9</v>
      </c>
      <c r="O73" s="24"/>
      <c r="P73" s="7" t="s">
        <v>11</v>
      </c>
      <c r="Q73" s="7" t="s">
        <v>3</v>
      </c>
      <c r="R73" s="7" t="s">
        <v>5</v>
      </c>
      <c r="S73" s="7" t="s">
        <v>7</v>
      </c>
      <c r="T73" s="9" t="s">
        <v>9</v>
      </c>
      <c r="V73" s="24"/>
      <c r="W73" s="7" t="s">
        <v>11</v>
      </c>
      <c r="X73" s="7" t="s">
        <v>3</v>
      </c>
      <c r="Y73" s="7" t="s">
        <v>5</v>
      </c>
      <c r="Z73" s="7" t="s">
        <v>7</v>
      </c>
      <c r="AA73" s="9" t="s">
        <v>9</v>
      </c>
    </row>
    <row r="74" spans="1:27" ht="27.9" customHeight="1" x14ac:dyDescent="0.2">
      <c r="A74" s="25">
        <v>1</v>
      </c>
      <c r="B74" s="36" t="e">
        <f>IF(VLOOKUP(A72,#REF!,4)="","",VLOOKUP(A72,#REF!,4))</f>
        <v>#REF!</v>
      </c>
      <c r="C74" s="36" t="e">
        <f>IF(VLOOKUP(A72,#REF!,11)="","",VLOOKUP(A72,#REF!,11))</f>
        <v>#REF!</v>
      </c>
      <c r="D74" s="36" t="e">
        <f>IF(VLOOKUP(A72,#REF!,18)="","",VLOOKUP(A72,#REF!,18))</f>
        <v>#REF!</v>
      </c>
      <c r="E74" s="36" t="e">
        <f>IF(VLOOKUP(A72,#REF!,25)="","",VLOOKUP(A72,#REF!,25))</f>
        <v>#REF!</v>
      </c>
      <c r="F74" s="38" t="e">
        <f>IF(VLOOKUP(A72,#REF!,32)="","",VLOOKUP(A72,#REF!,32))</f>
        <v>#REF!</v>
      </c>
      <c r="H74" s="25">
        <v>1</v>
      </c>
      <c r="I74" s="36" t="e">
        <f>IF(VLOOKUP(H72,#REF!,4)="","",VLOOKUP(H72,#REF!,4))</f>
        <v>#REF!</v>
      </c>
      <c r="J74" s="36" t="e">
        <f>IF(VLOOKUP(H72,#REF!,11)="","",VLOOKUP(H72,#REF!,11))</f>
        <v>#REF!</v>
      </c>
      <c r="K74" s="36" t="e">
        <f>IF(VLOOKUP(H72,#REF!,18)="","",VLOOKUP(H72,#REF!,18))</f>
        <v>#REF!</v>
      </c>
      <c r="L74" s="36" t="e">
        <f>IF(VLOOKUP(H72,#REF!,25)="","",VLOOKUP(H72,#REF!,25))</f>
        <v>#REF!</v>
      </c>
      <c r="M74" s="38" t="e">
        <f>IF(VLOOKUP(H72,#REF!,32)="","",VLOOKUP(H72,#REF!,32))</f>
        <v>#REF!</v>
      </c>
      <c r="O74" s="25">
        <v>1</v>
      </c>
      <c r="P74" s="36" t="e">
        <f>IF(VLOOKUP(O72,#REF!,4)="","",VLOOKUP(O72,#REF!,4))</f>
        <v>#REF!</v>
      </c>
      <c r="Q74" s="36" t="e">
        <f>IF(VLOOKUP(O72,#REF!,11)="","",VLOOKUP(O72,#REF!,11))</f>
        <v>#REF!</v>
      </c>
      <c r="R74" s="36" t="e">
        <f>IF(VLOOKUP(O72,#REF!,18)="","",VLOOKUP(O72,#REF!,18))</f>
        <v>#REF!</v>
      </c>
      <c r="S74" s="36" t="e">
        <f>IF(VLOOKUP(O72,#REF!,25)="","",VLOOKUP(O72,#REF!,25))</f>
        <v>#REF!</v>
      </c>
      <c r="T74" s="38" t="e">
        <f>IF(VLOOKUP(O72,#REF!,32)="","",VLOOKUP(O72,#REF!,32))</f>
        <v>#REF!</v>
      </c>
      <c r="V74" s="25">
        <v>1</v>
      </c>
      <c r="W74" s="36" t="e">
        <f>IF(VLOOKUP(V72,#REF!,4)="","",VLOOKUP(V72,#REF!,4))</f>
        <v>#REF!</v>
      </c>
      <c r="X74" s="36" t="e">
        <f>IF(VLOOKUP(V72,#REF!,11)="","",VLOOKUP(V72,#REF!,11))</f>
        <v>#REF!</v>
      </c>
      <c r="Y74" s="36" t="e">
        <f>IF(VLOOKUP(V72,#REF!,18)="","",VLOOKUP(V72,#REF!,18))</f>
        <v>#REF!</v>
      </c>
      <c r="Z74" s="36" t="e">
        <f>IF(VLOOKUP(V72,#REF!,25)="","",VLOOKUP(V72,#REF!,25))</f>
        <v>#REF!</v>
      </c>
      <c r="AA74" s="38" t="e">
        <f>IF(VLOOKUP(V72,#REF!,32)="","",VLOOKUP(V72,#REF!,32))</f>
        <v>#REF!</v>
      </c>
    </row>
    <row r="75" spans="1:27" ht="27.9" customHeight="1" x14ac:dyDescent="0.2">
      <c r="A75" s="25">
        <v>2</v>
      </c>
      <c r="B75" s="36" t="e">
        <f>IF(VLOOKUP(A72,#REF!,5)="","",VLOOKUP(A72,#REF!,5))</f>
        <v>#REF!</v>
      </c>
      <c r="C75" s="36" t="e">
        <f>IF(VLOOKUP(A72,#REF!,12)="","",VLOOKUP(A72,#REF!,12))</f>
        <v>#REF!</v>
      </c>
      <c r="D75" s="36" t="e">
        <f>IF(VLOOKUP(A72,#REF!,19)="","",VLOOKUP(A72,#REF!,19))</f>
        <v>#REF!</v>
      </c>
      <c r="E75" s="36" t="e">
        <f>IF(VLOOKUP(A72,#REF!,26)="","",VLOOKUP(A72,#REF!,26))</f>
        <v>#REF!</v>
      </c>
      <c r="F75" s="38" t="e">
        <f>IF(VLOOKUP(A72,#REF!,33)="","",VLOOKUP(A72,#REF!,33))</f>
        <v>#REF!</v>
      </c>
      <c r="H75" s="25">
        <v>2</v>
      </c>
      <c r="I75" s="36" t="e">
        <f>IF(VLOOKUP(H72,#REF!,5)="","",VLOOKUP(H72,#REF!,5))</f>
        <v>#REF!</v>
      </c>
      <c r="J75" s="36" t="e">
        <f>IF(VLOOKUP(H72,#REF!,12)="","",VLOOKUP(H72,#REF!,12))</f>
        <v>#REF!</v>
      </c>
      <c r="K75" s="36" t="e">
        <f>IF(VLOOKUP(H72,#REF!,19)="","",VLOOKUP(H72,#REF!,19))</f>
        <v>#REF!</v>
      </c>
      <c r="L75" s="36" t="e">
        <f>IF(VLOOKUP(H72,#REF!,26)="","",VLOOKUP(H72,#REF!,26))</f>
        <v>#REF!</v>
      </c>
      <c r="M75" s="38" t="e">
        <f>IF(VLOOKUP(H72,#REF!,33)="","",VLOOKUP(H72,#REF!,33))</f>
        <v>#REF!</v>
      </c>
      <c r="O75" s="25">
        <v>2</v>
      </c>
      <c r="P75" s="36" t="e">
        <f>IF(VLOOKUP(O72,#REF!,5)="","",VLOOKUP(O72,#REF!,5))</f>
        <v>#REF!</v>
      </c>
      <c r="Q75" s="36" t="e">
        <f>IF(VLOOKUP(O72,#REF!,12)="","",VLOOKUP(O72,#REF!,12))</f>
        <v>#REF!</v>
      </c>
      <c r="R75" s="36" t="e">
        <f>IF(VLOOKUP(O72,#REF!,19)="","",VLOOKUP(O72,#REF!,19))</f>
        <v>#REF!</v>
      </c>
      <c r="S75" s="36" t="e">
        <f>IF(VLOOKUP(O72,#REF!,26)="","",VLOOKUP(O72,#REF!,26))</f>
        <v>#REF!</v>
      </c>
      <c r="T75" s="38" t="e">
        <f>IF(VLOOKUP(O72,#REF!,33)="","",VLOOKUP(O72,#REF!,33))</f>
        <v>#REF!</v>
      </c>
      <c r="V75" s="25">
        <v>2</v>
      </c>
      <c r="W75" s="36" t="e">
        <f>IF(VLOOKUP(V72,#REF!,5)="","",VLOOKUP(V72,#REF!,5))</f>
        <v>#REF!</v>
      </c>
      <c r="X75" s="36" t="e">
        <f>IF(VLOOKUP(V72,#REF!,12)="","",VLOOKUP(V72,#REF!,12))</f>
        <v>#REF!</v>
      </c>
      <c r="Y75" s="36" t="e">
        <f>IF(VLOOKUP(V72,#REF!,19)="","",VLOOKUP(V72,#REF!,19))</f>
        <v>#REF!</v>
      </c>
      <c r="Z75" s="36" t="e">
        <f>IF(VLOOKUP(V72,#REF!,26)="","",VLOOKUP(V72,#REF!,26))</f>
        <v>#REF!</v>
      </c>
      <c r="AA75" s="38" t="e">
        <f>IF(VLOOKUP(V72,#REF!,33)="","",VLOOKUP(V72,#REF!,33))</f>
        <v>#REF!</v>
      </c>
    </row>
    <row r="76" spans="1:27" ht="27.9" customHeight="1" x14ac:dyDescent="0.2">
      <c r="A76" s="25">
        <v>3</v>
      </c>
      <c r="B76" s="36" t="e">
        <f>IF(VLOOKUP(A72,#REF!,6)="","",VLOOKUP(A72,#REF!,6))</f>
        <v>#REF!</v>
      </c>
      <c r="C76" s="36" t="e">
        <f>IF(VLOOKUP(A72,#REF!,13)="","",VLOOKUP(A72,#REF!,13))</f>
        <v>#REF!</v>
      </c>
      <c r="D76" s="36" t="e">
        <f>IF(VLOOKUP(A72,#REF!,20)="","",VLOOKUP(A72,#REF!,20))</f>
        <v>#REF!</v>
      </c>
      <c r="E76" s="36" t="e">
        <f>IF(VLOOKUP(A72,#REF!,27)="","",VLOOKUP(A72,#REF!,27))</f>
        <v>#REF!</v>
      </c>
      <c r="F76" s="38" t="e">
        <f>IF(VLOOKUP(A72,#REF!,34)="","",VLOOKUP(A72,#REF!,34))</f>
        <v>#REF!</v>
      </c>
      <c r="H76" s="25">
        <v>3</v>
      </c>
      <c r="I76" s="36" t="e">
        <f>IF(VLOOKUP(H72,#REF!,6)="","",VLOOKUP(H72,#REF!,6))</f>
        <v>#REF!</v>
      </c>
      <c r="J76" s="36" t="e">
        <f>IF(VLOOKUP(H72,#REF!,13)="","",VLOOKUP(H72,#REF!,13))</f>
        <v>#REF!</v>
      </c>
      <c r="K76" s="36" t="e">
        <f>IF(VLOOKUP(H72,#REF!,20)="","",VLOOKUP(H72,#REF!,20))</f>
        <v>#REF!</v>
      </c>
      <c r="L76" s="36" t="e">
        <f>IF(VLOOKUP(H72,#REF!,27)="","",VLOOKUP(H72,#REF!,27))</f>
        <v>#REF!</v>
      </c>
      <c r="M76" s="38" t="e">
        <f>IF(VLOOKUP(H72,#REF!,34)="","",VLOOKUP(H72,#REF!,34))</f>
        <v>#REF!</v>
      </c>
      <c r="O76" s="25">
        <v>3</v>
      </c>
      <c r="P76" s="36" t="e">
        <f>IF(VLOOKUP(O72,#REF!,6)="","",VLOOKUP(O72,#REF!,6))</f>
        <v>#REF!</v>
      </c>
      <c r="Q76" s="36" t="e">
        <f>IF(VLOOKUP(O72,#REF!,13)="","",VLOOKUP(O72,#REF!,13))</f>
        <v>#REF!</v>
      </c>
      <c r="R76" s="36" t="e">
        <f>IF(VLOOKUP(O72,#REF!,20)="","",VLOOKUP(O72,#REF!,20))</f>
        <v>#REF!</v>
      </c>
      <c r="S76" s="36" t="e">
        <f>IF(VLOOKUP(O72,#REF!,27)="","",VLOOKUP(O72,#REF!,27))</f>
        <v>#REF!</v>
      </c>
      <c r="T76" s="38" t="e">
        <f>IF(VLOOKUP(O72,#REF!,34)="","",VLOOKUP(O72,#REF!,34))</f>
        <v>#REF!</v>
      </c>
      <c r="V76" s="25">
        <v>3</v>
      </c>
      <c r="W76" s="36" t="e">
        <f>IF(VLOOKUP(V72,#REF!,6)="","",VLOOKUP(V72,#REF!,6))</f>
        <v>#REF!</v>
      </c>
      <c r="X76" s="36" t="e">
        <f>IF(VLOOKUP(V72,#REF!,13)="","",VLOOKUP(V72,#REF!,13))</f>
        <v>#REF!</v>
      </c>
      <c r="Y76" s="36" t="e">
        <f>IF(VLOOKUP(V72,#REF!,20)="","",VLOOKUP(V72,#REF!,20))</f>
        <v>#REF!</v>
      </c>
      <c r="Z76" s="36" t="e">
        <f>IF(VLOOKUP(V72,#REF!,27)="","",VLOOKUP(V72,#REF!,27))</f>
        <v>#REF!</v>
      </c>
      <c r="AA76" s="38" t="e">
        <f>IF(VLOOKUP(V72,#REF!,34)="","",VLOOKUP(V72,#REF!,34))</f>
        <v>#REF!</v>
      </c>
    </row>
    <row r="77" spans="1:27" ht="27.9" customHeight="1" x14ac:dyDescent="0.2">
      <c r="A77" s="25">
        <v>4</v>
      </c>
      <c r="B77" s="36" t="e">
        <f>IF(VLOOKUP(A72,#REF!,7)="","",VLOOKUP(A72,#REF!,7))</f>
        <v>#REF!</v>
      </c>
      <c r="C77" s="36" t="e">
        <f>IF(VLOOKUP(A72,#REF!,14)="","",VLOOKUP(A72,#REF!,14))</f>
        <v>#REF!</v>
      </c>
      <c r="D77" s="36" t="e">
        <f>IF(VLOOKUP(A72,#REF!,21)="","",VLOOKUP(A72,#REF!,21))</f>
        <v>#REF!</v>
      </c>
      <c r="E77" s="36" t="e">
        <f>IF(VLOOKUP(A72,#REF!,28)="","",VLOOKUP(A72,#REF!,28))</f>
        <v>#REF!</v>
      </c>
      <c r="F77" s="38" t="e">
        <f>IF(VLOOKUP(A72,#REF!,35)="","",VLOOKUP(A72,#REF!,35))</f>
        <v>#REF!</v>
      </c>
      <c r="H77" s="25">
        <v>4</v>
      </c>
      <c r="I77" s="36" t="e">
        <f>IF(VLOOKUP(H72,#REF!,7)="","",VLOOKUP(H72,#REF!,7))</f>
        <v>#REF!</v>
      </c>
      <c r="J77" s="36" t="e">
        <f>IF(VLOOKUP(H72,#REF!,14)="","",VLOOKUP(H72,#REF!,14))</f>
        <v>#REF!</v>
      </c>
      <c r="K77" s="36" t="e">
        <f>IF(VLOOKUP(H72,#REF!,21)="","",VLOOKUP(H72,#REF!,21))</f>
        <v>#REF!</v>
      </c>
      <c r="L77" s="36" t="e">
        <f>IF(VLOOKUP(H72,#REF!,28)="","",VLOOKUP(H72,#REF!,28))</f>
        <v>#REF!</v>
      </c>
      <c r="M77" s="38" t="e">
        <f>IF(VLOOKUP(H72,#REF!,35)="","",VLOOKUP(H72,#REF!,35))</f>
        <v>#REF!</v>
      </c>
      <c r="O77" s="25">
        <v>4</v>
      </c>
      <c r="P77" s="36" t="e">
        <f>IF(VLOOKUP(O72,#REF!,7)="","",VLOOKUP(O72,#REF!,7))</f>
        <v>#REF!</v>
      </c>
      <c r="Q77" s="36" t="e">
        <f>IF(VLOOKUP(O72,#REF!,14)="","",VLOOKUP(O72,#REF!,14))</f>
        <v>#REF!</v>
      </c>
      <c r="R77" s="36" t="e">
        <f>IF(VLOOKUP(O72,#REF!,21)="","",VLOOKUP(O72,#REF!,21))</f>
        <v>#REF!</v>
      </c>
      <c r="S77" s="36" t="e">
        <f>IF(VLOOKUP(O72,#REF!,28)="","",VLOOKUP(O72,#REF!,28))</f>
        <v>#REF!</v>
      </c>
      <c r="T77" s="38" t="e">
        <f>IF(VLOOKUP(O72,#REF!,35)="","",VLOOKUP(O72,#REF!,35))</f>
        <v>#REF!</v>
      </c>
      <c r="V77" s="25">
        <v>4</v>
      </c>
      <c r="W77" s="36" t="e">
        <f>IF(VLOOKUP(V72,#REF!,7)="","",VLOOKUP(V72,#REF!,7))</f>
        <v>#REF!</v>
      </c>
      <c r="X77" s="36" t="e">
        <f>IF(VLOOKUP(V72,#REF!,14)="","",VLOOKUP(V72,#REF!,14))</f>
        <v>#REF!</v>
      </c>
      <c r="Y77" s="36" t="e">
        <f>IF(VLOOKUP(V72,#REF!,21)="","",VLOOKUP(V72,#REF!,21))</f>
        <v>#REF!</v>
      </c>
      <c r="Z77" s="36" t="e">
        <f>IF(VLOOKUP(V72,#REF!,28)="","",VLOOKUP(V72,#REF!,28))</f>
        <v>#REF!</v>
      </c>
      <c r="AA77" s="38" t="e">
        <f>IF(VLOOKUP(V72,#REF!,35)="","",VLOOKUP(V72,#REF!,35))</f>
        <v>#REF!</v>
      </c>
    </row>
    <row r="78" spans="1:27" ht="27.9" customHeight="1" x14ac:dyDescent="0.2">
      <c r="A78" s="25">
        <v>5</v>
      </c>
      <c r="B78" s="36" t="e">
        <f>IF(VLOOKUP(A72,#REF!,8)="","",VLOOKUP(A72,#REF!,8))</f>
        <v>#REF!</v>
      </c>
      <c r="C78" s="36" t="e">
        <f>IF(VLOOKUP(A72,#REF!,15)="","",VLOOKUP(A72,#REF!,15))</f>
        <v>#REF!</v>
      </c>
      <c r="D78" s="36" t="e">
        <f>IF(VLOOKUP(A72,#REF!,22)="","",VLOOKUP(A72,#REF!,22))</f>
        <v>#REF!</v>
      </c>
      <c r="E78" s="36" t="e">
        <f>IF(VLOOKUP(A72,#REF!,29)="","",VLOOKUP(A72,#REF!,29))</f>
        <v>#REF!</v>
      </c>
      <c r="F78" s="38" t="e">
        <f>IF(VLOOKUP(A72,#REF!,36)="","",VLOOKUP(A72,#REF!,36))</f>
        <v>#REF!</v>
      </c>
      <c r="H78" s="25">
        <v>5</v>
      </c>
      <c r="I78" s="36" t="e">
        <f>IF(VLOOKUP(H72,#REF!,8)="","",VLOOKUP(H72,#REF!,8))</f>
        <v>#REF!</v>
      </c>
      <c r="J78" s="36" t="e">
        <f>IF(VLOOKUP(H72,#REF!,15)="","",VLOOKUP(H72,#REF!,15))</f>
        <v>#REF!</v>
      </c>
      <c r="K78" s="36" t="e">
        <f>IF(VLOOKUP(H72,#REF!,22)="","",VLOOKUP(H72,#REF!,22))</f>
        <v>#REF!</v>
      </c>
      <c r="L78" s="36" t="e">
        <f>IF(VLOOKUP(H72,#REF!,29)="","",VLOOKUP(H72,#REF!,29))</f>
        <v>#REF!</v>
      </c>
      <c r="M78" s="38" t="e">
        <f>IF(VLOOKUP(H72,#REF!,36)="","",VLOOKUP(H72,#REF!,36))</f>
        <v>#REF!</v>
      </c>
      <c r="O78" s="25">
        <v>5</v>
      </c>
      <c r="P78" s="36" t="e">
        <f>IF(VLOOKUP(O72,#REF!,8)="","",VLOOKUP(O72,#REF!,8))</f>
        <v>#REF!</v>
      </c>
      <c r="Q78" s="36" t="e">
        <f>IF(VLOOKUP(O72,#REF!,15)="","",VLOOKUP(O72,#REF!,15))</f>
        <v>#REF!</v>
      </c>
      <c r="R78" s="36" t="e">
        <f>IF(VLOOKUP(O72,#REF!,22)="","",VLOOKUP(O72,#REF!,22))</f>
        <v>#REF!</v>
      </c>
      <c r="S78" s="36" t="e">
        <f>IF(VLOOKUP(O72,#REF!,29)="","",VLOOKUP(O72,#REF!,29))</f>
        <v>#REF!</v>
      </c>
      <c r="T78" s="38" t="e">
        <f>IF(VLOOKUP(O72,#REF!,36)="","",VLOOKUP(O72,#REF!,36))</f>
        <v>#REF!</v>
      </c>
      <c r="V78" s="25">
        <v>5</v>
      </c>
      <c r="W78" s="36" t="e">
        <f>IF(VLOOKUP(V72,#REF!,8)="","",VLOOKUP(V72,#REF!,8))</f>
        <v>#REF!</v>
      </c>
      <c r="X78" s="36" t="e">
        <f>IF(VLOOKUP(V72,#REF!,15)="","",VLOOKUP(V72,#REF!,15))</f>
        <v>#REF!</v>
      </c>
      <c r="Y78" s="36" t="e">
        <f>IF(VLOOKUP(V72,#REF!,22)="","",VLOOKUP(V72,#REF!,22))</f>
        <v>#REF!</v>
      </c>
      <c r="Z78" s="36" t="e">
        <f>IF(VLOOKUP(V72,#REF!,29)="","",VLOOKUP(V72,#REF!,29))</f>
        <v>#REF!</v>
      </c>
      <c r="AA78" s="38" t="e">
        <f>IF(VLOOKUP(V72,#REF!,36)="","",VLOOKUP(V72,#REF!,36))</f>
        <v>#REF!</v>
      </c>
    </row>
    <row r="79" spans="1:27" ht="27.9" customHeight="1" thickBot="1" x14ac:dyDescent="0.25">
      <c r="A79" s="26">
        <v>6</v>
      </c>
      <c r="B79" s="35" t="e">
        <f>IF(VLOOKUP(A72,#REF!,9)="","",VLOOKUP(A72,#REF!,9))</f>
        <v>#REF!</v>
      </c>
      <c r="C79" s="35" t="e">
        <f>IF(VLOOKUP(A72,#REF!,16)="","",VLOOKUP(A72,#REF!,16))</f>
        <v>#REF!</v>
      </c>
      <c r="D79" s="35" t="e">
        <f>IF(VLOOKUP(A72,#REF!,23)="","",VLOOKUP(A72,#REF!,23))</f>
        <v>#REF!</v>
      </c>
      <c r="E79" s="35" t="e">
        <f>IF(VLOOKUP(A72,#REF!,30)="","",VLOOKUP(A72,#REF!,30))</f>
        <v>#REF!</v>
      </c>
      <c r="F79" s="39" t="e">
        <f>IF(VLOOKUP(A72,#REF!,37)="","",VLOOKUP(A72,#REF!,37))</f>
        <v>#REF!</v>
      </c>
      <c r="H79" s="26">
        <v>6</v>
      </c>
      <c r="I79" s="35" t="e">
        <f>IF(VLOOKUP(H72,#REF!,9)="","",VLOOKUP(H72,#REF!,9))</f>
        <v>#REF!</v>
      </c>
      <c r="J79" s="35" t="e">
        <f>IF(VLOOKUP(H72,#REF!,16)="","",VLOOKUP(H72,#REF!,16))</f>
        <v>#REF!</v>
      </c>
      <c r="K79" s="35" t="e">
        <f>IF(VLOOKUP(H72,#REF!,23)="","",VLOOKUP(H72,#REF!,23))</f>
        <v>#REF!</v>
      </c>
      <c r="L79" s="35" t="e">
        <f>IF(VLOOKUP(H72,#REF!,30)="","",VLOOKUP(H72,#REF!,30))</f>
        <v>#REF!</v>
      </c>
      <c r="M79" s="39" t="e">
        <f>IF(VLOOKUP(H72,#REF!,37)="","",VLOOKUP(H72,#REF!,37))</f>
        <v>#REF!</v>
      </c>
      <c r="O79" s="26">
        <v>6</v>
      </c>
      <c r="P79" s="35" t="e">
        <f>IF(VLOOKUP(O72,#REF!,9)="","",VLOOKUP(O72,#REF!,9))</f>
        <v>#REF!</v>
      </c>
      <c r="Q79" s="35" t="e">
        <f>IF(VLOOKUP(O72,#REF!,16)="","",VLOOKUP(O72,#REF!,16))</f>
        <v>#REF!</v>
      </c>
      <c r="R79" s="35" t="e">
        <f>IF(VLOOKUP(O72,#REF!,23)="","",VLOOKUP(O72,#REF!,23))</f>
        <v>#REF!</v>
      </c>
      <c r="S79" s="35" t="e">
        <f>IF(VLOOKUP(O72,#REF!,30)="","",VLOOKUP(O72,#REF!,30))</f>
        <v>#REF!</v>
      </c>
      <c r="T79" s="39" t="e">
        <f>IF(VLOOKUP(O72,#REF!,37)="","",VLOOKUP(O72,#REF!,37))</f>
        <v>#REF!</v>
      </c>
      <c r="V79" s="26">
        <v>6</v>
      </c>
      <c r="W79" s="35" t="e">
        <f>IF(VLOOKUP(V72,#REF!,9)="","",VLOOKUP(V72,#REF!,9))</f>
        <v>#REF!</v>
      </c>
      <c r="X79" s="35" t="e">
        <f>IF(VLOOKUP(V72,#REF!,16)="","",VLOOKUP(V72,#REF!,16))</f>
        <v>#REF!</v>
      </c>
      <c r="Y79" s="35" t="e">
        <f>IF(VLOOKUP(V72,#REF!,23)="","",VLOOKUP(V72,#REF!,23))</f>
        <v>#REF!</v>
      </c>
      <c r="Z79" s="35" t="e">
        <f>IF(VLOOKUP(V72,#REF!,30)="","",VLOOKUP(V72,#REF!,30))</f>
        <v>#REF!</v>
      </c>
      <c r="AA79" s="39" t="e">
        <f>IF(VLOOKUP(V72,#REF!,37)="","",VLOOKUP(V72,#REF!,37))</f>
        <v>#REF!</v>
      </c>
    </row>
    <row r="81" spans="1:27" ht="27" customHeight="1" x14ac:dyDescent="0.3">
      <c r="A81" s="40" t="e">
        <f>IF(#REF!="","",#REF!)</f>
        <v>#REF!</v>
      </c>
      <c r="D81" t="s">
        <v>23</v>
      </c>
      <c r="H81" s="40" t="e">
        <f>IF(#REF!="","",#REF!)</f>
        <v>#REF!</v>
      </c>
      <c r="K81" t="s">
        <v>23</v>
      </c>
      <c r="O81" s="40" t="e">
        <f>IF(#REF!="","",#REF!)</f>
        <v>#REF!</v>
      </c>
      <c r="R81" t="s">
        <v>23</v>
      </c>
      <c r="V81" s="40" t="e">
        <f>IF(#REF!="","",#REF!)</f>
        <v>#REF!</v>
      </c>
      <c r="Y81" t="s">
        <v>23</v>
      </c>
    </row>
    <row r="82" spans="1:27" ht="17" thickBot="1" x14ac:dyDescent="0.25">
      <c r="A82" s="30">
        <v>33</v>
      </c>
      <c r="H82" s="30">
        <v>34</v>
      </c>
      <c r="O82" s="30">
        <v>35</v>
      </c>
      <c r="V82" s="30">
        <v>36</v>
      </c>
    </row>
    <row r="83" spans="1:27" s="23" customFormat="1" ht="27.9" customHeight="1" x14ac:dyDescent="0.25">
      <c r="A83" s="24"/>
      <c r="B83" s="7" t="s">
        <v>11</v>
      </c>
      <c r="C83" s="7" t="s">
        <v>3</v>
      </c>
      <c r="D83" s="7" t="s">
        <v>5</v>
      </c>
      <c r="E83" s="7" t="s">
        <v>7</v>
      </c>
      <c r="F83" s="9" t="s">
        <v>9</v>
      </c>
      <c r="H83" s="24"/>
      <c r="I83" s="7" t="s">
        <v>11</v>
      </c>
      <c r="J83" s="7" t="s">
        <v>3</v>
      </c>
      <c r="K83" s="7" t="s">
        <v>5</v>
      </c>
      <c r="L83" s="7" t="s">
        <v>7</v>
      </c>
      <c r="M83" s="9" t="s">
        <v>9</v>
      </c>
      <c r="O83" s="24"/>
      <c r="P83" s="7" t="s">
        <v>11</v>
      </c>
      <c r="Q83" s="7" t="s">
        <v>3</v>
      </c>
      <c r="R83" s="7" t="s">
        <v>5</v>
      </c>
      <c r="S83" s="7" t="s">
        <v>7</v>
      </c>
      <c r="T83" s="9" t="s">
        <v>9</v>
      </c>
      <c r="V83" s="24"/>
      <c r="W83" s="7" t="s">
        <v>11</v>
      </c>
      <c r="X83" s="7" t="s">
        <v>3</v>
      </c>
      <c r="Y83" s="7" t="s">
        <v>5</v>
      </c>
      <c r="Z83" s="7" t="s">
        <v>7</v>
      </c>
      <c r="AA83" s="9" t="s">
        <v>9</v>
      </c>
    </row>
    <row r="84" spans="1:27" ht="27.9" customHeight="1" x14ac:dyDescent="0.2">
      <c r="A84" s="25">
        <v>1</v>
      </c>
      <c r="B84" s="36" t="e">
        <f>IF(VLOOKUP(A82,#REF!,4)="","",VLOOKUP(A82,#REF!,4))</f>
        <v>#REF!</v>
      </c>
      <c r="C84" s="36" t="e">
        <f>IF(VLOOKUP(A82,#REF!,11)="","",VLOOKUP(A82,#REF!,11))</f>
        <v>#REF!</v>
      </c>
      <c r="D84" s="36" t="e">
        <f>IF(VLOOKUP(A82,#REF!,18)="","",VLOOKUP(A82,#REF!,18))</f>
        <v>#REF!</v>
      </c>
      <c r="E84" s="36" t="e">
        <f>IF(VLOOKUP(A82,#REF!,25)="","",VLOOKUP(A82,#REF!,25))</f>
        <v>#REF!</v>
      </c>
      <c r="F84" s="38" t="e">
        <f>IF(VLOOKUP(A82,#REF!,32)="","",VLOOKUP(A82,#REF!,32))</f>
        <v>#REF!</v>
      </c>
      <c r="H84" s="25">
        <v>1</v>
      </c>
      <c r="I84" s="36" t="e">
        <f>IF(VLOOKUP(H82,#REF!,4)="","",VLOOKUP(H82,#REF!,4))</f>
        <v>#REF!</v>
      </c>
      <c r="J84" s="36" t="e">
        <f>IF(VLOOKUP(H82,#REF!,11)="","",VLOOKUP(H82,#REF!,11))</f>
        <v>#REF!</v>
      </c>
      <c r="K84" s="36" t="e">
        <f>IF(VLOOKUP(H82,#REF!,18)="","",VLOOKUP(H82,#REF!,18))</f>
        <v>#REF!</v>
      </c>
      <c r="L84" s="36" t="e">
        <f>IF(VLOOKUP(H82,#REF!,25)="","",VLOOKUP(H82,#REF!,25))</f>
        <v>#REF!</v>
      </c>
      <c r="M84" s="38" t="e">
        <f>IF(VLOOKUP(H82,#REF!,32)="","",VLOOKUP(H82,#REF!,32))</f>
        <v>#REF!</v>
      </c>
      <c r="O84" s="25">
        <v>1</v>
      </c>
      <c r="P84" s="36" t="e">
        <f>IF(VLOOKUP(O82,#REF!,4)="","",VLOOKUP(O82,#REF!,4))</f>
        <v>#REF!</v>
      </c>
      <c r="Q84" s="36" t="e">
        <f>IF(VLOOKUP(O82,#REF!,11)="","",VLOOKUP(O82,#REF!,11))</f>
        <v>#REF!</v>
      </c>
      <c r="R84" s="36" t="e">
        <f>IF(VLOOKUP(O82,#REF!,18)="","",VLOOKUP(O82,#REF!,18))</f>
        <v>#REF!</v>
      </c>
      <c r="S84" s="36" t="e">
        <f>IF(VLOOKUP(O82,#REF!,25)="","",VLOOKUP(O82,#REF!,25))</f>
        <v>#REF!</v>
      </c>
      <c r="T84" s="38" t="e">
        <f>IF(VLOOKUP(O82,#REF!,32)="","",VLOOKUP(O82,#REF!,32))</f>
        <v>#REF!</v>
      </c>
      <c r="V84" s="25">
        <v>1</v>
      </c>
      <c r="W84" s="36" t="e">
        <f>IF(VLOOKUP(V82,#REF!,4)="","",VLOOKUP(V82,#REF!,4))</f>
        <v>#REF!</v>
      </c>
      <c r="X84" s="36" t="e">
        <f>IF(VLOOKUP(V82,#REF!,11)="","",VLOOKUP(V82,#REF!,11))</f>
        <v>#REF!</v>
      </c>
      <c r="Y84" s="36" t="e">
        <f>IF(VLOOKUP(V82,#REF!,18)="","",VLOOKUP(V82,#REF!,18))</f>
        <v>#REF!</v>
      </c>
      <c r="Z84" s="36" t="e">
        <f>IF(VLOOKUP(V82,#REF!,25)="","",VLOOKUP(V82,#REF!,25))</f>
        <v>#REF!</v>
      </c>
      <c r="AA84" s="38" t="e">
        <f>IF(VLOOKUP(V82,#REF!,32)="","",VLOOKUP(V82,#REF!,32))</f>
        <v>#REF!</v>
      </c>
    </row>
    <row r="85" spans="1:27" ht="27.9" customHeight="1" x14ac:dyDescent="0.2">
      <c r="A85" s="25">
        <v>2</v>
      </c>
      <c r="B85" s="36" t="e">
        <f>IF(VLOOKUP(A82,#REF!,5)="","",VLOOKUP(A82,#REF!,5))</f>
        <v>#REF!</v>
      </c>
      <c r="C85" s="36" t="e">
        <f>IF(VLOOKUP(A82,#REF!,12)="","",VLOOKUP(A82,#REF!,12))</f>
        <v>#REF!</v>
      </c>
      <c r="D85" s="36" t="e">
        <f>IF(VLOOKUP(A82,#REF!,19)="","",VLOOKUP(A82,#REF!,19))</f>
        <v>#REF!</v>
      </c>
      <c r="E85" s="36" t="e">
        <f>IF(VLOOKUP(A82,#REF!,26)="","",VLOOKUP(A82,#REF!,26))</f>
        <v>#REF!</v>
      </c>
      <c r="F85" s="38" t="e">
        <f>IF(VLOOKUP(A82,#REF!,33)="","",VLOOKUP(A82,#REF!,33))</f>
        <v>#REF!</v>
      </c>
      <c r="H85" s="25">
        <v>2</v>
      </c>
      <c r="I85" s="36" t="e">
        <f>IF(VLOOKUP(H82,#REF!,5)="","",VLOOKUP(H82,#REF!,5))</f>
        <v>#REF!</v>
      </c>
      <c r="J85" s="36" t="e">
        <f>IF(VLOOKUP(H82,#REF!,12)="","",VLOOKUP(H82,#REF!,12))</f>
        <v>#REF!</v>
      </c>
      <c r="K85" s="36" t="e">
        <f>IF(VLOOKUP(H82,#REF!,19)="","",VLOOKUP(H82,#REF!,19))</f>
        <v>#REF!</v>
      </c>
      <c r="L85" s="36" t="e">
        <f>IF(VLOOKUP(H82,#REF!,26)="","",VLOOKUP(H82,#REF!,26))</f>
        <v>#REF!</v>
      </c>
      <c r="M85" s="38" t="e">
        <f>IF(VLOOKUP(H82,#REF!,33)="","",VLOOKUP(H82,#REF!,33))</f>
        <v>#REF!</v>
      </c>
      <c r="O85" s="25">
        <v>2</v>
      </c>
      <c r="P85" s="36" t="e">
        <f>IF(VLOOKUP(O82,#REF!,5)="","",VLOOKUP(O82,#REF!,5))</f>
        <v>#REF!</v>
      </c>
      <c r="Q85" s="36" t="e">
        <f>IF(VLOOKUP(O82,#REF!,12)="","",VLOOKUP(O82,#REF!,12))</f>
        <v>#REF!</v>
      </c>
      <c r="R85" s="36" t="e">
        <f>IF(VLOOKUP(O82,#REF!,19)="","",VLOOKUP(O82,#REF!,19))</f>
        <v>#REF!</v>
      </c>
      <c r="S85" s="36" t="e">
        <f>IF(VLOOKUP(O82,#REF!,26)="","",VLOOKUP(O82,#REF!,26))</f>
        <v>#REF!</v>
      </c>
      <c r="T85" s="38" t="e">
        <f>IF(VLOOKUP(O82,#REF!,33)="","",VLOOKUP(O82,#REF!,33))</f>
        <v>#REF!</v>
      </c>
      <c r="V85" s="25">
        <v>2</v>
      </c>
      <c r="W85" s="36" t="e">
        <f>IF(VLOOKUP(V82,#REF!,5)="","",VLOOKUP(V82,#REF!,5))</f>
        <v>#REF!</v>
      </c>
      <c r="X85" s="36" t="e">
        <f>IF(VLOOKUP(V82,#REF!,12)="","",VLOOKUP(V82,#REF!,12))</f>
        <v>#REF!</v>
      </c>
      <c r="Y85" s="36" t="e">
        <f>IF(VLOOKUP(V82,#REF!,19)="","",VLOOKUP(V82,#REF!,19))</f>
        <v>#REF!</v>
      </c>
      <c r="Z85" s="36" t="e">
        <f>IF(VLOOKUP(V82,#REF!,26)="","",VLOOKUP(V82,#REF!,26))</f>
        <v>#REF!</v>
      </c>
      <c r="AA85" s="38" t="e">
        <f>IF(VLOOKUP(V82,#REF!,33)="","",VLOOKUP(V82,#REF!,33))</f>
        <v>#REF!</v>
      </c>
    </row>
    <row r="86" spans="1:27" ht="27.9" customHeight="1" x14ac:dyDescent="0.2">
      <c r="A86" s="25">
        <v>3</v>
      </c>
      <c r="B86" s="36" t="e">
        <f>IF(VLOOKUP(A82,#REF!,6)="","",VLOOKUP(A82,#REF!,6))</f>
        <v>#REF!</v>
      </c>
      <c r="C86" s="36" t="e">
        <f>IF(VLOOKUP(A82,#REF!,13)="","",VLOOKUP(A82,#REF!,13))</f>
        <v>#REF!</v>
      </c>
      <c r="D86" s="36" t="e">
        <f>IF(VLOOKUP(A82,#REF!,20)="","",VLOOKUP(A82,#REF!,20))</f>
        <v>#REF!</v>
      </c>
      <c r="E86" s="36" t="e">
        <f>IF(VLOOKUP(A82,#REF!,27)="","",VLOOKUP(A82,#REF!,27))</f>
        <v>#REF!</v>
      </c>
      <c r="F86" s="38" t="e">
        <f>IF(VLOOKUP(A82,#REF!,34)="","",VLOOKUP(A82,#REF!,34))</f>
        <v>#REF!</v>
      </c>
      <c r="H86" s="25">
        <v>3</v>
      </c>
      <c r="I86" s="36" t="e">
        <f>IF(VLOOKUP(H82,#REF!,6)="","",VLOOKUP(H82,#REF!,6))</f>
        <v>#REF!</v>
      </c>
      <c r="J86" s="36" t="e">
        <f>IF(VLOOKUP(H82,#REF!,13)="","",VLOOKUP(H82,#REF!,13))</f>
        <v>#REF!</v>
      </c>
      <c r="K86" s="36" t="e">
        <f>IF(VLOOKUP(H82,#REF!,20)="","",VLOOKUP(H82,#REF!,20))</f>
        <v>#REF!</v>
      </c>
      <c r="L86" s="36" t="e">
        <f>IF(VLOOKUP(H82,#REF!,27)="","",VLOOKUP(H82,#REF!,27))</f>
        <v>#REF!</v>
      </c>
      <c r="M86" s="38" t="e">
        <f>IF(VLOOKUP(H82,#REF!,34)="","",VLOOKUP(H82,#REF!,34))</f>
        <v>#REF!</v>
      </c>
      <c r="O86" s="25">
        <v>3</v>
      </c>
      <c r="P86" s="36" t="e">
        <f>IF(VLOOKUP(O82,#REF!,6)="","",VLOOKUP(O82,#REF!,6))</f>
        <v>#REF!</v>
      </c>
      <c r="Q86" s="36" t="e">
        <f>IF(VLOOKUP(O82,#REF!,13)="","",VLOOKUP(O82,#REF!,13))</f>
        <v>#REF!</v>
      </c>
      <c r="R86" s="36" t="e">
        <f>IF(VLOOKUP(O82,#REF!,20)="","",VLOOKUP(O82,#REF!,20))</f>
        <v>#REF!</v>
      </c>
      <c r="S86" s="36" t="e">
        <f>IF(VLOOKUP(O82,#REF!,27)="","",VLOOKUP(O82,#REF!,27))</f>
        <v>#REF!</v>
      </c>
      <c r="T86" s="38" t="e">
        <f>IF(VLOOKUP(O82,#REF!,34)="","",VLOOKUP(O82,#REF!,34))</f>
        <v>#REF!</v>
      </c>
      <c r="V86" s="25">
        <v>3</v>
      </c>
      <c r="W86" s="36" t="e">
        <f>IF(VLOOKUP(V82,#REF!,6)="","",VLOOKUP(V82,#REF!,6))</f>
        <v>#REF!</v>
      </c>
      <c r="X86" s="36" t="e">
        <f>IF(VLOOKUP(V82,#REF!,13)="","",VLOOKUP(V82,#REF!,13))</f>
        <v>#REF!</v>
      </c>
      <c r="Y86" s="36" t="e">
        <f>IF(VLOOKUP(V82,#REF!,20)="","",VLOOKUP(V82,#REF!,20))</f>
        <v>#REF!</v>
      </c>
      <c r="Z86" s="36" t="e">
        <f>IF(VLOOKUP(V82,#REF!,27)="","",VLOOKUP(V82,#REF!,27))</f>
        <v>#REF!</v>
      </c>
      <c r="AA86" s="38" t="e">
        <f>IF(VLOOKUP(V82,#REF!,34)="","",VLOOKUP(V82,#REF!,34))</f>
        <v>#REF!</v>
      </c>
    </row>
    <row r="87" spans="1:27" ht="27.9" customHeight="1" x14ac:dyDescent="0.2">
      <c r="A87" s="25">
        <v>4</v>
      </c>
      <c r="B87" s="36" t="e">
        <f>IF(VLOOKUP(A82,#REF!,7)="","",VLOOKUP(A82,#REF!,7))</f>
        <v>#REF!</v>
      </c>
      <c r="C87" s="36" t="e">
        <f>IF(VLOOKUP(A82,#REF!,14)="","",VLOOKUP(A82,#REF!,14))</f>
        <v>#REF!</v>
      </c>
      <c r="D87" s="36" t="e">
        <f>IF(VLOOKUP(A82,#REF!,21)="","",VLOOKUP(A82,#REF!,21))</f>
        <v>#REF!</v>
      </c>
      <c r="E87" s="36" t="e">
        <f>IF(VLOOKUP(A82,#REF!,28)="","",VLOOKUP(A82,#REF!,28))</f>
        <v>#REF!</v>
      </c>
      <c r="F87" s="38" t="e">
        <f>IF(VLOOKUP(A82,#REF!,35)="","",VLOOKUP(A82,#REF!,35))</f>
        <v>#REF!</v>
      </c>
      <c r="H87" s="25">
        <v>4</v>
      </c>
      <c r="I87" s="36" t="e">
        <f>IF(VLOOKUP(H82,#REF!,7)="","",VLOOKUP(H82,#REF!,7))</f>
        <v>#REF!</v>
      </c>
      <c r="J87" s="36" t="e">
        <f>IF(VLOOKUP(H82,#REF!,14)="","",VLOOKUP(H82,#REF!,14))</f>
        <v>#REF!</v>
      </c>
      <c r="K87" s="36" t="e">
        <f>IF(VLOOKUP(H82,#REF!,21)="","",VLOOKUP(H82,#REF!,21))</f>
        <v>#REF!</v>
      </c>
      <c r="L87" s="36" t="e">
        <f>IF(VLOOKUP(H82,#REF!,28)="","",VLOOKUP(H82,#REF!,28))</f>
        <v>#REF!</v>
      </c>
      <c r="M87" s="38" t="e">
        <f>IF(VLOOKUP(H82,#REF!,35)="","",VLOOKUP(H82,#REF!,35))</f>
        <v>#REF!</v>
      </c>
      <c r="O87" s="25">
        <v>4</v>
      </c>
      <c r="P87" s="36" t="e">
        <f>IF(VLOOKUP(O82,#REF!,7)="","",VLOOKUP(O82,#REF!,7))</f>
        <v>#REF!</v>
      </c>
      <c r="Q87" s="36" t="e">
        <f>IF(VLOOKUP(O82,#REF!,14)="","",VLOOKUP(O82,#REF!,14))</f>
        <v>#REF!</v>
      </c>
      <c r="R87" s="36" t="e">
        <f>IF(VLOOKUP(O82,#REF!,21)="","",VLOOKUP(O82,#REF!,21))</f>
        <v>#REF!</v>
      </c>
      <c r="S87" s="36" t="e">
        <f>IF(VLOOKUP(O82,#REF!,28)="","",VLOOKUP(O82,#REF!,28))</f>
        <v>#REF!</v>
      </c>
      <c r="T87" s="38" t="e">
        <f>IF(VLOOKUP(O82,#REF!,35)="","",VLOOKUP(O82,#REF!,35))</f>
        <v>#REF!</v>
      </c>
      <c r="V87" s="25">
        <v>4</v>
      </c>
      <c r="W87" s="36" t="e">
        <f>IF(VLOOKUP(V82,#REF!,7)="","",VLOOKUP(V82,#REF!,7))</f>
        <v>#REF!</v>
      </c>
      <c r="X87" s="36" t="e">
        <f>IF(VLOOKUP(V82,#REF!,14)="","",VLOOKUP(V82,#REF!,14))</f>
        <v>#REF!</v>
      </c>
      <c r="Y87" s="36" t="e">
        <f>IF(VLOOKUP(V82,#REF!,21)="","",VLOOKUP(V82,#REF!,21))</f>
        <v>#REF!</v>
      </c>
      <c r="Z87" s="36" t="e">
        <f>IF(VLOOKUP(V82,#REF!,28)="","",VLOOKUP(V82,#REF!,28))</f>
        <v>#REF!</v>
      </c>
      <c r="AA87" s="38" t="e">
        <f>IF(VLOOKUP(V82,#REF!,35)="","",VLOOKUP(V82,#REF!,35))</f>
        <v>#REF!</v>
      </c>
    </row>
    <row r="88" spans="1:27" ht="27.9" customHeight="1" x14ac:dyDescent="0.2">
      <c r="A88" s="25">
        <v>5</v>
      </c>
      <c r="B88" s="36" t="e">
        <f>IF(VLOOKUP(A82,#REF!,8)="","",VLOOKUP(A82,#REF!,8))</f>
        <v>#REF!</v>
      </c>
      <c r="C88" s="36" t="e">
        <f>IF(VLOOKUP(A82,#REF!,15)="","",VLOOKUP(A82,#REF!,15))</f>
        <v>#REF!</v>
      </c>
      <c r="D88" s="36" t="e">
        <f>IF(VLOOKUP(A82,#REF!,22)="","",VLOOKUP(A82,#REF!,22))</f>
        <v>#REF!</v>
      </c>
      <c r="E88" s="36" t="e">
        <f>IF(VLOOKUP(A82,#REF!,29)="","",VLOOKUP(A82,#REF!,29))</f>
        <v>#REF!</v>
      </c>
      <c r="F88" s="38" t="e">
        <f>IF(VLOOKUP(A82,#REF!,36)="","",VLOOKUP(A82,#REF!,36))</f>
        <v>#REF!</v>
      </c>
      <c r="H88" s="25">
        <v>5</v>
      </c>
      <c r="I88" s="36" t="e">
        <f>IF(VLOOKUP(H82,#REF!,8)="","",VLOOKUP(H82,#REF!,8))</f>
        <v>#REF!</v>
      </c>
      <c r="J88" s="36" t="e">
        <f>IF(VLOOKUP(H82,#REF!,15)="","",VLOOKUP(H82,#REF!,15))</f>
        <v>#REF!</v>
      </c>
      <c r="K88" s="36" t="e">
        <f>IF(VLOOKUP(H82,#REF!,22)="","",VLOOKUP(H82,#REF!,22))</f>
        <v>#REF!</v>
      </c>
      <c r="L88" s="36" t="e">
        <f>IF(VLOOKUP(H82,#REF!,29)="","",VLOOKUP(H82,#REF!,29))</f>
        <v>#REF!</v>
      </c>
      <c r="M88" s="38" t="e">
        <f>IF(VLOOKUP(H82,#REF!,36)="","",VLOOKUP(H82,#REF!,36))</f>
        <v>#REF!</v>
      </c>
      <c r="O88" s="25">
        <v>5</v>
      </c>
      <c r="P88" s="36" t="e">
        <f>IF(VLOOKUP(O82,#REF!,8)="","",VLOOKUP(O82,#REF!,8))</f>
        <v>#REF!</v>
      </c>
      <c r="Q88" s="36" t="e">
        <f>IF(VLOOKUP(O82,#REF!,15)="","",VLOOKUP(O82,#REF!,15))</f>
        <v>#REF!</v>
      </c>
      <c r="R88" s="36" t="e">
        <f>IF(VLOOKUP(O82,#REF!,22)="","",VLOOKUP(O82,#REF!,22))</f>
        <v>#REF!</v>
      </c>
      <c r="S88" s="36" t="e">
        <f>IF(VLOOKUP(O82,#REF!,29)="","",VLOOKUP(O82,#REF!,29))</f>
        <v>#REF!</v>
      </c>
      <c r="T88" s="38" t="e">
        <f>IF(VLOOKUP(O82,#REF!,36)="","",VLOOKUP(O82,#REF!,36))</f>
        <v>#REF!</v>
      </c>
      <c r="V88" s="25">
        <v>5</v>
      </c>
      <c r="W88" s="36" t="e">
        <f>IF(VLOOKUP(V82,#REF!,8)="","",VLOOKUP(V82,#REF!,8))</f>
        <v>#REF!</v>
      </c>
      <c r="X88" s="36" t="e">
        <f>IF(VLOOKUP(V82,#REF!,15)="","",VLOOKUP(V82,#REF!,15))</f>
        <v>#REF!</v>
      </c>
      <c r="Y88" s="36" t="e">
        <f>IF(VLOOKUP(V82,#REF!,22)="","",VLOOKUP(V82,#REF!,22))</f>
        <v>#REF!</v>
      </c>
      <c r="Z88" s="36" t="e">
        <f>IF(VLOOKUP(V82,#REF!,29)="","",VLOOKUP(V82,#REF!,29))</f>
        <v>#REF!</v>
      </c>
      <c r="AA88" s="38" t="e">
        <f>IF(VLOOKUP(V82,#REF!,36)="","",VLOOKUP(V82,#REF!,36))</f>
        <v>#REF!</v>
      </c>
    </row>
    <row r="89" spans="1:27" ht="27.9" customHeight="1" thickBot="1" x14ac:dyDescent="0.25">
      <c r="A89" s="26">
        <v>6</v>
      </c>
      <c r="B89" s="35" t="e">
        <f>IF(VLOOKUP(A82,#REF!,9)="","",VLOOKUP(A82,#REF!,9))</f>
        <v>#REF!</v>
      </c>
      <c r="C89" s="35" t="e">
        <f>IF(VLOOKUP(A82,#REF!,16)="","",VLOOKUP(A82,#REF!,16))</f>
        <v>#REF!</v>
      </c>
      <c r="D89" s="35" t="e">
        <f>IF(VLOOKUP(A82,#REF!,23)="","",VLOOKUP(A82,#REF!,23))</f>
        <v>#REF!</v>
      </c>
      <c r="E89" s="35" t="e">
        <f>IF(VLOOKUP(A82,#REF!,30)="","",VLOOKUP(A82,#REF!,30))</f>
        <v>#REF!</v>
      </c>
      <c r="F89" s="39" t="e">
        <f>IF(VLOOKUP(A82,#REF!,37)="","",VLOOKUP(A82,#REF!,37))</f>
        <v>#REF!</v>
      </c>
      <c r="H89" s="26">
        <v>6</v>
      </c>
      <c r="I89" s="35" t="e">
        <f>IF(VLOOKUP(H82,#REF!,9)="","",VLOOKUP(H82,#REF!,9))</f>
        <v>#REF!</v>
      </c>
      <c r="J89" s="35" t="e">
        <f>IF(VLOOKUP(H82,#REF!,16)="","",VLOOKUP(H82,#REF!,16))</f>
        <v>#REF!</v>
      </c>
      <c r="K89" s="35" t="e">
        <f>IF(VLOOKUP(H82,#REF!,23)="","",VLOOKUP(H82,#REF!,23))</f>
        <v>#REF!</v>
      </c>
      <c r="L89" s="35" t="e">
        <f>IF(VLOOKUP(H82,#REF!,30)="","",VLOOKUP(H82,#REF!,30))</f>
        <v>#REF!</v>
      </c>
      <c r="M89" s="39" t="e">
        <f>IF(VLOOKUP(H82,#REF!,37)="","",VLOOKUP(H82,#REF!,37))</f>
        <v>#REF!</v>
      </c>
      <c r="O89" s="26">
        <v>6</v>
      </c>
      <c r="P89" s="35" t="e">
        <f>IF(VLOOKUP(O82,#REF!,9)="","",VLOOKUP(O82,#REF!,9))</f>
        <v>#REF!</v>
      </c>
      <c r="Q89" s="35" t="e">
        <f>IF(VLOOKUP(O82,#REF!,16)="","",VLOOKUP(O82,#REF!,16))</f>
        <v>#REF!</v>
      </c>
      <c r="R89" s="35" t="e">
        <f>IF(VLOOKUP(O82,#REF!,23)="","",VLOOKUP(O82,#REF!,23))</f>
        <v>#REF!</v>
      </c>
      <c r="S89" s="35" t="e">
        <f>IF(VLOOKUP(O82,#REF!,30)="","",VLOOKUP(O82,#REF!,30))</f>
        <v>#REF!</v>
      </c>
      <c r="T89" s="39" t="e">
        <f>IF(VLOOKUP(O82,#REF!,37)="","",VLOOKUP(O82,#REF!,37))</f>
        <v>#REF!</v>
      </c>
      <c r="V89" s="26">
        <v>6</v>
      </c>
      <c r="W89" s="35" t="e">
        <f>IF(VLOOKUP(V82,#REF!,9)="","",VLOOKUP(V82,#REF!,9))</f>
        <v>#REF!</v>
      </c>
      <c r="X89" s="35" t="e">
        <f>IF(VLOOKUP(V82,#REF!,16)="","",VLOOKUP(V82,#REF!,16))</f>
        <v>#REF!</v>
      </c>
      <c r="Y89" s="35" t="e">
        <f>IF(VLOOKUP(V82,#REF!,23)="","",VLOOKUP(V82,#REF!,23))</f>
        <v>#REF!</v>
      </c>
      <c r="Z89" s="35" t="e">
        <f>IF(VLOOKUP(V82,#REF!,30)="","",VLOOKUP(V82,#REF!,30))</f>
        <v>#REF!</v>
      </c>
      <c r="AA89" s="39" t="e">
        <f>IF(VLOOKUP(V82,#REF!,37)="","",VLOOKUP(V82,#REF!,37))</f>
        <v>#REF!</v>
      </c>
    </row>
    <row r="90" spans="1:27" ht="20.149999999999999" customHeight="1" x14ac:dyDescent="0.2">
      <c r="A90" s="27"/>
      <c r="B90" s="21"/>
      <c r="C90" s="21"/>
      <c r="D90" s="21"/>
      <c r="E90" s="21"/>
      <c r="F90" s="21"/>
      <c r="H90" s="27"/>
      <c r="I90" s="21"/>
      <c r="J90" s="21"/>
      <c r="K90" s="21"/>
      <c r="L90" s="21"/>
      <c r="M90" s="21"/>
      <c r="O90" s="27"/>
      <c r="P90" s="21"/>
      <c r="Q90" s="21"/>
      <c r="R90" s="21"/>
      <c r="S90" s="21"/>
      <c r="T90" s="21"/>
      <c r="V90" s="27"/>
      <c r="W90" s="21"/>
      <c r="X90" s="21"/>
      <c r="Y90" s="21"/>
      <c r="Z90" s="21"/>
      <c r="AA90" s="21"/>
    </row>
    <row r="91" spans="1:27" ht="27" customHeight="1" x14ac:dyDescent="0.3">
      <c r="A91" s="40" t="e">
        <f>IF(#REF!="","",#REF!)</f>
        <v>#REF!</v>
      </c>
      <c r="D91" t="s">
        <v>23</v>
      </c>
      <c r="H91" s="40" t="e">
        <f>IF(#REF!="","",#REF!)</f>
        <v>#REF!</v>
      </c>
      <c r="K91" t="s">
        <v>23</v>
      </c>
      <c r="O91" s="40" t="e">
        <f>IF(#REF!="","",#REF!)</f>
        <v>#REF!</v>
      </c>
      <c r="R91" t="s">
        <v>23</v>
      </c>
      <c r="V91" s="40" t="e">
        <f>IF(#REF!="","",#REF!)</f>
        <v>#REF!</v>
      </c>
      <c r="Y91" t="s">
        <v>23</v>
      </c>
    </row>
    <row r="92" spans="1:27" ht="17" thickBot="1" x14ac:dyDescent="0.25">
      <c r="A92" s="30">
        <v>37</v>
      </c>
      <c r="H92" s="30">
        <v>38</v>
      </c>
      <c r="O92" s="30">
        <v>39</v>
      </c>
      <c r="V92" s="30">
        <v>40</v>
      </c>
    </row>
    <row r="93" spans="1:27" s="23" customFormat="1" ht="27.9" customHeight="1" x14ac:dyDescent="0.25">
      <c r="A93" s="24"/>
      <c r="B93" s="7" t="s">
        <v>11</v>
      </c>
      <c r="C93" s="7" t="s">
        <v>3</v>
      </c>
      <c r="D93" s="7" t="s">
        <v>5</v>
      </c>
      <c r="E93" s="7" t="s">
        <v>7</v>
      </c>
      <c r="F93" s="9" t="s">
        <v>9</v>
      </c>
      <c r="H93" s="24"/>
      <c r="I93" s="7" t="s">
        <v>11</v>
      </c>
      <c r="J93" s="7" t="s">
        <v>3</v>
      </c>
      <c r="K93" s="7" t="s">
        <v>5</v>
      </c>
      <c r="L93" s="7" t="s">
        <v>7</v>
      </c>
      <c r="M93" s="9" t="s">
        <v>9</v>
      </c>
      <c r="O93" s="24"/>
      <c r="P93" s="7" t="s">
        <v>11</v>
      </c>
      <c r="Q93" s="7" t="s">
        <v>3</v>
      </c>
      <c r="R93" s="7" t="s">
        <v>5</v>
      </c>
      <c r="S93" s="7" t="s">
        <v>7</v>
      </c>
      <c r="T93" s="9" t="s">
        <v>9</v>
      </c>
      <c r="V93" s="24"/>
      <c r="W93" s="7" t="s">
        <v>11</v>
      </c>
      <c r="X93" s="7" t="s">
        <v>3</v>
      </c>
      <c r="Y93" s="7" t="s">
        <v>5</v>
      </c>
      <c r="Z93" s="7" t="s">
        <v>7</v>
      </c>
      <c r="AA93" s="9" t="s">
        <v>9</v>
      </c>
    </row>
    <row r="94" spans="1:27" ht="27.9" customHeight="1" x14ac:dyDescent="0.2">
      <c r="A94" s="25">
        <v>1</v>
      </c>
      <c r="B94" s="36" t="e">
        <f>IF(VLOOKUP(A92,#REF!,4)="","",VLOOKUP(A92,#REF!,4))</f>
        <v>#REF!</v>
      </c>
      <c r="C94" s="36" t="e">
        <f>IF(VLOOKUP(A92,#REF!,11)="","",VLOOKUP(A92,#REF!,11))</f>
        <v>#REF!</v>
      </c>
      <c r="D94" s="36" t="e">
        <f>IF(VLOOKUP(A92,#REF!,18)="","",VLOOKUP(A92,#REF!,18))</f>
        <v>#REF!</v>
      </c>
      <c r="E94" s="36" t="e">
        <f>IF(VLOOKUP(A92,#REF!,25)="","",VLOOKUP(A92,#REF!,25))</f>
        <v>#REF!</v>
      </c>
      <c r="F94" s="38" t="e">
        <f>IF(VLOOKUP(A92,#REF!,32)="","",VLOOKUP(A92,#REF!,32))</f>
        <v>#REF!</v>
      </c>
      <c r="H94" s="25">
        <v>1</v>
      </c>
      <c r="I94" s="36" t="e">
        <f>IF(VLOOKUP(H92,#REF!,4)="","",VLOOKUP(H92,#REF!,4))</f>
        <v>#REF!</v>
      </c>
      <c r="J94" s="36" t="e">
        <f>IF(VLOOKUP(H92,#REF!,11)="","",VLOOKUP(H92,#REF!,11))</f>
        <v>#REF!</v>
      </c>
      <c r="K94" s="36" t="e">
        <f>IF(VLOOKUP(H92,#REF!,18)="","",VLOOKUP(H92,#REF!,18))</f>
        <v>#REF!</v>
      </c>
      <c r="L94" s="36" t="e">
        <f>IF(VLOOKUP(H92,#REF!,25)="","",VLOOKUP(H92,#REF!,25))</f>
        <v>#REF!</v>
      </c>
      <c r="M94" s="38" t="e">
        <f>IF(VLOOKUP(H92,#REF!,32)="","",VLOOKUP(H92,#REF!,32))</f>
        <v>#REF!</v>
      </c>
      <c r="O94" s="25">
        <v>1</v>
      </c>
      <c r="P94" s="36" t="e">
        <f>IF(VLOOKUP(O92,#REF!,4)="","",VLOOKUP(O92,#REF!,4))</f>
        <v>#REF!</v>
      </c>
      <c r="Q94" s="36" t="e">
        <f>IF(VLOOKUP(O92,#REF!,11)="","",VLOOKUP(O92,#REF!,11))</f>
        <v>#REF!</v>
      </c>
      <c r="R94" s="36" t="e">
        <f>IF(VLOOKUP(O92,#REF!,18)="","",VLOOKUP(O92,#REF!,18))</f>
        <v>#REF!</v>
      </c>
      <c r="S94" s="36" t="e">
        <f>IF(VLOOKUP(O92,#REF!,25)="","",VLOOKUP(O92,#REF!,25))</f>
        <v>#REF!</v>
      </c>
      <c r="T94" s="38" t="e">
        <f>IF(VLOOKUP(O92,#REF!,32)="","",VLOOKUP(O92,#REF!,32))</f>
        <v>#REF!</v>
      </c>
      <c r="V94" s="25">
        <v>1</v>
      </c>
      <c r="W94" s="36" t="e">
        <f>IF(VLOOKUP(V92,#REF!,4)="","",VLOOKUP(V92,#REF!,4))</f>
        <v>#REF!</v>
      </c>
      <c r="X94" s="36" t="e">
        <f>IF(VLOOKUP(V92,#REF!,11)="","",VLOOKUP(V92,#REF!,11))</f>
        <v>#REF!</v>
      </c>
      <c r="Y94" s="36" t="e">
        <f>IF(VLOOKUP(V92,#REF!,18)="","",VLOOKUP(V92,#REF!,18))</f>
        <v>#REF!</v>
      </c>
      <c r="Z94" s="36" t="e">
        <f>IF(VLOOKUP(V92,#REF!,25)="","",VLOOKUP(V92,#REF!,25))</f>
        <v>#REF!</v>
      </c>
      <c r="AA94" s="38" t="e">
        <f>IF(VLOOKUP(V92,#REF!,32)="","",VLOOKUP(V92,#REF!,32))</f>
        <v>#REF!</v>
      </c>
    </row>
    <row r="95" spans="1:27" ht="27.9" customHeight="1" x14ac:dyDescent="0.2">
      <c r="A95" s="25">
        <v>2</v>
      </c>
      <c r="B95" s="36" t="e">
        <f>IF(VLOOKUP(A92,#REF!,5)="","",VLOOKUP(A92,#REF!,5))</f>
        <v>#REF!</v>
      </c>
      <c r="C95" s="36" t="e">
        <f>IF(VLOOKUP(A92,#REF!,12)="","",VLOOKUP(A92,#REF!,12))</f>
        <v>#REF!</v>
      </c>
      <c r="D95" s="36" t="e">
        <f>IF(VLOOKUP(A92,#REF!,19)="","",VLOOKUP(A92,#REF!,19))</f>
        <v>#REF!</v>
      </c>
      <c r="E95" s="36" t="e">
        <f>IF(VLOOKUP(A92,#REF!,26)="","",VLOOKUP(A92,#REF!,26))</f>
        <v>#REF!</v>
      </c>
      <c r="F95" s="38" t="e">
        <f>IF(VLOOKUP(A92,#REF!,33)="","",VLOOKUP(A92,#REF!,33))</f>
        <v>#REF!</v>
      </c>
      <c r="H95" s="25">
        <v>2</v>
      </c>
      <c r="I95" s="36" t="e">
        <f>IF(VLOOKUP(H92,#REF!,5)="","",VLOOKUP(H92,#REF!,5))</f>
        <v>#REF!</v>
      </c>
      <c r="J95" s="36" t="e">
        <f>IF(VLOOKUP(H92,#REF!,12)="","",VLOOKUP(H92,#REF!,12))</f>
        <v>#REF!</v>
      </c>
      <c r="K95" s="36" t="e">
        <f>IF(VLOOKUP(H92,#REF!,19)="","",VLOOKUP(H92,#REF!,19))</f>
        <v>#REF!</v>
      </c>
      <c r="L95" s="36" t="e">
        <f>IF(VLOOKUP(H92,#REF!,26)="","",VLOOKUP(H92,#REF!,26))</f>
        <v>#REF!</v>
      </c>
      <c r="M95" s="38" t="e">
        <f>IF(VLOOKUP(H92,#REF!,33)="","",VLOOKUP(H92,#REF!,33))</f>
        <v>#REF!</v>
      </c>
      <c r="O95" s="25">
        <v>2</v>
      </c>
      <c r="P95" s="36" t="e">
        <f>IF(VLOOKUP(O92,#REF!,5)="","",VLOOKUP(O92,#REF!,5))</f>
        <v>#REF!</v>
      </c>
      <c r="Q95" s="36" t="e">
        <f>IF(VLOOKUP(O92,#REF!,12)="","",VLOOKUP(O92,#REF!,12))</f>
        <v>#REF!</v>
      </c>
      <c r="R95" s="36" t="e">
        <f>IF(VLOOKUP(O92,#REF!,19)="","",VLOOKUP(O92,#REF!,19))</f>
        <v>#REF!</v>
      </c>
      <c r="S95" s="36" t="e">
        <f>IF(VLOOKUP(O92,#REF!,26)="","",VLOOKUP(O92,#REF!,26))</f>
        <v>#REF!</v>
      </c>
      <c r="T95" s="38" t="e">
        <f>IF(VLOOKUP(O92,#REF!,33)="","",VLOOKUP(O92,#REF!,33))</f>
        <v>#REF!</v>
      </c>
      <c r="V95" s="25">
        <v>2</v>
      </c>
      <c r="W95" s="36" t="e">
        <f>IF(VLOOKUP(V92,#REF!,5)="","",VLOOKUP(V92,#REF!,5))</f>
        <v>#REF!</v>
      </c>
      <c r="X95" s="36" t="e">
        <f>IF(VLOOKUP(V92,#REF!,12)="","",VLOOKUP(V92,#REF!,12))</f>
        <v>#REF!</v>
      </c>
      <c r="Y95" s="36" t="e">
        <f>IF(VLOOKUP(V92,#REF!,19)="","",VLOOKUP(V92,#REF!,19))</f>
        <v>#REF!</v>
      </c>
      <c r="Z95" s="36" t="e">
        <f>IF(VLOOKUP(V92,#REF!,26)="","",VLOOKUP(V92,#REF!,26))</f>
        <v>#REF!</v>
      </c>
      <c r="AA95" s="38" t="e">
        <f>IF(VLOOKUP(V92,#REF!,33)="","",VLOOKUP(V92,#REF!,33))</f>
        <v>#REF!</v>
      </c>
    </row>
    <row r="96" spans="1:27" ht="27.9" customHeight="1" x14ac:dyDescent="0.2">
      <c r="A96" s="25">
        <v>3</v>
      </c>
      <c r="B96" s="36" t="e">
        <f>IF(VLOOKUP(A92,#REF!,6)="","",VLOOKUP(A92,#REF!,6))</f>
        <v>#REF!</v>
      </c>
      <c r="C96" s="36" t="e">
        <f>IF(VLOOKUP(A92,#REF!,13)="","",VLOOKUP(A92,#REF!,13))</f>
        <v>#REF!</v>
      </c>
      <c r="D96" s="36" t="e">
        <f>IF(VLOOKUP(A92,#REF!,20)="","",VLOOKUP(A92,#REF!,20))</f>
        <v>#REF!</v>
      </c>
      <c r="E96" s="36" t="e">
        <f>IF(VLOOKUP(A92,#REF!,27)="","",VLOOKUP(A92,#REF!,27))</f>
        <v>#REF!</v>
      </c>
      <c r="F96" s="38" t="e">
        <f>IF(VLOOKUP(A92,#REF!,34)="","",VLOOKUP(A92,#REF!,34))</f>
        <v>#REF!</v>
      </c>
      <c r="H96" s="25">
        <v>3</v>
      </c>
      <c r="I96" s="36" t="e">
        <f>IF(VLOOKUP(H92,#REF!,6)="","",VLOOKUP(H92,#REF!,6))</f>
        <v>#REF!</v>
      </c>
      <c r="J96" s="36" t="e">
        <f>IF(VLOOKUP(H92,#REF!,13)="","",VLOOKUP(H92,#REF!,13))</f>
        <v>#REF!</v>
      </c>
      <c r="K96" s="36" t="e">
        <f>IF(VLOOKUP(H92,#REF!,20)="","",VLOOKUP(H92,#REF!,20))</f>
        <v>#REF!</v>
      </c>
      <c r="L96" s="36" t="e">
        <f>IF(VLOOKUP(H92,#REF!,27)="","",VLOOKUP(H92,#REF!,27))</f>
        <v>#REF!</v>
      </c>
      <c r="M96" s="38" t="e">
        <f>IF(VLOOKUP(H92,#REF!,34)="","",VLOOKUP(H92,#REF!,34))</f>
        <v>#REF!</v>
      </c>
      <c r="O96" s="25">
        <v>3</v>
      </c>
      <c r="P96" s="36" t="e">
        <f>IF(VLOOKUP(O92,#REF!,6)="","",VLOOKUP(O92,#REF!,6))</f>
        <v>#REF!</v>
      </c>
      <c r="Q96" s="36" t="e">
        <f>IF(VLOOKUP(O92,#REF!,13)="","",VLOOKUP(O92,#REF!,13))</f>
        <v>#REF!</v>
      </c>
      <c r="R96" s="36" t="e">
        <f>IF(VLOOKUP(O92,#REF!,20)="","",VLOOKUP(O92,#REF!,20))</f>
        <v>#REF!</v>
      </c>
      <c r="S96" s="36" t="e">
        <f>IF(VLOOKUP(O92,#REF!,27)="","",VLOOKUP(O92,#REF!,27))</f>
        <v>#REF!</v>
      </c>
      <c r="T96" s="38" t="e">
        <f>IF(VLOOKUP(O92,#REF!,34)="","",VLOOKUP(O92,#REF!,34))</f>
        <v>#REF!</v>
      </c>
      <c r="V96" s="25">
        <v>3</v>
      </c>
      <c r="W96" s="36" t="e">
        <f>IF(VLOOKUP(V92,#REF!,6)="","",VLOOKUP(V92,#REF!,6))</f>
        <v>#REF!</v>
      </c>
      <c r="X96" s="36" t="e">
        <f>IF(VLOOKUP(V92,#REF!,13)="","",VLOOKUP(V92,#REF!,13))</f>
        <v>#REF!</v>
      </c>
      <c r="Y96" s="36" t="e">
        <f>IF(VLOOKUP(V92,#REF!,20)="","",VLOOKUP(V92,#REF!,20))</f>
        <v>#REF!</v>
      </c>
      <c r="Z96" s="36" t="e">
        <f>IF(VLOOKUP(V92,#REF!,27)="","",VLOOKUP(V92,#REF!,27))</f>
        <v>#REF!</v>
      </c>
      <c r="AA96" s="38" t="e">
        <f>IF(VLOOKUP(V92,#REF!,34)="","",VLOOKUP(V92,#REF!,34))</f>
        <v>#REF!</v>
      </c>
    </row>
    <row r="97" spans="1:27" ht="27.9" customHeight="1" x14ac:dyDescent="0.2">
      <c r="A97" s="25">
        <v>4</v>
      </c>
      <c r="B97" s="36" t="e">
        <f>IF(VLOOKUP(A92,#REF!,7)="","",VLOOKUP(A92,#REF!,7))</f>
        <v>#REF!</v>
      </c>
      <c r="C97" s="36" t="e">
        <f>IF(VLOOKUP(A92,#REF!,14)="","",VLOOKUP(A92,#REF!,14))</f>
        <v>#REF!</v>
      </c>
      <c r="D97" s="36" t="e">
        <f>IF(VLOOKUP(A92,#REF!,21)="","",VLOOKUP(A92,#REF!,21))</f>
        <v>#REF!</v>
      </c>
      <c r="E97" s="36" t="e">
        <f>IF(VLOOKUP(A92,#REF!,28)="","",VLOOKUP(A92,#REF!,28))</f>
        <v>#REF!</v>
      </c>
      <c r="F97" s="38" t="e">
        <f>IF(VLOOKUP(A92,#REF!,35)="","",VLOOKUP(A92,#REF!,35))</f>
        <v>#REF!</v>
      </c>
      <c r="H97" s="25">
        <v>4</v>
      </c>
      <c r="I97" s="36" t="e">
        <f>IF(VLOOKUP(H92,#REF!,7)="","",VLOOKUP(H92,#REF!,7))</f>
        <v>#REF!</v>
      </c>
      <c r="J97" s="36" t="e">
        <f>IF(VLOOKUP(H92,#REF!,14)="","",VLOOKUP(H92,#REF!,14))</f>
        <v>#REF!</v>
      </c>
      <c r="K97" s="36" t="e">
        <f>IF(VLOOKUP(H92,#REF!,21)="","",VLOOKUP(H92,#REF!,21))</f>
        <v>#REF!</v>
      </c>
      <c r="L97" s="36" t="e">
        <f>IF(VLOOKUP(H92,#REF!,28)="","",VLOOKUP(H92,#REF!,28))</f>
        <v>#REF!</v>
      </c>
      <c r="M97" s="38" t="e">
        <f>IF(VLOOKUP(H92,#REF!,35)="","",VLOOKUP(H92,#REF!,35))</f>
        <v>#REF!</v>
      </c>
      <c r="O97" s="25">
        <v>4</v>
      </c>
      <c r="P97" s="36" t="e">
        <f>IF(VLOOKUP(O92,#REF!,7)="","",VLOOKUP(O92,#REF!,7))</f>
        <v>#REF!</v>
      </c>
      <c r="Q97" s="36" t="e">
        <f>IF(VLOOKUP(O92,#REF!,14)="","",VLOOKUP(O92,#REF!,14))</f>
        <v>#REF!</v>
      </c>
      <c r="R97" s="36" t="e">
        <f>IF(VLOOKUP(O92,#REF!,21)="","",VLOOKUP(O92,#REF!,21))</f>
        <v>#REF!</v>
      </c>
      <c r="S97" s="36" t="e">
        <f>IF(VLOOKUP(O92,#REF!,28)="","",VLOOKUP(O92,#REF!,28))</f>
        <v>#REF!</v>
      </c>
      <c r="T97" s="38" t="e">
        <f>IF(VLOOKUP(O92,#REF!,35)="","",VLOOKUP(O92,#REF!,35))</f>
        <v>#REF!</v>
      </c>
      <c r="V97" s="25">
        <v>4</v>
      </c>
      <c r="W97" s="36" t="e">
        <f>IF(VLOOKUP(V92,#REF!,7)="","",VLOOKUP(V92,#REF!,7))</f>
        <v>#REF!</v>
      </c>
      <c r="X97" s="36" t="e">
        <f>IF(VLOOKUP(V92,#REF!,14)="","",VLOOKUP(V92,#REF!,14))</f>
        <v>#REF!</v>
      </c>
      <c r="Y97" s="36" t="e">
        <f>IF(VLOOKUP(V92,#REF!,21)="","",VLOOKUP(V92,#REF!,21))</f>
        <v>#REF!</v>
      </c>
      <c r="Z97" s="36" t="e">
        <f>IF(VLOOKUP(V92,#REF!,28)="","",VLOOKUP(V92,#REF!,28))</f>
        <v>#REF!</v>
      </c>
      <c r="AA97" s="38" t="e">
        <f>IF(VLOOKUP(V92,#REF!,35)="","",VLOOKUP(V92,#REF!,35))</f>
        <v>#REF!</v>
      </c>
    </row>
    <row r="98" spans="1:27" ht="27.9" customHeight="1" x14ac:dyDescent="0.2">
      <c r="A98" s="25">
        <v>5</v>
      </c>
      <c r="B98" s="36" t="e">
        <f>IF(VLOOKUP(A92,#REF!,8)="","",VLOOKUP(A92,#REF!,8))</f>
        <v>#REF!</v>
      </c>
      <c r="C98" s="36" t="e">
        <f>IF(VLOOKUP(A92,#REF!,15)="","",VLOOKUP(A92,#REF!,15))</f>
        <v>#REF!</v>
      </c>
      <c r="D98" s="36" t="e">
        <f>IF(VLOOKUP(A92,#REF!,22)="","",VLOOKUP(A92,#REF!,22))</f>
        <v>#REF!</v>
      </c>
      <c r="E98" s="36" t="e">
        <f>IF(VLOOKUP(A92,#REF!,29)="","",VLOOKUP(A92,#REF!,29))</f>
        <v>#REF!</v>
      </c>
      <c r="F98" s="38" t="e">
        <f>IF(VLOOKUP(A92,#REF!,36)="","",VLOOKUP(A92,#REF!,36))</f>
        <v>#REF!</v>
      </c>
      <c r="H98" s="25">
        <v>5</v>
      </c>
      <c r="I98" s="36" t="e">
        <f>IF(VLOOKUP(H92,#REF!,8)="","",VLOOKUP(H92,#REF!,8))</f>
        <v>#REF!</v>
      </c>
      <c r="J98" s="36" t="e">
        <f>IF(VLOOKUP(H92,#REF!,15)="","",VLOOKUP(H92,#REF!,15))</f>
        <v>#REF!</v>
      </c>
      <c r="K98" s="36" t="e">
        <f>IF(VLOOKUP(H92,#REF!,22)="","",VLOOKUP(H92,#REF!,22))</f>
        <v>#REF!</v>
      </c>
      <c r="L98" s="36" t="e">
        <f>IF(VLOOKUP(H92,#REF!,29)="","",VLOOKUP(H92,#REF!,29))</f>
        <v>#REF!</v>
      </c>
      <c r="M98" s="38" t="e">
        <f>IF(VLOOKUP(H92,#REF!,36)="","",VLOOKUP(H92,#REF!,36))</f>
        <v>#REF!</v>
      </c>
      <c r="O98" s="25">
        <v>5</v>
      </c>
      <c r="P98" s="36" t="e">
        <f>IF(VLOOKUP(O92,#REF!,8)="","",VLOOKUP(O92,#REF!,8))</f>
        <v>#REF!</v>
      </c>
      <c r="Q98" s="36" t="e">
        <f>IF(VLOOKUP(O92,#REF!,15)="","",VLOOKUP(O92,#REF!,15))</f>
        <v>#REF!</v>
      </c>
      <c r="R98" s="36" t="e">
        <f>IF(VLOOKUP(O92,#REF!,22)="","",VLOOKUP(O92,#REF!,22))</f>
        <v>#REF!</v>
      </c>
      <c r="S98" s="36" t="e">
        <f>IF(VLOOKUP(O92,#REF!,29)="","",VLOOKUP(O92,#REF!,29))</f>
        <v>#REF!</v>
      </c>
      <c r="T98" s="38" t="e">
        <f>IF(VLOOKUP(O92,#REF!,36)="","",VLOOKUP(O92,#REF!,36))</f>
        <v>#REF!</v>
      </c>
      <c r="V98" s="25">
        <v>5</v>
      </c>
      <c r="W98" s="36" t="e">
        <f>IF(VLOOKUP(V92,#REF!,8)="","",VLOOKUP(V92,#REF!,8))</f>
        <v>#REF!</v>
      </c>
      <c r="X98" s="36" t="e">
        <f>IF(VLOOKUP(V92,#REF!,15)="","",VLOOKUP(V92,#REF!,15))</f>
        <v>#REF!</v>
      </c>
      <c r="Y98" s="36" t="e">
        <f>IF(VLOOKUP(V92,#REF!,22)="","",VLOOKUP(V92,#REF!,22))</f>
        <v>#REF!</v>
      </c>
      <c r="Z98" s="36" t="e">
        <f>IF(VLOOKUP(V92,#REF!,29)="","",VLOOKUP(V92,#REF!,29))</f>
        <v>#REF!</v>
      </c>
      <c r="AA98" s="38" t="e">
        <f>IF(VLOOKUP(V92,#REF!,36)="","",VLOOKUP(V92,#REF!,36))</f>
        <v>#REF!</v>
      </c>
    </row>
    <row r="99" spans="1:27" ht="27.9" customHeight="1" thickBot="1" x14ac:dyDescent="0.25">
      <c r="A99" s="26">
        <v>6</v>
      </c>
      <c r="B99" s="35" t="e">
        <f>IF(VLOOKUP(A92,#REF!,9)="","",VLOOKUP(A92,#REF!,9))</f>
        <v>#REF!</v>
      </c>
      <c r="C99" s="35" t="e">
        <f>IF(VLOOKUP(A92,#REF!,16)="","",VLOOKUP(A92,#REF!,16))</f>
        <v>#REF!</v>
      </c>
      <c r="D99" s="35" t="e">
        <f>IF(VLOOKUP(A92,#REF!,23)="","",VLOOKUP(A92,#REF!,23))</f>
        <v>#REF!</v>
      </c>
      <c r="E99" s="35" t="e">
        <f>IF(VLOOKUP(A92,#REF!,30)="","",VLOOKUP(A92,#REF!,30))</f>
        <v>#REF!</v>
      </c>
      <c r="F99" s="39" t="e">
        <f>IF(VLOOKUP(A92,#REF!,37)="","",VLOOKUP(A92,#REF!,37))</f>
        <v>#REF!</v>
      </c>
      <c r="H99" s="26">
        <v>6</v>
      </c>
      <c r="I99" s="35" t="e">
        <f>IF(VLOOKUP(H92,#REF!,9)="","",VLOOKUP(H92,#REF!,9))</f>
        <v>#REF!</v>
      </c>
      <c r="J99" s="35" t="e">
        <f>IF(VLOOKUP(H92,#REF!,16)="","",VLOOKUP(H92,#REF!,16))</f>
        <v>#REF!</v>
      </c>
      <c r="K99" s="35" t="e">
        <f>IF(VLOOKUP(H92,#REF!,23)="","",VLOOKUP(H92,#REF!,23))</f>
        <v>#REF!</v>
      </c>
      <c r="L99" s="35" t="e">
        <f>IF(VLOOKUP(H92,#REF!,30)="","",VLOOKUP(H92,#REF!,30))</f>
        <v>#REF!</v>
      </c>
      <c r="M99" s="39" t="e">
        <f>IF(VLOOKUP(H92,#REF!,37)="","",VLOOKUP(H92,#REF!,37))</f>
        <v>#REF!</v>
      </c>
      <c r="O99" s="26">
        <v>6</v>
      </c>
      <c r="P99" s="35" t="e">
        <f>IF(VLOOKUP(O92,#REF!,9)="","",VLOOKUP(O92,#REF!,9))</f>
        <v>#REF!</v>
      </c>
      <c r="Q99" s="35" t="e">
        <f>IF(VLOOKUP(O92,#REF!,16)="","",VLOOKUP(O92,#REF!,16))</f>
        <v>#REF!</v>
      </c>
      <c r="R99" s="35" t="e">
        <f>IF(VLOOKUP(O92,#REF!,23)="","",VLOOKUP(O92,#REF!,23))</f>
        <v>#REF!</v>
      </c>
      <c r="S99" s="35" t="e">
        <f>IF(VLOOKUP(O92,#REF!,30)="","",VLOOKUP(O92,#REF!,30))</f>
        <v>#REF!</v>
      </c>
      <c r="T99" s="39" t="e">
        <f>IF(VLOOKUP(O92,#REF!,37)="","",VLOOKUP(O92,#REF!,37))</f>
        <v>#REF!</v>
      </c>
      <c r="V99" s="26">
        <v>6</v>
      </c>
      <c r="W99" s="35" t="e">
        <f>IF(VLOOKUP(V92,#REF!,9)="","",VLOOKUP(V92,#REF!,9))</f>
        <v>#REF!</v>
      </c>
      <c r="X99" s="35" t="e">
        <f>IF(VLOOKUP(V92,#REF!,16)="","",VLOOKUP(V92,#REF!,16))</f>
        <v>#REF!</v>
      </c>
      <c r="Y99" s="35" t="e">
        <f>IF(VLOOKUP(V92,#REF!,23)="","",VLOOKUP(V92,#REF!,23))</f>
        <v>#REF!</v>
      </c>
      <c r="Z99" s="35" t="e">
        <f>IF(VLOOKUP(V92,#REF!,30)="","",VLOOKUP(V92,#REF!,30))</f>
        <v>#REF!</v>
      </c>
      <c r="AA99" s="39" t="e">
        <f>IF(VLOOKUP(V92,#REF!,37)="","",VLOOKUP(V92,#REF!,37))</f>
        <v>#REF!</v>
      </c>
    </row>
  </sheetData>
  <sheetProtection algorithmName="SHA-512" hashValue="o+3j6HtGaBsxNmk44FtNPjdSqd2axRQzh6tXYYdG5yLCtwgNMnRNep+q8bCnuI3rT0ViwCLM7ZPCGrTdtaU3Vg==" saltValue="tqm1oH4B5/6q430aX9UvSg==" spinCount="100000" sheet="1" objects="1" scenarios="1"/>
  <customSheetViews>
    <customSheetView guid="{588B52CB-128D-4476-A8D0-8A203A5F17F0}" scale="55" showPageBreaks="1" view="pageBreakPreview">
      <selection activeCell="O31" sqref="O31"/>
      <rowBreaks count="2" manualBreakCount="2">
        <brk id="30" max="16383" man="1"/>
        <brk id="60" max="16383" man="1"/>
      </rowBreaks>
      <pageMargins left="0.39370078740157483" right="0.39370078740157483" top="0.78740157480314965" bottom="0.78740157480314965" header="0.51181102362204722" footer="0.51181102362204722"/>
      <printOptions horizontalCentered="1" verticalCentered="1"/>
      <pageSetup paperSize="9" scale="67" orientation="landscape" r:id="rId1"/>
      <headerFooter alignWithMargins="0">
        <oddHeader>&amp;R&amp;D&amp;T</oddHeader>
      </headerFooter>
    </customSheetView>
  </customSheetViews>
  <phoneticPr fontId="7"/>
  <printOptions horizontalCentered="1" verticalCentered="1"/>
  <pageMargins left="0.39370078740157483" right="0.39370078740157483" top="0.78740157480314965" bottom="0.78740157480314965" header="0.51181102362204722" footer="0.51181102362204722"/>
  <pageSetup paperSize="9" scale="67" orientation="landscape" r:id="rId2"/>
  <headerFooter alignWithMargins="0">
    <oddHeader>&amp;R&amp;D&amp;T</oddHeader>
  </headerFooter>
  <rowBreaks count="2" manualBreakCount="2">
    <brk id="30" max="16383" man="1"/>
    <brk id="6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69"/>
  <sheetViews>
    <sheetView view="pageBreakPreview" zoomScale="110" zoomScaleSheetLayoutView="110" workbookViewId="0">
      <selection activeCell="A51" sqref="A51:B51"/>
    </sheetView>
  </sheetViews>
  <sheetFormatPr defaultRowHeight="16.5" x14ac:dyDescent="0.25"/>
  <cols>
    <col min="1" max="1" width="5.6328125" style="23" customWidth="1"/>
    <col min="2" max="6" width="5.6328125" customWidth="1"/>
    <col min="7" max="7" width="8.6328125" customWidth="1"/>
    <col min="8" max="8" width="5.6328125" style="23" customWidth="1"/>
    <col min="9" max="13" width="5.6328125" customWidth="1"/>
    <col min="14" max="14" width="8.6328125" customWidth="1"/>
    <col min="15" max="15" width="5.6328125" style="23" customWidth="1"/>
    <col min="16" max="20" width="5.6328125" customWidth="1"/>
  </cols>
  <sheetData>
    <row r="1" spans="1:20" s="28" customFormat="1" ht="20.149999999999999" customHeight="1" x14ac:dyDescent="0.3">
      <c r="A1" s="325" t="s">
        <v>281</v>
      </c>
      <c r="B1" s="325"/>
      <c r="C1" s="326" t="str">
        <f>IF('クラス別一覧（入力）'!$B9="","",'クラス別一覧（入力）'!$B9)</f>
        <v>1A</v>
      </c>
      <c r="D1" s="326"/>
      <c r="H1" s="325" t="s">
        <v>281</v>
      </c>
      <c r="I1" s="325"/>
      <c r="J1" s="326" t="s">
        <v>24</v>
      </c>
      <c r="K1" s="326"/>
      <c r="O1" s="325" t="s">
        <v>281</v>
      </c>
      <c r="P1" s="325"/>
      <c r="Q1" s="326" t="s">
        <v>28</v>
      </c>
      <c r="R1" s="326"/>
    </row>
    <row r="2" spans="1:20" ht="17" thickBot="1" x14ac:dyDescent="0.3">
      <c r="A2" s="29">
        <v>1</v>
      </c>
      <c r="H2" s="29">
        <v>2</v>
      </c>
      <c r="O2" s="29">
        <v>3</v>
      </c>
    </row>
    <row r="3" spans="1:20" s="23" customFormat="1" ht="24.9" customHeight="1" x14ac:dyDescent="0.25">
      <c r="A3" s="24"/>
      <c r="B3" s="7" t="s">
        <v>11</v>
      </c>
      <c r="C3" s="7" t="s">
        <v>3</v>
      </c>
      <c r="D3" s="7" t="s">
        <v>5</v>
      </c>
      <c r="E3" s="7" t="s">
        <v>7</v>
      </c>
      <c r="F3" s="9" t="s">
        <v>9</v>
      </c>
      <c r="H3" s="24"/>
      <c r="I3" s="7" t="s">
        <v>11</v>
      </c>
      <c r="J3" s="7" t="s">
        <v>3</v>
      </c>
      <c r="K3" s="7" t="s">
        <v>5</v>
      </c>
      <c r="L3" s="7" t="s">
        <v>7</v>
      </c>
      <c r="M3" s="9" t="s">
        <v>9</v>
      </c>
      <c r="O3" s="24"/>
      <c r="P3" s="7" t="s">
        <v>11</v>
      </c>
      <c r="Q3" s="7" t="s">
        <v>3</v>
      </c>
      <c r="R3" s="7" t="s">
        <v>5</v>
      </c>
      <c r="S3" s="7" t="s">
        <v>7</v>
      </c>
      <c r="T3" s="9" t="s">
        <v>9</v>
      </c>
    </row>
    <row r="4" spans="1:20" ht="24.9" customHeight="1" x14ac:dyDescent="0.2">
      <c r="A4" s="25">
        <v>1</v>
      </c>
      <c r="B4" s="10" t="str">
        <f>IF(VLOOKUP(A2,'クラス別一覧（入力）'!$A$9:$AJ$29,3)="","",VLOOKUP(A2,'クラス別一覧（入力）'!$A$9:$AJ$29,3))</f>
        <v>数</v>
      </c>
      <c r="C4" s="10" t="str">
        <f>IF(VLOOKUP(A2,'クラス別一覧（入力）'!$A$9:$AJ$29,10)="","",VLOOKUP(A2,'クラス別一覧（入力）'!$A$9:$AJ$29,10))</f>
        <v>技</v>
      </c>
      <c r="D4" s="10" t="str">
        <f>IF(VLOOKUP(A2,'クラス別一覧（入力）'!$A$9:$AJ$29,17)="","",VLOOKUP(A2,'クラス別一覧（入力）'!$A$9:$AJ$29,17))</f>
        <v>社</v>
      </c>
      <c r="E4" s="10" t="str">
        <f>IF(VLOOKUP(A2,'クラス別一覧（入力）'!$A$9:$AJ$29,24)="","",VLOOKUP(A2,'クラス別一覧（入力）'!$A$9:$AJ$29,24))</f>
        <v>美</v>
      </c>
      <c r="F4" s="11" t="str">
        <f>IF(VLOOKUP(A2,'クラス別一覧（入力）'!$A$9:$AJ$29,31)="","",VLOOKUP(A2,'クラス別一覧（入力）'!$A$9:$AJ$29,31))</f>
        <v>社</v>
      </c>
      <c r="H4" s="25">
        <v>1</v>
      </c>
      <c r="I4" s="10" t="str">
        <f>IF(VLOOKUP(H2,'クラス別一覧（入力）'!$A$9:$AJ$29,3)="","",VLOOKUP(H2,'クラス別一覧（入力）'!$A$9:$AJ$29,3))</f>
        <v>音</v>
      </c>
      <c r="J4" s="10" t="str">
        <f>IF(VLOOKUP(H2,'クラス別一覧（入力）'!$A$9:$AJ$29,10)="","",VLOOKUP(H2,'クラス別一覧（入力）'!$A$9:$AJ$29,10))</f>
        <v>家</v>
      </c>
      <c r="K4" s="10" t="str">
        <f>IF(VLOOKUP(H2,'クラス別一覧（入力）'!$A$9:$AJ$29,17)="","",VLOOKUP(H2,'クラス別一覧（入力）'!$A$9:$AJ$29,17))</f>
        <v>数</v>
      </c>
      <c r="L4" s="10" t="str">
        <f>IF(VLOOKUP(H2,'クラス別一覧（入力）'!$A$9:$AJ$29,24)="","",VLOOKUP(H2,'クラス別一覧（入力）'!$A$9:$AJ$29,24))</f>
        <v>数</v>
      </c>
      <c r="M4" s="11" t="str">
        <f>IF(VLOOKUP(H2,'クラス別一覧（入力）'!$A$9:$AJ$29,31)="","",VLOOKUP(H2,'クラス別一覧（入力）'!$A$9:$AJ$29,31))</f>
        <v>英</v>
      </c>
      <c r="O4" s="25">
        <v>1</v>
      </c>
      <c r="P4" s="10" t="str">
        <f>IF(VLOOKUP(O2,'クラス別一覧（入力）'!$A$9:$AJ$29,3)="","",VLOOKUP(O2,'クラス別一覧（入力）'!$A$9:$AJ$29,3))</f>
        <v>英</v>
      </c>
      <c r="Q4" s="10" t="str">
        <f>IF(VLOOKUP(O2,'クラス別一覧（入力）'!$A$9:$AJ$29,10)="","",VLOOKUP(O2,'クラス別一覧（入力）'!$A$9:$AJ$29,10))</f>
        <v>理</v>
      </c>
      <c r="R4" s="10" t="str">
        <f>IF(VLOOKUP(O2,'クラス別一覧（入力）'!$A$9:$AJ$29,17)="","",VLOOKUP(O2,'クラス別一覧（入力）'!$A$9:$AJ$29,17))</f>
        <v>音美</v>
      </c>
      <c r="S4" s="10" t="str">
        <f>IF(VLOOKUP(O2,'クラス別一覧（入力）'!$A$9:$AJ$29,24)="","",VLOOKUP(O2,'クラス別一覧（入力）'!$A$9:$AJ$29,24))</f>
        <v>英</v>
      </c>
      <c r="T4" s="11" t="str">
        <f>IF(VLOOKUP(O2,'クラス別一覧（入力）'!$A$9:$AJ$29,31)="","",VLOOKUP(O2,'クラス別一覧（入力）'!$A$9:$AJ$29,31))</f>
        <v>家</v>
      </c>
    </row>
    <row r="5" spans="1:20" ht="24.9" customHeight="1" x14ac:dyDescent="0.2">
      <c r="A5" s="25">
        <v>2</v>
      </c>
      <c r="B5" s="10" t="str">
        <f>IF(VLOOKUP(A2,'クラス別一覧（入力）'!$A$9:$AJ$29,4)="","",VLOOKUP(A2,'クラス別一覧（入力）'!$A$9:$AJ$29,4))</f>
        <v>音</v>
      </c>
      <c r="C5" s="10" t="str">
        <f>IF(VLOOKUP(A2,'クラス別一覧（入力）'!$A$9:$AJ$29,11)="","",VLOOKUP(A2,'クラス別一覧（入力）'!$A$9:$AJ$29,11))</f>
        <v>家</v>
      </c>
      <c r="D5" s="10" t="str">
        <f>IF(VLOOKUP(A2,'クラス別一覧（入力）'!$A$9:$AJ$29,18)="","",VLOOKUP(A2,'クラス別一覧（入力）'!$A$9:$AJ$29,18))</f>
        <v>音美</v>
      </c>
      <c r="E5" s="10" t="str">
        <f>IF(VLOOKUP(A2,'クラス別一覧（入力）'!$A$9:$AJ$29,25)="","",VLOOKUP(A2,'クラス別一覧（入力）'!$A$9:$AJ$29,25))</f>
        <v>国</v>
      </c>
      <c r="F5" s="11" t="str">
        <f>IF(VLOOKUP(A2,'クラス別一覧（入力）'!$A$9:$AJ$29,32)="","",VLOOKUP(A2,'クラス別一覧（入力）'!$A$9:$AJ$29,32))</f>
        <v>数</v>
      </c>
      <c r="H5" s="25">
        <v>2</v>
      </c>
      <c r="I5" s="10" t="str">
        <f>IF(VLOOKUP(H2,'クラス別一覧（入力）'!$A$9:$AJ$29,4)="","",VLOOKUP(H2,'クラス別一覧（入力）'!$A$9:$AJ$29,4))</f>
        <v>数</v>
      </c>
      <c r="J5" s="10" t="str">
        <f>IF(VLOOKUP(H2,'クラス別一覧（入力）'!$A$9:$AJ$29,11)="","",VLOOKUP(H2,'クラス別一覧（入力）'!$A$9:$AJ$29,11))</f>
        <v>技</v>
      </c>
      <c r="K5" s="10" t="str">
        <f>IF(VLOOKUP(H2,'クラス別一覧（入力）'!$A$9:$AJ$29,18)="","",VLOOKUP(H2,'クラス別一覧（入力）'!$A$9:$AJ$29,18))</f>
        <v>美音</v>
      </c>
      <c r="L5" s="10" t="str">
        <f>IF(VLOOKUP(H2,'クラス別一覧（入力）'!$A$9:$AJ$29,25)="","",VLOOKUP(H2,'クラス別一覧（入力）'!$A$9:$AJ$29,25))</f>
        <v>英</v>
      </c>
      <c r="M5" s="11" t="str">
        <f>IF(VLOOKUP(H2,'クラス別一覧（入力）'!$A$9:$AJ$29,32)="","",VLOOKUP(H2,'クラス別一覧（入力）'!$A$9:$AJ$29,32))</f>
        <v>国</v>
      </c>
      <c r="O5" s="25">
        <v>2</v>
      </c>
      <c r="P5" s="10" t="str">
        <f>IF(VLOOKUP(O2,'クラス別一覧（入力）'!$A$9:$AJ$29,4)="","",VLOOKUP(O2,'クラス別一覧（入力）'!$A$9:$AJ$29,4))</f>
        <v>保体</v>
      </c>
      <c r="Q5" s="10" t="str">
        <f>IF(VLOOKUP(O2,'クラス別一覧（入力）'!$A$9:$AJ$29,11)="","",VLOOKUP(O2,'クラス別一覧（入力）'!$A$9:$AJ$29,11))</f>
        <v>国</v>
      </c>
      <c r="R5" s="10" t="str">
        <f>IF(VLOOKUP(O2,'クラス別一覧（入力）'!$A$9:$AJ$29,18)="","",VLOOKUP(O2,'クラス別一覧（入力）'!$A$9:$AJ$29,18))</f>
        <v>数</v>
      </c>
      <c r="S5" s="10" t="str">
        <f>IF(VLOOKUP(O2,'クラス別一覧（入力）'!$A$9:$AJ$29,25)="","",VLOOKUP(O2,'クラス別一覧（入力）'!$A$9:$AJ$29,25))</f>
        <v>数</v>
      </c>
      <c r="T5" s="11" t="str">
        <f>IF(VLOOKUP(O2,'クラス別一覧（入力）'!$A$9:$AJ$29,32)="","",VLOOKUP(O2,'クラス別一覧（入力）'!$A$9:$AJ$29,32))</f>
        <v>技</v>
      </c>
    </row>
    <row r="6" spans="1:20" ht="24.9" customHeight="1" x14ac:dyDescent="0.2">
      <c r="A6" s="25">
        <v>3</v>
      </c>
      <c r="B6" s="10" t="str">
        <f>IF(VLOOKUP(A2,'クラス別一覧（入力）'!$A$9:$AJ$29,5)="","",VLOOKUP(A2,'クラス別一覧（入力）'!$A$9:$AJ$29,5))</f>
        <v>理</v>
      </c>
      <c r="C6" s="10" t="str">
        <f>IF(VLOOKUP(A2,'クラス別一覧（入力）'!$A$9:$AJ$29,12)="","",VLOOKUP(A2,'クラス別一覧（入力）'!$A$9:$AJ$29,12))</f>
        <v>理</v>
      </c>
      <c r="D6" s="10" t="str">
        <f>IF(VLOOKUP(A2,'クラス別一覧（入力）'!$A$9:$AJ$29,19)="","",VLOOKUP(A2,'クラス別一覧（入力）'!$A$9:$AJ$29,19))</f>
        <v>数</v>
      </c>
      <c r="E6" s="10" t="str">
        <f>IF(VLOOKUP(A2,'クラス別一覧（入力）'!$A$9:$AJ$29,26)="","",VLOOKUP(A2,'クラス別一覧（入力）'!$A$9:$AJ$29,26))</f>
        <v>英</v>
      </c>
      <c r="F6" s="11" t="str">
        <f>IF(VLOOKUP(A2,'クラス別一覧（入力）'!$A$9:$AJ$29,33)="","",VLOOKUP(A2,'クラス別一覧（入力）'!$A$9:$AJ$29,33))</f>
        <v>保体</v>
      </c>
      <c r="H6" s="25">
        <v>3</v>
      </c>
      <c r="I6" s="10" t="str">
        <f>IF(VLOOKUP(H2,'クラス別一覧（入力）'!$A$9:$AJ$29,5)="","",VLOOKUP(H2,'クラス別一覧（入力）'!$A$9:$AJ$29,5))</f>
        <v>国</v>
      </c>
      <c r="J6" s="10" t="str">
        <f>IF(VLOOKUP(H2,'クラス別一覧（入力）'!$A$9:$AJ$29,12)="","",VLOOKUP(H2,'クラス別一覧（入力）'!$A$9:$AJ$29,12))</f>
        <v>国</v>
      </c>
      <c r="K6" s="10" t="str">
        <f>IF(VLOOKUP(H2,'クラス別一覧（入力）'!$A$9:$AJ$29,19)="","",VLOOKUP(H2,'クラス別一覧（入力）'!$A$9:$AJ$29,19))</f>
        <v>英</v>
      </c>
      <c r="L6" s="10" t="str">
        <f>IF(VLOOKUP(H2,'クラス別一覧（入力）'!$A$9:$AJ$29,26)="","",VLOOKUP(H2,'クラス別一覧（入力）'!$A$9:$AJ$29,26))</f>
        <v>美</v>
      </c>
      <c r="M6" s="11" t="str">
        <f>IF(VLOOKUP(H2,'クラス別一覧（入力）'!$A$9:$AJ$29,33)="","",VLOOKUP(H2,'クラス別一覧（入力）'!$A$9:$AJ$29,33))</f>
        <v>保体</v>
      </c>
      <c r="O6" s="25">
        <v>3</v>
      </c>
      <c r="P6" s="10" t="str">
        <f>IF(VLOOKUP(O2,'クラス別一覧（入力）'!$A$9:$AJ$29,5)="","",VLOOKUP(O2,'クラス別一覧（入力）'!$A$9:$AJ$29,5))</f>
        <v>数</v>
      </c>
      <c r="Q6" s="10" t="str">
        <f>IF(VLOOKUP(O2,'クラス別一覧（入力）'!$A$9:$AJ$29,12)="","",VLOOKUP(O2,'クラス別一覧（入力）'!$A$9:$AJ$29,12))</f>
        <v>英</v>
      </c>
      <c r="R6" s="10" t="str">
        <f>IF(VLOOKUP(O2,'クラス別一覧（入力）'!$A$9:$AJ$29,19)="","",VLOOKUP(O2,'クラス別一覧（入力）'!$A$9:$AJ$29,19))</f>
        <v>社</v>
      </c>
      <c r="S6" s="10" t="str">
        <f>IF(VLOOKUP(O2,'クラス別一覧（入力）'!$A$9:$AJ$29,26)="","",VLOOKUP(O2,'クラス別一覧（入力）'!$A$9:$AJ$29,26))</f>
        <v>国</v>
      </c>
      <c r="T6" s="11" t="str">
        <f>IF(VLOOKUP(O2,'クラス別一覧（入力）'!$A$9:$AJ$29,33)="","",VLOOKUP(O2,'クラス別一覧（入力）'!$A$9:$AJ$29,33))</f>
        <v>理</v>
      </c>
    </row>
    <row r="7" spans="1:20" ht="24.9" customHeight="1" x14ac:dyDescent="0.2">
      <c r="A7" s="25">
        <v>4</v>
      </c>
      <c r="B7" s="10" t="str">
        <f>IF(VLOOKUP(A2,'クラス別一覧（入力）'!$A$9:$AJ$29,6)="","",VLOOKUP(A2,'クラス別一覧（入力）'!$A$9:$AJ$29,6))</f>
        <v>保体</v>
      </c>
      <c r="C7" s="10" t="str">
        <f>IF(VLOOKUP(A2,'クラス別一覧（入力）'!$A$9:$AJ$29,13)="","",VLOOKUP(A2,'クラス別一覧（入力）'!$A$9:$AJ$29,13))</f>
        <v>国</v>
      </c>
      <c r="D7" s="10" t="str">
        <f>IF(VLOOKUP(A2,'クラス別一覧（入力）'!$A$9:$AJ$29,20)="","",VLOOKUP(A2,'クラス別一覧（入力）'!$A$9:$AJ$29,20))</f>
        <v>国</v>
      </c>
      <c r="E7" s="10" t="str">
        <f>IF(VLOOKUP(A2,'クラス別一覧（入力）'!$A$9:$AJ$29,27)="","",VLOOKUP(A2,'クラス別一覧（入力）'!$A$9:$AJ$29,27))</f>
        <v>理</v>
      </c>
      <c r="F7" s="11" t="str">
        <f>IF(VLOOKUP(A2,'クラス別一覧（入力）'!$A$9:$AJ$29,34)="","",VLOOKUP(A2,'クラス別一覧（入力）'!$A$9:$AJ$29,34))</f>
        <v>英</v>
      </c>
      <c r="H7" s="25">
        <v>4</v>
      </c>
      <c r="I7" s="10" t="str">
        <f>IF(VLOOKUP(H2,'クラス別一覧（入力）'!$A$9:$AJ$29,6)="","",VLOOKUP(H2,'クラス別一覧（入力）'!$A$9:$AJ$29,6))</f>
        <v>保体</v>
      </c>
      <c r="J7" s="10" t="str">
        <f>IF(VLOOKUP(H2,'クラス別一覧（入力）'!$A$9:$AJ$29,13)="","",VLOOKUP(H2,'クラス別一覧（入力）'!$A$9:$AJ$29,13))</f>
        <v>社</v>
      </c>
      <c r="K7" s="10" t="str">
        <f>IF(VLOOKUP(H2,'クラス別一覧（入力）'!$A$9:$AJ$29,20)="","",VLOOKUP(H2,'クラス別一覧（入力）'!$A$9:$AJ$29,20))</f>
        <v>社</v>
      </c>
      <c r="L7" s="10" t="str">
        <f>IF(VLOOKUP(H2,'クラス別一覧（入力）'!$A$9:$AJ$29,27)="","",VLOOKUP(H2,'クラス別一覧（入力）'!$A$9:$AJ$29,27))</f>
        <v>国</v>
      </c>
      <c r="M7" s="11" t="str">
        <f>IF(VLOOKUP(H2,'クラス別一覧（入力）'!$A$9:$AJ$29,34)="","",VLOOKUP(H2,'クラス別一覧（入力）'!$A$9:$AJ$29,34))</f>
        <v>理</v>
      </c>
      <c r="O7" s="25">
        <v>4</v>
      </c>
      <c r="P7" s="10" t="str">
        <f>IF(VLOOKUP(O2,'クラス別一覧（入力）'!$A$9:$AJ$29,6)="","",VLOOKUP(O2,'クラス別一覧（入力）'!$A$9:$AJ$29,6))</f>
        <v>国</v>
      </c>
      <c r="Q7" s="10" t="str">
        <f>IF(VLOOKUP(O2,'クラス別一覧（入力）'!$A$9:$AJ$29,13)="","",VLOOKUP(O2,'クラス別一覧（入力）'!$A$9:$AJ$29,13))</f>
        <v>保体</v>
      </c>
      <c r="R7" s="10" t="str">
        <f>IF(VLOOKUP(O2,'クラス別一覧（入力）'!$A$9:$AJ$29,20)="","",VLOOKUP(O2,'クラス別一覧（入力）'!$A$9:$AJ$29,20))</f>
        <v>理</v>
      </c>
      <c r="S7" s="10" t="str">
        <f>IF(VLOOKUP(O2,'クラス別一覧（入力）'!$A$9:$AJ$29,27)="","",VLOOKUP(O2,'クラス別一覧（入力）'!$A$9:$AJ$29,27))</f>
        <v>社</v>
      </c>
      <c r="T7" s="11" t="str">
        <f>IF(VLOOKUP(O2,'クラス別一覧（入力）'!$A$9:$AJ$29,34)="","",VLOOKUP(O2,'クラス別一覧（入力）'!$A$9:$AJ$29,34))</f>
        <v>国</v>
      </c>
    </row>
    <row r="8" spans="1:20" ht="24.9" customHeight="1" x14ac:dyDescent="0.2">
      <c r="A8" s="25">
        <v>5</v>
      </c>
      <c r="B8" s="10" t="str">
        <f>IF(VLOOKUP(A2,'クラス別一覧（入力）'!$A$9:$AJ$29,7)="","",VLOOKUP(A2,'クラス別一覧（入力）'!$A$9:$AJ$29,7))</f>
        <v>社</v>
      </c>
      <c r="C8" s="10" t="str">
        <f>IF(VLOOKUP(A2,'クラス別一覧（入力）'!$A$9:$AJ$29,14)="","",VLOOKUP(A2,'クラス別一覧（入力）'!$A$9:$AJ$29,14))</f>
        <v>保体</v>
      </c>
      <c r="D8" s="10" t="str">
        <f>IF(VLOOKUP(A2,'クラス別一覧（入力）'!$A$9:$AJ$29,21)="","",VLOOKUP(A2,'クラス別一覧（入力）'!$A$9:$AJ$29,21))</f>
        <v>英</v>
      </c>
      <c r="E8" s="10" t="str">
        <f>IF(VLOOKUP(A2,'クラス別一覧（入力）'!$A$9:$AJ$29,28)="","",VLOOKUP(A2,'クラス別一覧（入力）'!$A$9:$AJ$29,28))</f>
        <v>数</v>
      </c>
      <c r="F8" s="11" t="str">
        <f>IF(VLOOKUP(A2,'クラス別一覧（入力）'!$A$9:$AJ$29,35)="","",VLOOKUP(A2,'クラス別一覧（入力）'!$A$9:$AJ$29,35))</f>
        <v>国</v>
      </c>
      <c r="H8" s="25">
        <v>5</v>
      </c>
      <c r="I8" s="10" t="str">
        <f>IF(VLOOKUP(H2,'クラス別一覧（入力）'!$A$9:$AJ$29,7)="","",VLOOKUP(H2,'クラス別一覧（入力）'!$A$9:$AJ$29,7))</f>
        <v>英</v>
      </c>
      <c r="J8" s="10" t="str">
        <f>IF(VLOOKUP(H2,'クラス別一覧（入力）'!$A$9:$AJ$29,14)="","",VLOOKUP(H2,'クラス別一覧（入力）'!$A$9:$AJ$29,14))</f>
        <v>保体</v>
      </c>
      <c r="K8" s="10" t="str">
        <f>IF(VLOOKUP(H2,'クラス別一覧（入力）'!$A$9:$AJ$29,21)="","",VLOOKUP(H2,'クラス別一覧（入力）'!$A$9:$AJ$29,21))</f>
        <v>理</v>
      </c>
      <c r="L8" s="10" t="str">
        <f>IF(VLOOKUP(H2,'クラス別一覧（入力）'!$A$9:$AJ$29,28)="","",VLOOKUP(H2,'クラス別一覧（入力）'!$A$9:$AJ$29,28))</f>
        <v>社</v>
      </c>
      <c r="M8" s="11" t="str">
        <f>IF(VLOOKUP(H2,'クラス別一覧（入力）'!$A$9:$AJ$29,35)="","",VLOOKUP(H2,'クラス別一覧（入力）'!$A$9:$AJ$29,35))</f>
        <v>数</v>
      </c>
      <c r="O8" s="25">
        <v>5</v>
      </c>
      <c r="P8" s="10" t="str">
        <f>IF(VLOOKUP(O2,'クラス別一覧（入力）'!$A$9:$AJ$29,7)="","",VLOOKUP(O2,'クラス別一覧（入力）'!$A$9:$AJ$29,7))</f>
        <v>音</v>
      </c>
      <c r="Q8" s="10" t="str">
        <f>IF(VLOOKUP(O2,'クラス別一覧（入力）'!$A$9:$AJ$29,14)="","",VLOOKUP(O2,'クラス別一覧（入力）'!$A$9:$AJ$29,14))</f>
        <v>美</v>
      </c>
      <c r="R8" s="10" t="str">
        <f>IF(VLOOKUP(O2,'クラス別一覧（入力）'!$A$9:$AJ$29,21)="","",VLOOKUP(O2,'クラス別一覧（入力）'!$A$9:$AJ$29,21))</f>
        <v>英</v>
      </c>
      <c r="S8" s="10" t="str">
        <f>IF(VLOOKUP(O2,'クラス別一覧（入力）'!$A$9:$AJ$29,28)="","",VLOOKUP(O2,'クラス別一覧（入力）'!$A$9:$AJ$29,28))</f>
        <v>保体</v>
      </c>
      <c r="T8" s="11" t="str">
        <f>IF(VLOOKUP(O2,'クラス別一覧（入力）'!$A$9:$AJ$29,35)="","",VLOOKUP(O2,'クラス別一覧（入力）'!$A$9:$AJ$29,35))</f>
        <v>社</v>
      </c>
    </row>
    <row r="9" spans="1:20" ht="24.9" customHeight="1" thickBot="1" x14ac:dyDescent="0.25">
      <c r="A9" s="26">
        <v>6</v>
      </c>
      <c r="B9" s="12" t="str">
        <f>IF(VLOOKUP(A2,'クラス別一覧（入力）'!$A$9:$AJ$29,8)="","",VLOOKUP(A2,'クラス別一覧（入力）'!$A$9:$AJ$29,8))</f>
        <v>道</v>
      </c>
      <c r="C9" s="12" t="str">
        <f>IF(VLOOKUP(A2,'クラス別一覧（入力）'!$A$9:$AJ$29,15)="","",VLOOKUP(A2,'クラス別一覧（入力）'!$A$9:$AJ$29,15))</f>
        <v>英</v>
      </c>
      <c r="D9" s="12" t="str">
        <f>IF(VLOOKUP(A2,'クラス別一覧（入力）'!$A$9:$AJ$29,22)="","",VLOOKUP(A2,'クラス別一覧（入力）'!$A$9:$AJ$29,22))</f>
        <v>学</v>
      </c>
      <c r="E9" s="12" t="str">
        <f>IF(VLOOKUP(A2,'クラス別一覧（入力）'!$A$9:$AJ$29,29)="","",VLOOKUP(A2,'クラス別一覧（入力）'!$A$9:$AJ$29,29))</f>
        <v/>
      </c>
      <c r="F9" s="14" t="str">
        <f>IF(VLOOKUP(A2,'クラス別一覧（入力）'!$A$9:$AJ$29,36)="","",VLOOKUP(A2,'クラス別一覧（入力）'!$A$9:$AJ$29,36))</f>
        <v>総</v>
      </c>
      <c r="H9" s="26">
        <v>6</v>
      </c>
      <c r="I9" s="12" t="str">
        <f>IF(VLOOKUP(H2,'クラス別一覧（入力）'!$A$9:$AJ$29,8)="","",VLOOKUP(H2,'クラス別一覧（入力）'!$A$9:$AJ$29,8))</f>
        <v>道</v>
      </c>
      <c r="J9" s="12" t="str">
        <f>IF(VLOOKUP(H2,'クラス別一覧（入力）'!$A$9:$AJ$29,15)="","",VLOOKUP(H2,'クラス別一覧（入力）'!$A$9:$AJ$29,15))</f>
        <v>理</v>
      </c>
      <c r="K9" s="12" t="str">
        <f>IF(VLOOKUP(H2,'クラス別一覧（入力）'!$A$9:$AJ$29,22)="","",VLOOKUP(H2,'クラス別一覧（入力）'!$A$9:$AJ$29,22))</f>
        <v>学</v>
      </c>
      <c r="L9" s="12" t="str">
        <f>IF(VLOOKUP(H2,'クラス別一覧（入力）'!$A$9:$AJ$29,29)="","",VLOOKUP(H2,'クラス別一覧（入力）'!$A$9:$AJ$29,29))</f>
        <v/>
      </c>
      <c r="M9" s="14" t="str">
        <f>IF(VLOOKUP(H2,'クラス別一覧（入力）'!$A$9:$AJ$29,36)="","",VLOOKUP(H2,'クラス別一覧（入力）'!$A$9:$AJ$29,36))</f>
        <v>総</v>
      </c>
      <c r="O9" s="26">
        <v>6</v>
      </c>
      <c r="P9" s="12" t="str">
        <f>IF(VLOOKUP(O2,'クラス別一覧（入力）'!$A$9:$AJ$29,8)="","",VLOOKUP(O2,'クラス別一覧（入力）'!$A$9:$AJ$29,8))</f>
        <v>道</v>
      </c>
      <c r="Q9" s="12" t="str">
        <f>IF(VLOOKUP(O2,'クラス別一覧（入力）'!$A$9:$AJ$29,15)="","",VLOOKUP(O2,'クラス別一覧（入力）'!$A$9:$AJ$29,15))</f>
        <v>数</v>
      </c>
      <c r="R9" s="12" t="str">
        <f>IF(VLOOKUP(O2,'クラス別一覧（入力）'!$A$9:$AJ$29,22)="","",VLOOKUP(O2,'クラス別一覧（入力）'!$A$9:$AJ$29,22))</f>
        <v>学</v>
      </c>
      <c r="S9" s="12" t="str">
        <f>IF(VLOOKUP(O2,'クラス別一覧（入力）'!$A$9:$AJ$29,29)="","",VLOOKUP(O2,'クラス別一覧（入力）'!$A$9:$AJ$29,29))</f>
        <v/>
      </c>
      <c r="T9" s="14" t="str">
        <f>IF(VLOOKUP(O2,'クラス別一覧（入力）'!$A$9:$AJ$29,36)="","",VLOOKUP(O2,'クラス別一覧（入力）'!$A$9:$AJ$29,36))</f>
        <v>総</v>
      </c>
    </row>
    <row r="11" spans="1:20" s="28" customFormat="1" ht="20.149999999999999" customHeight="1" x14ac:dyDescent="0.3">
      <c r="A11" s="325" t="s">
        <v>281</v>
      </c>
      <c r="B11" s="325"/>
      <c r="C11" s="326" t="s">
        <v>25</v>
      </c>
      <c r="D11" s="326"/>
      <c r="H11" s="325" t="s">
        <v>281</v>
      </c>
      <c r="I11" s="325"/>
      <c r="J11" s="326" t="s">
        <v>26</v>
      </c>
      <c r="K11" s="326"/>
      <c r="O11" s="325" t="s">
        <v>281</v>
      </c>
      <c r="P11" s="325"/>
      <c r="Q11" s="326" t="s">
        <v>188</v>
      </c>
      <c r="R11" s="326"/>
    </row>
    <row r="12" spans="1:20" ht="17" thickBot="1" x14ac:dyDescent="0.3">
      <c r="A12" s="30">
        <v>4</v>
      </c>
      <c r="G12" s="23"/>
      <c r="H12" s="30">
        <v>5</v>
      </c>
      <c r="O12" s="30">
        <v>6</v>
      </c>
    </row>
    <row r="13" spans="1:20" s="23" customFormat="1" ht="24.9" customHeight="1" x14ac:dyDescent="0.25">
      <c r="A13" s="24"/>
      <c r="B13" s="7" t="s">
        <v>11</v>
      </c>
      <c r="C13" s="7" t="s">
        <v>3</v>
      </c>
      <c r="D13" s="7" t="s">
        <v>5</v>
      </c>
      <c r="E13" s="7" t="s">
        <v>7</v>
      </c>
      <c r="F13" s="9" t="s">
        <v>9</v>
      </c>
      <c r="H13" s="24"/>
      <c r="I13" s="7" t="s">
        <v>11</v>
      </c>
      <c r="J13" s="7" t="s">
        <v>3</v>
      </c>
      <c r="K13" s="7" t="s">
        <v>5</v>
      </c>
      <c r="L13" s="7" t="s">
        <v>7</v>
      </c>
      <c r="M13" s="9" t="s">
        <v>9</v>
      </c>
      <c r="O13" s="24"/>
      <c r="P13" s="7" t="s">
        <v>11</v>
      </c>
      <c r="Q13" s="7" t="s">
        <v>3</v>
      </c>
      <c r="R13" s="7" t="s">
        <v>5</v>
      </c>
      <c r="S13" s="7" t="s">
        <v>7</v>
      </c>
      <c r="T13" s="9" t="s">
        <v>9</v>
      </c>
    </row>
    <row r="14" spans="1:20" ht="24.9" customHeight="1" x14ac:dyDescent="0.2">
      <c r="A14" s="25">
        <v>1</v>
      </c>
      <c r="B14" s="10" t="str">
        <f>IF(VLOOKUP(A12,'クラス別一覧（入力）'!$A$9:$AJ$29,3)="","",VLOOKUP(A12,'クラス別一覧（入力）'!$A$9:$AJ$29,3))</f>
        <v>社</v>
      </c>
      <c r="C14" s="10" t="str">
        <f>IF(VLOOKUP(A12,'クラス別一覧（入力）'!$A$9:$AJ$29,10)="","",VLOOKUP(A12,'クラス別一覧（入力）'!$A$9:$AJ$29,10))</f>
        <v>国</v>
      </c>
      <c r="D14" s="10" t="str">
        <f>IF(VLOOKUP(A12,'クラス別一覧（入力）'!$A$9:$AJ$29,17)="","",VLOOKUP(A12,'クラス別一覧（入力）'!$A$9:$AJ$29,17))</f>
        <v>美音</v>
      </c>
      <c r="E14" s="10" t="str">
        <f>IF(VLOOKUP(A12,'クラス別一覧（入力）'!$A$9:$AJ$29,24)="","",VLOOKUP(A12,'クラス別一覧（入力）'!$A$9:$AJ$29,24))</f>
        <v>国</v>
      </c>
      <c r="F14" s="11" t="str">
        <f>IF(VLOOKUP(A12,'クラス別一覧（入力）'!$A$9:$AJ$29,31)="","",VLOOKUP(A12,'クラス別一覧（入力）'!$A$9:$AJ$29,31))</f>
        <v>技</v>
      </c>
      <c r="H14" s="25">
        <v>1</v>
      </c>
      <c r="I14" s="10" t="str">
        <f>IF(VLOOKUP(H12,'クラス別一覧（入力）'!$A$9:$AJ$29,3)="","",VLOOKUP(H12,'クラス別一覧（入力）'!$A$9:$AJ$29,3))</f>
        <v>国</v>
      </c>
      <c r="J14" s="10" t="str">
        <f>IF(VLOOKUP(H12,'クラス別一覧（入力）'!$A$9:$AJ$29,10)="","",VLOOKUP(H12,'クラス別一覧（入力）'!$A$9:$AJ$29,10))</f>
        <v>社</v>
      </c>
      <c r="K14" s="10" t="str">
        <f>IF(VLOOKUP(H12,'クラス別一覧（入力）'!$A$9:$AJ$29,17)="","",VLOOKUP(H12,'クラス別一覧（入力）'!$A$9:$AJ$29,17))</f>
        <v>数</v>
      </c>
      <c r="L14" s="10" t="str">
        <f>IF(VLOOKUP(H12,'クラス別一覧（入力）'!$A$9:$AJ$29,24)="","",VLOOKUP(H12,'クラス別一覧（入力）'!$A$9:$AJ$29,24))</f>
        <v>音</v>
      </c>
      <c r="M14" s="11" t="str">
        <f>IF(VLOOKUP(H12,'クラス別一覧（入力）'!$A$9:$AJ$29,31)="","",VLOOKUP(H12,'クラス別一覧（入力）'!$A$9:$AJ$29,31))</f>
        <v>数</v>
      </c>
      <c r="O14" s="25">
        <v>1</v>
      </c>
      <c r="P14" s="10" t="str">
        <f>IF(VLOOKUP(O12,'クラス別一覧（入力）'!$A$9:$AJ$29,3)="","",VLOOKUP(O12,'クラス別一覧（入力）'!$A$9:$AJ$29,3))</f>
        <v>数</v>
      </c>
      <c r="Q14" s="10" t="str">
        <f>IF(VLOOKUP(O12,'クラス別一覧（入力）'!$A$9:$AJ$29,10)="","",VLOOKUP(O12,'クラス別一覧（入力）'!$A$9:$AJ$29,10))</f>
        <v>英</v>
      </c>
      <c r="R14" s="10" t="str">
        <f>IF(VLOOKUP(O12,'クラス別一覧（入力）'!$A$9:$AJ$29,17)="","",VLOOKUP(O12,'クラス別一覧（入力）'!$A$9:$AJ$29,17))</f>
        <v>国</v>
      </c>
      <c r="S14" s="10" t="str">
        <f>IF(VLOOKUP(O12,'クラス別一覧（入力）'!$A$9:$AJ$29,24)="","",VLOOKUP(O12,'クラス別一覧（入力）'!$A$9:$AJ$29,24))</f>
        <v>社</v>
      </c>
      <c r="T14" s="11" t="str">
        <f>IF(VLOOKUP(O12,'クラス別一覧（入力）'!$A$9:$AJ$29,31)="","",VLOOKUP(O12,'クラス別一覧（入力）'!$A$9:$AJ$29,31))</f>
        <v>社</v>
      </c>
    </row>
    <row r="15" spans="1:20" ht="24.9" customHeight="1" x14ac:dyDescent="0.2">
      <c r="A15" s="25">
        <v>2</v>
      </c>
      <c r="B15" s="10" t="str">
        <f>IF(VLOOKUP(A12,'クラス別一覧（入力）'!$A$9:$AJ$29,4)="","",VLOOKUP(A12,'クラス別一覧（入力）'!$A$9:$AJ$29,4))</f>
        <v>保体</v>
      </c>
      <c r="C15" s="10" t="str">
        <f>IF(VLOOKUP(A12,'クラス別一覧（入力）'!$A$9:$AJ$29,11)="","",VLOOKUP(A12,'クラス別一覧（入力）'!$A$9:$AJ$29,11))</f>
        <v>理</v>
      </c>
      <c r="D15" s="10" t="str">
        <f>IF(VLOOKUP(A12,'クラス別一覧（入力）'!$A$9:$AJ$29,18)="","",VLOOKUP(A12,'クラス別一覧（入力）'!$A$9:$AJ$29,18))</f>
        <v>国</v>
      </c>
      <c r="E15" s="10" t="str">
        <f>IF(VLOOKUP(A12,'クラス別一覧（入力）'!$A$9:$AJ$29,25)="","",VLOOKUP(A12,'クラス別一覧（入力）'!$A$9:$AJ$29,25))</f>
        <v>数</v>
      </c>
      <c r="F15" s="11" t="str">
        <f>IF(VLOOKUP(A12,'クラス別一覧（入力）'!$A$9:$AJ$29,32)="","",VLOOKUP(A12,'クラス別一覧（入力）'!$A$9:$AJ$29,32))</f>
        <v>家</v>
      </c>
      <c r="H15" s="25">
        <v>2</v>
      </c>
      <c r="I15" s="10" t="str">
        <f>IF(VLOOKUP(H12,'クラス別一覧（入力）'!$A$9:$AJ$29,4)="","",VLOOKUP(H12,'クラス別一覧（入力）'!$A$9:$AJ$29,4))</f>
        <v>理</v>
      </c>
      <c r="J15" s="10" t="str">
        <f>IF(VLOOKUP(H12,'クラス別一覧（入力）'!$A$9:$AJ$29,11)="","",VLOOKUP(H12,'クラス別一覧（入力）'!$A$9:$AJ$29,11))</f>
        <v>音美</v>
      </c>
      <c r="K15" s="10" t="str">
        <f>IF(VLOOKUP(H12,'クラス別一覧（入力）'!$A$9:$AJ$29,18)="","",VLOOKUP(H12,'クラス別一覧（入力）'!$A$9:$AJ$29,18))</f>
        <v>英</v>
      </c>
      <c r="L15" s="10" t="str">
        <f>IF(VLOOKUP(H12,'クラス別一覧（入力）'!$A$9:$AJ$29,25)="","",VLOOKUP(H12,'クラス別一覧（入力）'!$A$9:$AJ$29,25))</f>
        <v>英</v>
      </c>
      <c r="M15" s="11" t="str">
        <f>IF(VLOOKUP(H12,'クラス別一覧（入力）'!$A$9:$AJ$29,32)="","",VLOOKUP(H12,'クラス別一覧（入力）'!$A$9:$AJ$29,32))</f>
        <v>社</v>
      </c>
      <c r="O15" s="25">
        <v>2</v>
      </c>
      <c r="P15" s="10" t="str">
        <f>IF(VLOOKUP(O12,'クラス別一覧（入力）'!$A$9:$AJ$29,4)="","",VLOOKUP(O12,'クラス別一覧（入力）'!$A$9:$AJ$29,4))</f>
        <v>英</v>
      </c>
      <c r="Q15" s="10" t="str">
        <f>IF(VLOOKUP(O12,'クラス別一覧（入力）'!$A$9:$AJ$29,11)="","",VLOOKUP(O12,'クラス別一覧（入力）'!$A$9:$AJ$29,11))</f>
        <v>美音</v>
      </c>
      <c r="R15" s="10" t="str">
        <f>IF(VLOOKUP(O12,'クラス別一覧（入力）'!$A$9:$AJ$29,18)="","",VLOOKUP(O12,'クラス別一覧（入力）'!$A$9:$AJ$29,18))</f>
        <v>理</v>
      </c>
      <c r="S15" s="10" t="str">
        <f>IF(VLOOKUP(O12,'クラス別一覧（入力）'!$A$9:$AJ$29,25)="","",VLOOKUP(O12,'クラス別一覧（入力）'!$A$9:$AJ$29,25))</f>
        <v>音</v>
      </c>
      <c r="T15" s="11" t="str">
        <f>IF(VLOOKUP(O12,'クラス別一覧（入力）'!$A$9:$AJ$29,32)="","",VLOOKUP(O12,'クラス別一覧（入力）'!$A$9:$AJ$29,32))</f>
        <v>英</v>
      </c>
    </row>
    <row r="16" spans="1:20" ht="24.9" customHeight="1" x14ac:dyDescent="0.2">
      <c r="A16" s="25">
        <v>3</v>
      </c>
      <c r="B16" s="10" t="str">
        <f>IF(VLOOKUP(A12,'クラス別一覧（入力）'!$A$9:$AJ$29,5)="","",VLOOKUP(A12,'クラス別一覧（入力）'!$A$9:$AJ$29,5))</f>
        <v>国</v>
      </c>
      <c r="C16" s="10" t="str">
        <f>IF(VLOOKUP(A12,'クラス別一覧（入力）'!$A$9:$AJ$29,12)="","",VLOOKUP(A12,'クラス別一覧（入力）'!$A$9:$AJ$29,12))</f>
        <v>数</v>
      </c>
      <c r="D16" s="10" t="str">
        <f>IF(VLOOKUP(A12,'クラス別一覧（入力）'!$A$9:$AJ$29,19)="","",VLOOKUP(A12,'クラス別一覧（入力）'!$A$9:$AJ$29,19))</f>
        <v>理</v>
      </c>
      <c r="E16" s="10" t="str">
        <f>IF(VLOOKUP(A12,'クラス別一覧（入力）'!$A$9:$AJ$29,26)="","",VLOOKUP(A12,'クラス別一覧（入力）'!$A$9:$AJ$29,26))</f>
        <v>社</v>
      </c>
      <c r="F16" s="11" t="str">
        <f>IF(VLOOKUP(A12,'クラス別一覧（入力）'!$A$9:$AJ$29,33)="","",VLOOKUP(A12,'クラス別一覧（入力）'!$A$9:$AJ$29,33))</f>
        <v>英</v>
      </c>
      <c r="H16" s="25">
        <v>3</v>
      </c>
      <c r="I16" s="10" t="str">
        <f>IF(VLOOKUP(H12,'クラス別一覧（入力）'!$A$9:$AJ$29,5)="","",VLOOKUP(H12,'クラス別一覧（入力）'!$A$9:$AJ$29,5))</f>
        <v>保体</v>
      </c>
      <c r="J16" s="10" t="str">
        <f>IF(VLOOKUP(H12,'クラス別一覧（入力）'!$A$9:$AJ$29,12)="","",VLOOKUP(H12,'クラス別一覧（入力）'!$A$9:$AJ$29,12))</f>
        <v>数</v>
      </c>
      <c r="K16" s="10" t="str">
        <f>IF(VLOOKUP(H12,'クラス別一覧（入力）'!$A$9:$AJ$29,19)="","",VLOOKUP(H12,'クラス別一覧（入力）'!$A$9:$AJ$29,19))</f>
        <v>家</v>
      </c>
      <c r="L16" s="10" t="str">
        <f>IF(VLOOKUP(H12,'クラス別一覧（入力）'!$A$9:$AJ$29,26)="","",VLOOKUP(H12,'クラス別一覧（入力）'!$A$9:$AJ$29,26))</f>
        <v>理</v>
      </c>
      <c r="M16" s="11" t="str">
        <f>IF(VLOOKUP(H12,'クラス別一覧（入力）'!$A$9:$AJ$29,33)="","",VLOOKUP(H12,'クラス別一覧（入力）'!$A$9:$AJ$29,33))</f>
        <v>国</v>
      </c>
      <c r="O16" s="25">
        <v>3</v>
      </c>
      <c r="P16" s="10" t="str">
        <f>IF(VLOOKUP(O12,'クラス別一覧（入力）'!$A$9:$AJ$29,5)="","",VLOOKUP(O12,'クラス別一覧（入力）'!$A$9:$AJ$29,5))</f>
        <v>保体</v>
      </c>
      <c r="Q16" s="10" t="str">
        <f>IF(VLOOKUP(O12,'クラス別一覧（入力）'!$A$9:$AJ$29,12)="","",VLOOKUP(O12,'クラス別一覧（入力）'!$A$9:$AJ$29,12))</f>
        <v>社</v>
      </c>
      <c r="R16" s="10" t="str">
        <f>IF(VLOOKUP(O12,'クラス別一覧（入力）'!$A$9:$AJ$29,19)="","",VLOOKUP(O12,'クラス別一覧（入力）'!$A$9:$AJ$29,19))</f>
        <v>技</v>
      </c>
      <c r="S16" s="10" t="str">
        <f>IF(VLOOKUP(O12,'クラス別一覧（入力）'!$A$9:$AJ$29,26)="","",VLOOKUP(O12,'クラス別一覧（入力）'!$A$9:$AJ$29,26))</f>
        <v>英</v>
      </c>
      <c r="T16" s="11" t="str">
        <f>IF(VLOOKUP(O12,'クラス別一覧（入力）'!$A$9:$AJ$29,33)="","",VLOOKUP(O12,'クラス別一覧（入力）'!$A$9:$AJ$29,33))</f>
        <v>数</v>
      </c>
    </row>
    <row r="17" spans="1:20" ht="24.9" customHeight="1" x14ac:dyDescent="0.2">
      <c r="A17" s="25">
        <v>4</v>
      </c>
      <c r="B17" s="10" t="str">
        <f>IF(VLOOKUP(A12,'クラス別一覧（入力）'!$A$9:$AJ$29,6)="","",VLOOKUP(A12,'クラス別一覧（入力）'!$A$9:$AJ$29,6))</f>
        <v>音</v>
      </c>
      <c r="C17" s="10" t="str">
        <f>IF(VLOOKUP(A12,'クラス別一覧（入力）'!$A$9:$AJ$29,13)="","",VLOOKUP(A12,'クラス別一覧（入力）'!$A$9:$AJ$29,13))</f>
        <v>保体</v>
      </c>
      <c r="D17" s="10" t="str">
        <f>IF(VLOOKUP(A12,'クラス別一覧（入力）'!$A$9:$AJ$29,20)="","",VLOOKUP(A12,'クラス別一覧（入力）'!$A$9:$AJ$29,20))</f>
        <v>英</v>
      </c>
      <c r="E17" s="10" t="str">
        <f>IF(VLOOKUP(A12,'クラス別一覧（入力）'!$A$9:$AJ$29,27)="","",VLOOKUP(A12,'クラス別一覧（入力）'!$A$9:$AJ$29,27))</f>
        <v>英</v>
      </c>
      <c r="F17" s="11" t="str">
        <f>IF(VLOOKUP(A12,'クラス別一覧（入力）'!$A$9:$AJ$29,34)="","",VLOOKUP(A12,'クラス別一覧（入力）'!$A$9:$AJ$29,34))</f>
        <v>社</v>
      </c>
      <c r="H17" s="25">
        <v>4</v>
      </c>
      <c r="I17" s="10" t="str">
        <f>IF(VLOOKUP(H12,'クラス別一覧（入力）'!$A$9:$AJ$29,6)="","",VLOOKUP(H12,'クラス別一覧（入力）'!$A$9:$AJ$29,6))</f>
        <v>数</v>
      </c>
      <c r="J17" s="10" t="str">
        <f>IF(VLOOKUP(H12,'クラス別一覧（入力）'!$A$9:$AJ$29,13)="","",VLOOKUP(H12,'クラス別一覧（入力）'!$A$9:$AJ$29,13))</f>
        <v>英</v>
      </c>
      <c r="K17" s="10" t="str">
        <f>IF(VLOOKUP(H12,'クラス別一覧（入力）'!$A$9:$AJ$29,20)="","",VLOOKUP(H12,'クラス別一覧（入力）'!$A$9:$AJ$29,20))</f>
        <v>技</v>
      </c>
      <c r="L17" s="10" t="str">
        <f>IF(VLOOKUP(H12,'クラス別一覧（入力）'!$A$9:$AJ$29,27)="","",VLOOKUP(H12,'クラス別一覧（入力）'!$A$9:$AJ$29,27))</f>
        <v>美</v>
      </c>
      <c r="M17" s="11" t="str">
        <f>IF(VLOOKUP(H12,'クラス別一覧（入力）'!$A$9:$AJ$29,34)="","",VLOOKUP(H12,'クラス別一覧（入力）'!$A$9:$AJ$29,34))</f>
        <v>保体</v>
      </c>
      <c r="O17" s="25">
        <v>4</v>
      </c>
      <c r="P17" s="10" t="str">
        <f>IF(VLOOKUP(O12,'クラス別一覧（入力）'!$A$9:$AJ$29,6)="","",VLOOKUP(O12,'クラス別一覧（入力）'!$A$9:$AJ$29,6))</f>
        <v>国</v>
      </c>
      <c r="Q17" s="10" t="str">
        <f>IF(VLOOKUP(O12,'クラス別一覧（入力）'!$A$9:$AJ$29,13)="","",VLOOKUP(O12,'クラス別一覧（入力）'!$A$9:$AJ$29,13))</f>
        <v>理</v>
      </c>
      <c r="R17" s="10" t="str">
        <f>IF(VLOOKUP(O12,'クラス別一覧（入力）'!$A$9:$AJ$29,20)="","",VLOOKUP(O12,'クラス別一覧（入力）'!$A$9:$AJ$29,20))</f>
        <v>家</v>
      </c>
      <c r="S17" s="10" t="str">
        <f>IF(VLOOKUP(O12,'クラス別一覧（入力）'!$A$9:$AJ$29,27)="","",VLOOKUP(O12,'クラス別一覧（入力）'!$A$9:$AJ$29,27))</f>
        <v>国</v>
      </c>
      <c r="T17" s="11" t="str">
        <f>IF(VLOOKUP(O12,'クラス別一覧（入力）'!$A$9:$AJ$29,34)="","",VLOOKUP(O12,'クラス別一覧（入力）'!$A$9:$AJ$29,34))</f>
        <v>保体</v>
      </c>
    </row>
    <row r="18" spans="1:20" ht="24.9" customHeight="1" x14ac:dyDescent="0.2">
      <c r="A18" s="25">
        <v>5</v>
      </c>
      <c r="B18" s="10" t="str">
        <f>IF(VLOOKUP(A12,'クラス別一覧（入力）'!$A$9:$AJ$29,7)="","",VLOOKUP(A12,'クラス別一覧（入力）'!$A$9:$AJ$29,7))</f>
        <v>数</v>
      </c>
      <c r="C18" s="10" t="str">
        <f>IF(VLOOKUP(A12,'クラス別一覧（入力）'!$A$9:$AJ$29,14)="","",VLOOKUP(A12,'クラス別一覧（入力）'!$A$9:$AJ$29,14))</f>
        <v>英</v>
      </c>
      <c r="D18" s="10" t="str">
        <f>IF(VLOOKUP(A12,'クラス別一覧（入力）'!$A$9:$AJ$29,21)="","",VLOOKUP(A12,'クラス別一覧（入力）'!$A$9:$AJ$29,21))</f>
        <v>数</v>
      </c>
      <c r="E18" s="10" t="str">
        <f>IF(VLOOKUP(A12,'クラス別一覧（入力）'!$A$9:$AJ$29,28)="","",VLOOKUP(A12,'クラス別一覧（入力）'!$A$9:$AJ$29,28))</f>
        <v>保体</v>
      </c>
      <c r="F18" s="11" t="str">
        <f>IF(VLOOKUP(A12,'クラス別一覧（入力）'!$A$9:$AJ$29,35)="","",VLOOKUP(A12,'クラス別一覧（入力）'!$A$9:$AJ$29,35))</f>
        <v>理</v>
      </c>
      <c r="H18" s="25">
        <v>5</v>
      </c>
      <c r="I18" s="10" t="str">
        <f>IF(VLOOKUP(H12,'クラス別一覧（入力）'!$A$9:$AJ$29,7)="","",VLOOKUP(H12,'クラス別一覧（入力）'!$A$9:$AJ$29,7))</f>
        <v>社</v>
      </c>
      <c r="J18" s="10" t="str">
        <f>IF(VLOOKUP(H12,'クラス別一覧（入力）'!$A$9:$AJ$29,14)="","",VLOOKUP(H12,'クラス別一覧（入力）'!$A$9:$AJ$29,14))</f>
        <v>理</v>
      </c>
      <c r="K18" s="10" t="str">
        <f>IF(VLOOKUP(H12,'クラス別一覧（入力）'!$A$9:$AJ$29,21)="","",VLOOKUP(H12,'クラス別一覧（入力）'!$A$9:$AJ$29,21))</f>
        <v>保体</v>
      </c>
      <c r="L18" s="10" t="str">
        <f>IF(VLOOKUP(H12,'クラス別一覧（入力）'!$A$9:$AJ$29,28)="","",VLOOKUP(H12,'クラス別一覧（入力）'!$A$9:$AJ$29,28))</f>
        <v>国</v>
      </c>
      <c r="M18" s="11" t="str">
        <f>IF(VLOOKUP(H12,'クラス別一覧（入力）'!$A$9:$AJ$29,35)="","",VLOOKUP(H12,'クラス別一覧（入力）'!$A$9:$AJ$29,35))</f>
        <v>英</v>
      </c>
      <c r="O18" s="25">
        <v>5</v>
      </c>
      <c r="P18" s="10" t="str">
        <f>IF(VLOOKUP(O12,'クラス別一覧（入力）'!$A$9:$AJ$29,7)="","",VLOOKUP(O12,'クラス別一覧（入力）'!$A$9:$AJ$29,7))</f>
        <v>理</v>
      </c>
      <c r="Q18" s="10" t="str">
        <f>IF(VLOOKUP(O12,'クラス別一覧（入力）'!$A$9:$AJ$29,14)="","",VLOOKUP(O12,'クラス別一覧（入力）'!$A$9:$AJ$29,14))</f>
        <v>国</v>
      </c>
      <c r="R18" s="10" t="str">
        <f>IF(VLOOKUP(O12,'クラス別一覧（入力）'!$A$9:$AJ$29,21)="","",VLOOKUP(O12,'クラス別一覧（入力）'!$A$9:$AJ$29,21))</f>
        <v>保体</v>
      </c>
      <c r="S18" s="10" t="str">
        <f>IF(VLOOKUP(O12,'クラス別一覧（入力）'!$A$9:$AJ$29,28)="","",VLOOKUP(O12,'クラス別一覧（入力）'!$A$9:$AJ$29,28))</f>
        <v>数</v>
      </c>
      <c r="T18" s="11" t="str">
        <f>IF(VLOOKUP(O12,'クラス別一覧（入力）'!$A$9:$AJ$29,35)="","",VLOOKUP(O12,'クラス別一覧（入力）'!$A$9:$AJ$29,35))</f>
        <v>美</v>
      </c>
    </row>
    <row r="19" spans="1:20" ht="24.9" customHeight="1" thickBot="1" x14ac:dyDescent="0.25">
      <c r="A19" s="26">
        <v>6</v>
      </c>
      <c r="B19" s="12" t="str">
        <f>IF(VLOOKUP(A12,'クラス別一覧（入力）'!$A$9:$AJ$29,8)="","",VLOOKUP(A12,'クラス別一覧（入力）'!$A$9:$AJ$29,8))</f>
        <v>道</v>
      </c>
      <c r="C19" s="12" t="str">
        <f>IF(VLOOKUP(A12,'クラス別一覧（入力）'!$A$9:$AJ$29,15)="","",VLOOKUP(A12,'クラス別一覧（入力）'!$A$9:$AJ$29,15))</f>
        <v>美</v>
      </c>
      <c r="D19" s="12" t="str">
        <f>IF(VLOOKUP(A12,'クラス別一覧（入力）'!$A$9:$AJ$29,22)="","",VLOOKUP(A12,'クラス別一覧（入力）'!$A$9:$AJ$29,22))</f>
        <v>学</v>
      </c>
      <c r="E19" s="12" t="str">
        <f>IF(VLOOKUP(A12,'クラス別一覧（入力）'!$A$9:$AJ$29,29)="","",VLOOKUP(A12,'クラス別一覧（入力）'!$A$9:$AJ$29,29))</f>
        <v/>
      </c>
      <c r="F19" s="14" t="str">
        <f>IF(VLOOKUP(A12,'クラス別一覧（入力）'!$A$9:$AJ$29,36)="","",VLOOKUP(A12,'クラス別一覧（入力）'!$A$9:$AJ$29,36))</f>
        <v>総</v>
      </c>
      <c r="H19" s="26">
        <v>6</v>
      </c>
      <c r="I19" s="12" t="str">
        <f>IF(VLOOKUP(H12,'クラス別一覧（入力）'!$A$9:$AJ$29,8)="","",VLOOKUP(H12,'クラス別一覧（入力）'!$A$9:$AJ$29,8))</f>
        <v>道</v>
      </c>
      <c r="J19" s="12" t="str">
        <f>IF(VLOOKUP(H12,'クラス別一覧（入力）'!$A$9:$AJ$29,15)="","",VLOOKUP(H12,'クラス別一覧（入力）'!$A$9:$AJ$29,15))</f>
        <v>国</v>
      </c>
      <c r="K19" s="12" t="str">
        <f>IF(VLOOKUP(H12,'クラス別一覧（入力）'!$A$9:$AJ$29,22)="","",VLOOKUP(H12,'クラス別一覧（入力）'!$A$9:$AJ$29,22))</f>
        <v>学</v>
      </c>
      <c r="L19" s="12" t="str">
        <f>IF(VLOOKUP(H12,'クラス別一覧（入力）'!$A$9:$AJ$29,29)="","",VLOOKUP(H12,'クラス別一覧（入力）'!$A$9:$AJ$29,29))</f>
        <v/>
      </c>
      <c r="M19" s="14" t="str">
        <f>IF(VLOOKUP(H12,'クラス別一覧（入力）'!$A$9:$AJ$29,36)="","",VLOOKUP(H12,'クラス別一覧（入力）'!$A$9:$AJ$29,36))</f>
        <v>総</v>
      </c>
      <c r="O19" s="26">
        <v>6</v>
      </c>
      <c r="P19" s="12" t="str">
        <f>IF(VLOOKUP(O12,'クラス別一覧（入力）'!$A$9:$AJ$29,8)="","",VLOOKUP(O12,'クラス別一覧（入力）'!$A$9:$AJ$29,8))</f>
        <v>道</v>
      </c>
      <c r="Q19" s="12" t="str">
        <f>IF(VLOOKUP(O12,'クラス別一覧（入力）'!$A$9:$AJ$29,15)="","",VLOOKUP(O12,'クラス別一覧（入力）'!$A$9:$AJ$29,15))</f>
        <v>数</v>
      </c>
      <c r="R19" s="12" t="str">
        <f>IF(VLOOKUP(O12,'クラス別一覧（入力）'!$A$9:$AJ$29,22)="","",VLOOKUP(O12,'クラス別一覧（入力）'!$A$9:$AJ$29,22))</f>
        <v>学</v>
      </c>
      <c r="S19" s="12" t="str">
        <f>IF(VLOOKUP(O12,'クラス別一覧（入力）'!$A$9:$AJ$29,29)="","",VLOOKUP(O12,'クラス別一覧（入力）'!$A$9:$AJ$29,29))</f>
        <v/>
      </c>
      <c r="T19" s="14" t="str">
        <f>IF(VLOOKUP(O12,'クラス別一覧（入力）'!$A$9:$AJ$29,36)="","",VLOOKUP(O12,'クラス別一覧（入力）'!$A$9:$AJ$29,36))</f>
        <v>総</v>
      </c>
    </row>
    <row r="21" spans="1:20" s="28" customFormat="1" ht="20.149999999999999" customHeight="1" x14ac:dyDescent="0.3">
      <c r="A21" s="325" t="s">
        <v>281</v>
      </c>
      <c r="B21" s="325"/>
      <c r="C21" s="326" t="s">
        <v>13</v>
      </c>
      <c r="D21" s="326"/>
      <c r="H21" s="325" t="s">
        <v>281</v>
      </c>
      <c r="I21" s="325"/>
      <c r="J21" s="326" t="s">
        <v>14</v>
      </c>
      <c r="K21" s="326"/>
      <c r="O21" s="325" t="s">
        <v>281</v>
      </c>
      <c r="P21" s="325"/>
      <c r="Q21" s="326" t="s">
        <v>15</v>
      </c>
      <c r="R21" s="326"/>
    </row>
    <row r="22" spans="1:20" ht="17" thickBot="1" x14ac:dyDescent="0.25">
      <c r="A22" s="30">
        <v>7</v>
      </c>
      <c r="H22" s="30">
        <v>8</v>
      </c>
      <c r="O22" s="30">
        <v>9</v>
      </c>
    </row>
    <row r="23" spans="1:20" s="23" customFormat="1" ht="24.9" customHeight="1" x14ac:dyDescent="0.25">
      <c r="A23" s="24"/>
      <c r="B23" s="7" t="s">
        <v>11</v>
      </c>
      <c r="C23" s="7" t="s">
        <v>3</v>
      </c>
      <c r="D23" s="7" t="s">
        <v>5</v>
      </c>
      <c r="E23" s="7" t="s">
        <v>7</v>
      </c>
      <c r="F23" s="9" t="s">
        <v>9</v>
      </c>
      <c r="H23" s="24"/>
      <c r="I23" s="7" t="s">
        <v>11</v>
      </c>
      <c r="J23" s="7" t="s">
        <v>3</v>
      </c>
      <c r="K23" s="7" t="s">
        <v>5</v>
      </c>
      <c r="L23" s="7" t="s">
        <v>7</v>
      </c>
      <c r="M23" s="9" t="s">
        <v>9</v>
      </c>
      <c r="O23" s="24"/>
      <c r="P23" s="7" t="s">
        <v>11</v>
      </c>
      <c r="Q23" s="7" t="s">
        <v>3</v>
      </c>
      <c r="R23" s="7" t="s">
        <v>5</v>
      </c>
      <c r="S23" s="7" t="s">
        <v>7</v>
      </c>
      <c r="T23" s="9" t="s">
        <v>9</v>
      </c>
    </row>
    <row r="24" spans="1:20" ht="24.9" customHeight="1" x14ac:dyDescent="0.2">
      <c r="A24" s="25">
        <v>1</v>
      </c>
      <c r="B24" s="10" t="str">
        <f>IF(VLOOKUP(A22,'クラス別一覧（入力）'!$A$9:$AJ$29,3)="","",VLOOKUP(A22,'クラス別一覧（入力）'!$A$9:$AJ$29,3))</f>
        <v>保体</v>
      </c>
      <c r="C24" s="10" t="str">
        <f>IF(VLOOKUP(A22,'クラス別一覧（入力）'!$A$9:$AJ$29,10)="","",VLOOKUP(A22,'クラス別一覧（入力）'!$A$9:$AJ$29,10))</f>
        <v>英</v>
      </c>
      <c r="D24" s="10" t="str">
        <f>IF(VLOOKUP(A22,'クラス別一覧（入力）'!$A$9:$AJ$29,17)="","",VLOOKUP(A22,'クラス別一覧（入力）'!$A$9:$AJ$29,17))</f>
        <v>保体</v>
      </c>
      <c r="E24" s="10" t="str">
        <f>IF(VLOOKUP(A22,'クラス別一覧（入力）'!$A$9:$AJ$29,24)="","",VLOOKUP(A22,'クラス別一覧（入力）'!$A$9:$AJ$29,24))</f>
        <v>理</v>
      </c>
      <c r="F24" s="11" t="str">
        <f>IF(VLOOKUP(A22,'クラス別一覧（入力）'!$A$9:$AJ$29,31)="","",VLOOKUP(A22,'クラス別一覧（入力）'!$A$9:$AJ$29,31))</f>
        <v>理</v>
      </c>
      <c r="H24" s="25">
        <v>1</v>
      </c>
      <c r="I24" s="10" t="str">
        <f>IF(VLOOKUP(H22,'クラス別一覧（入力）'!$A$9:$AJ$29,3)="","",VLOOKUP(H22,'クラス別一覧（入力）'!$A$9:$AJ$29,3))</f>
        <v>保体</v>
      </c>
      <c r="J24" s="10" t="str">
        <f>IF(VLOOKUP(H22,'クラス別一覧（入力）'!$A$9:$AJ$29,10)="","",VLOOKUP(H22,'クラス別一覧（入力）'!$A$9:$AJ$29,10))</f>
        <v>理</v>
      </c>
      <c r="K24" s="10" t="str">
        <f>IF(VLOOKUP(H22,'クラス別一覧（入力）'!$A$9:$AJ$29,17)="","",VLOOKUP(H22,'クラス別一覧（入力）'!$A$9:$AJ$29,17))</f>
        <v>保体</v>
      </c>
      <c r="L24" s="10" t="str">
        <f>IF(VLOOKUP(H22,'クラス別一覧（入力）'!$A$9:$AJ$29,24)="","",VLOOKUP(H22,'クラス別一覧（入力）'!$A$9:$AJ$29,24))</f>
        <v>英</v>
      </c>
      <c r="M24" s="11" t="str">
        <f>IF(VLOOKUP(H22,'クラス別一覧（入力）'!$A$9:$AJ$29,31)="","",VLOOKUP(H22,'クラス別一覧（入力）'!$A$9:$AJ$29,31))</f>
        <v>数</v>
      </c>
      <c r="O24" s="25">
        <v>1</v>
      </c>
      <c r="P24" s="10" t="str">
        <f>IF(VLOOKUP(O22,'クラス別一覧（入力）'!$A$9:$AJ$29,3)="","",VLOOKUP(O22,'クラス別一覧（入力）'!$A$9:$AJ$29,3))</f>
        <v>理</v>
      </c>
      <c r="Q24" s="10" t="str">
        <f>IF(VLOOKUP(O22,'クラス別一覧（入力）'!$A$9:$AJ$29,10)="","",VLOOKUP(O22,'クラス別一覧（入力）'!$A$9:$AJ$29,10))</f>
        <v>国Ⅰ</v>
      </c>
      <c r="R24" s="10" t="str">
        <f>IF(VLOOKUP(O22,'クラス別一覧（入力）'!$A$9:$AJ$29,17)="","",VLOOKUP(O22,'クラス別一覧（入力）'!$A$9:$AJ$29,17))</f>
        <v>社</v>
      </c>
      <c r="S24" s="10" t="str">
        <f>IF(VLOOKUP(O22,'クラス別一覧（入力）'!$A$9:$AJ$29,24)="","",VLOOKUP(O22,'クラス別一覧（入力）'!$A$9:$AJ$29,24))</f>
        <v>数</v>
      </c>
      <c r="T24" s="11" t="str">
        <f>IF(VLOOKUP(O22,'クラス別一覧（入力）'!$A$9:$AJ$29,31)="","",VLOOKUP(O22,'クラス別一覧（入力）'!$A$9:$AJ$29,31))</f>
        <v>国Ⅰ</v>
      </c>
    </row>
    <row r="25" spans="1:20" ht="24.9" customHeight="1" x14ac:dyDescent="0.2">
      <c r="A25" s="25">
        <v>2</v>
      </c>
      <c r="B25" s="10" t="str">
        <f>IF(VLOOKUP(A22,'クラス別一覧（入力）'!$A$9:$AJ$29,4)="","",VLOOKUP(A22,'クラス別一覧（入力）'!$A$9:$AJ$29,4))</f>
        <v>数</v>
      </c>
      <c r="C25" s="10" t="str">
        <f>IF(VLOOKUP(A22,'クラス別一覧（入力）'!$A$9:$AJ$29,11)="","",VLOOKUP(A22,'クラス別一覧（入力）'!$A$9:$AJ$29,11))</f>
        <v>美</v>
      </c>
      <c r="D25" s="10" t="str">
        <f>IF(VLOOKUP(A22,'クラス別一覧（入力）'!$A$9:$AJ$29,18)="","",VLOOKUP(A22,'クラス別一覧（入力）'!$A$9:$AJ$29,18))</f>
        <v>社</v>
      </c>
      <c r="E25" s="10" t="str">
        <f>IF(VLOOKUP(A22,'クラス別一覧（入力）'!$A$9:$AJ$29,25)="","",VLOOKUP(A22,'クラス別一覧（入力）'!$A$9:$AJ$29,25))</f>
        <v>家</v>
      </c>
      <c r="F25" s="11" t="str">
        <f>IF(VLOOKUP(A22,'クラス別一覧（入力）'!$A$9:$AJ$29,32)="","",VLOOKUP(A22,'クラス別一覧（入力）'!$A$9:$AJ$29,32))</f>
        <v>国Ⅰ</v>
      </c>
      <c r="H25" s="25">
        <v>2</v>
      </c>
      <c r="I25" s="10" t="str">
        <f>IF(VLOOKUP(H22,'クラス別一覧（入力）'!$A$9:$AJ$29,4)="","",VLOOKUP(H22,'クラス別一覧（入力）'!$A$9:$AJ$29,4))</f>
        <v>国Ⅱ</v>
      </c>
      <c r="J25" s="10" t="str">
        <f>IF(VLOOKUP(H22,'クラス別一覧（入力）'!$A$9:$AJ$29,11)="","",VLOOKUP(H22,'クラス別一覧（入力）'!$A$9:$AJ$29,11))</f>
        <v>英</v>
      </c>
      <c r="K25" s="10" t="str">
        <f>IF(VLOOKUP(H22,'クラス別一覧（入力）'!$A$9:$AJ$29,18)="","",VLOOKUP(H22,'クラス別一覧（入力）'!$A$9:$AJ$29,18))</f>
        <v>国Ⅰ</v>
      </c>
      <c r="L25" s="10" t="str">
        <f>IF(VLOOKUP(H22,'クラス別一覧（入力）'!$A$9:$AJ$29,25)="","",VLOOKUP(H22,'クラス別一覧（入力）'!$A$9:$AJ$29,25))</f>
        <v>技</v>
      </c>
      <c r="M25" s="11" t="str">
        <f>IF(VLOOKUP(H22,'クラス別一覧（入力）'!$A$9:$AJ$29,32)="","",VLOOKUP(H22,'クラス別一覧（入力）'!$A$9:$AJ$29,32))</f>
        <v>音</v>
      </c>
      <c r="O25" s="25">
        <v>2</v>
      </c>
      <c r="P25" s="10" t="str">
        <f>IF(VLOOKUP(O22,'クラス別一覧（入力）'!$A$9:$AJ$29,4)="","",VLOOKUP(O22,'クラス別一覧（入力）'!$A$9:$AJ$29,4))</f>
        <v>英</v>
      </c>
      <c r="Q25" s="10" t="str">
        <f>IF(VLOOKUP(O22,'クラス別一覧（入力）'!$A$9:$AJ$29,11)="","",VLOOKUP(O22,'クラス別一覧（入力）'!$A$9:$AJ$29,11))</f>
        <v>保体</v>
      </c>
      <c r="R25" s="10" t="str">
        <f>IF(VLOOKUP(O22,'クラス別一覧（入力）'!$A$9:$AJ$29,18)="","",VLOOKUP(O22,'クラス別一覧（入力）'!$A$9:$AJ$29,18))</f>
        <v>数</v>
      </c>
      <c r="S25" s="10" t="str">
        <f>IF(VLOOKUP(O22,'クラス別一覧（入力）'!$A$9:$AJ$29,25)="","",VLOOKUP(O22,'クラス別一覧（入力）'!$A$9:$AJ$29,25))</f>
        <v>社</v>
      </c>
      <c r="T25" s="11" t="str">
        <f>IF(VLOOKUP(O22,'クラス別一覧（入力）'!$A$9:$AJ$29,32)="","",VLOOKUP(O22,'クラス別一覧（入力）'!$A$9:$AJ$29,32))</f>
        <v>理</v>
      </c>
    </row>
    <row r="26" spans="1:20" ht="24.9" customHeight="1" x14ac:dyDescent="0.2">
      <c r="A26" s="25">
        <v>3</v>
      </c>
      <c r="B26" s="10" t="str">
        <f>IF(VLOOKUP(A22,'クラス別一覧（入力）'!$A$9:$AJ$29,5)="","",VLOOKUP(A22,'クラス別一覧（入力）'!$A$9:$AJ$29,5))</f>
        <v>社</v>
      </c>
      <c r="C26" s="10" t="str">
        <f>IF(VLOOKUP(A22,'クラス別一覧（入力）'!$A$9:$AJ$29,12)="","",VLOOKUP(A22,'クラス別一覧（入力）'!$A$9:$AJ$29,12))</f>
        <v>理</v>
      </c>
      <c r="D26" s="10" t="str">
        <f>IF(VLOOKUP(A22,'クラス別一覧（入力）'!$A$9:$AJ$29,19)="","",VLOOKUP(A22,'クラス別一覧（入力）'!$A$9:$AJ$29,19))</f>
        <v>数</v>
      </c>
      <c r="E26" s="10" t="str">
        <f>IF(VLOOKUP(A22,'クラス別一覧（入力）'!$A$9:$AJ$29,26)="","",VLOOKUP(A22,'クラス別一覧（入力）'!$A$9:$AJ$29,26))</f>
        <v>国Ⅰ</v>
      </c>
      <c r="F26" s="11" t="str">
        <f>IF(VLOOKUP(A22,'クラス別一覧（入力）'!$A$9:$AJ$29,33)="","",VLOOKUP(A22,'クラス別一覧（入力）'!$A$9:$AJ$29,33))</f>
        <v>音</v>
      </c>
      <c r="H26" s="25">
        <v>3</v>
      </c>
      <c r="I26" s="10" t="str">
        <f>IF(VLOOKUP(H22,'クラス別一覧（入力）'!$A$9:$AJ$29,5)="","",VLOOKUP(H22,'クラス別一覧（入力）'!$A$9:$AJ$29,5))</f>
        <v>数</v>
      </c>
      <c r="J26" s="10" t="str">
        <f>IF(VLOOKUP(H22,'クラス別一覧（入力）'!$A$9:$AJ$29,12)="","",VLOOKUP(H22,'クラス別一覧（入力）'!$A$9:$AJ$29,12))</f>
        <v>美</v>
      </c>
      <c r="K26" s="10" t="str">
        <f>IF(VLOOKUP(H22,'クラス別一覧（入力）'!$A$9:$AJ$29,19)="","",VLOOKUP(H22,'クラス別一覧（入力）'!$A$9:$AJ$29,19))</f>
        <v>社</v>
      </c>
      <c r="L26" s="10" t="str">
        <f>IF(VLOOKUP(H22,'クラス別一覧（入力）'!$A$9:$AJ$29,26)="","",VLOOKUP(H22,'クラス別一覧（入力）'!$A$9:$AJ$29,26))</f>
        <v>理</v>
      </c>
      <c r="M26" s="11" t="str">
        <f>IF(VLOOKUP(H22,'クラス別一覧（入力）'!$A$9:$AJ$29,33)="","",VLOOKUP(H22,'クラス別一覧（入力）'!$A$9:$AJ$29,33))</f>
        <v>英</v>
      </c>
      <c r="O26" s="25">
        <v>3</v>
      </c>
      <c r="P26" s="10" t="str">
        <f>IF(VLOOKUP(O22,'クラス別一覧（入力）'!$A$9:$AJ$29,5)="","",VLOOKUP(O22,'クラス別一覧（入力）'!$A$9:$AJ$29,5))</f>
        <v>社</v>
      </c>
      <c r="Q26" s="10" t="str">
        <f>IF(VLOOKUP(O22,'クラス別一覧（入力）'!$A$9:$AJ$29,12)="","",VLOOKUP(O22,'クラス別一覧（入力）'!$A$9:$AJ$29,12))</f>
        <v>英</v>
      </c>
      <c r="R26" s="10" t="str">
        <f>IF(VLOOKUP(O22,'クラス別一覧（入力）'!$A$9:$AJ$29,19)="","",VLOOKUP(O22,'クラス別一覧（入力）'!$A$9:$AJ$29,19))</f>
        <v>保体</v>
      </c>
      <c r="S26" s="10" t="str">
        <f>IF(VLOOKUP(O22,'クラス別一覧（入力）'!$A$9:$AJ$29,26)="","",VLOOKUP(O22,'クラス別一覧（入力）'!$A$9:$AJ$29,26))</f>
        <v>家</v>
      </c>
      <c r="T26" s="11" t="str">
        <f>IF(VLOOKUP(O22,'クラス別一覧（入力）'!$A$9:$AJ$29,33)="","",VLOOKUP(O22,'クラス別一覧（入力）'!$A$9:$AJ$29,33))</f>
        <v>美</v>
      </c>
    </row>
    <row r="27" spans="1:20" ht="24.9" customHeight="1" x14ac:dyDescent="0.2">
      <c r="A27" s="25">
        <v>4</v>
      </c>
      <c r="B27" s="10" t="str">
        <f>IF(VLOOKUP(A22,'クラス別一覧（入力）'!$A$9:$AJ$29,6)="","",VLOOKUP(A22,'クラス別一覧（入力）'!$A$9:$AJ$29,6))</f>
        <v>理</v>
      </c>
      <c r="C27" s="10" t="str">
        <f>IF(VLOOKUP(A22,'クラス別一覧（入力）'!$A$9:$AJ$29,13)="","",VLOOKUP(A22,'クラス別一覧（入力）'!$A$9:$AJ$29,13))</f>
        <v>数</v>
      </c>
      <c r="D27" s="10" t="str">
        <f>IF(VLOOKUP(A22,'クラス別一覧（入力）'!$A$9:$AJ$29,20)="","",VLOOKUP(A22,'クラス別一覧（入力）'!$A$9:$AJ$29,20))</f>
        <v>英</v>
      </c>
      <c r="E27" s="10" t="str">
        <f>IF(VLOOKUP(A22,'クラス別一覧（入力）'!$A$9:$AJ$29,27)="","",VLOOKUP(A22,'クラス別一覧（入力）'!$A$9:$AJ$29,27))</f>
        <v>保体</v>
      </c>
      <c r="F27" s="11" t="str">
        <f>IF(VLOOKUP(A22,'クラス別一覧（入力）'!$A$9:$AJ$29,34)="","",VLOOKUP(A22,'クラス別一覧（入力）'!$A$9:$AJ$29,34))</f>
        <v>英</v>
      </c>
      <c r="H27" s="25">
        <v>4</v>
      </c>
      <c r="I27" s="10" t="str">
        <f>IF(VLOOKUP(H22,'クラス別一覧（入力）'!$A$9:$AJ$29,6)="","",VLOOKUP(H22,'クラス別一覧（入力）'!$A$9:$AJ$29,6))</f>
        <v>社</v>
      </c>
      <c r="J27" s="10" t="str">
        <f>IF(VLOOKUP(H22,'クラス別一覧（入力）'!$A$9:$AJ$29,13)="","",VLOOKUP(H22,'クラス別一覧（入力）'!$A$9:$AJ$29,13))</f>
        <v>社</v>
      </c>
      <c r="K27" s="10" t="str">
        <f>IF(VLOOKUP(H22,'クラス別一覧（入力）'!$A$9:$AJ$29,20)="","",VLOOKUP(H22,'クラス別一覧（入力）'!$A$9:$AJ$29,20))</f>
        <v>理</v>
      </c>
      <c r="L27" s="10" t="str">
        <f>IF(VLOOKUP(H22,'クラス別一覧（入力）'!$A$9:$AJ$29,27)="","",VLOOKUP(H22,'クラス別一覧（入力）'!$A$9:$AJ$29,27))</f>
        <v>保体</v>
      </c>
      <c r="M27" s="11" t="str">
        <f>IF(VLOOKUP(H22,'クラス別一覧（入力）'!$A$9:$AJ$29,34)="","",VLOOKUP(H22,'クラス別一覧（入力）'!$A$9:$AJ$29,34))</f>
        <v>理</v>
      </c>
      <c r="O27" s="25">
        <v>4</v>
      </c>
      <c r="P27" s="10" t="str">
        <f>IF(VLOOKUP(O22,'クラス別一覧（入力）'!$A$9:$AJ$29,6)="","",VLOOKUP(O22,'クラス別一覧（入力）'!$A$9:$AJ$29,6))</f>
        <v>技</v>
      </c>
      <c r="Q27" s="10" t="str">
        <f>IF(VLOOKUP(O22,'クラス別一覧（入力）'!$A$9:$AJ$29,13)="","",VLOOKUP(O22,'クラス別一覧（入力）'!$A$9:$AJ$29,13))</f>
        <v>理</v>
      </c>
      <c r="R27" s="10" t="str">
        <f>IF(VLOOKUP(O22,'クラス別一覧（入力）'!$A$9:$AJ$29,20)="","",VLOOKUP(O22,'クラス別一覧（入力）'!$A$9:$AJ$29,20))</f>
        <v>国Ⅰ</v>
      </c>
      <c r="S27" s="10" t="str">
        <f>IF(VLOOKUP(O22,'クラス別一覧（入力）'!$A$9:$AJ$29,27)="","",VLOOKUP(O22,'クラス別一覧（入力）'!$A$9:$AJ$29,27))</f>
        <v>英</v>
      </c>
      <c r="T27" s="11" t="str">
        <f>IF(VLOOKUP(O22,'クラス別一覧（入力）'!$A$9:$AJ$29,34)="","",VLOOKUP(O22,'クラス別一覧（入力）'!$A$9:$AJ$29,34))</f>
        <v>英</v>
      </c>
    </row>
    <row r="28" spans="1:20" ht="24.9" customHeight="1" x14ac:dyDescent="0.2">
      <c r="A28" s="25">
        <v>5</v>
      </c>
      <c r="B28" s="10" t="str">
        <f>IF(VLOOKUP(A22,'クラス別一覧（入力）'!$A$9:$AJ$29,7)="","",VLOOKUP(A22,'クラス別一覧（入力）'!$A$9:$AJ$29,7))</f>
        <v>国Ⅰ</v>
      </c>
      <c r="C28" s="10" t="str">
        <f>IF(VLOOKUP(A22,'クラス別一覧（入力）'!$A$9:$AJ$29,14)="","",VLOOKUP(A22,'クラス別一覧（入力）'!$A$9:$AJ$29,14))</f>
        <v>国Ⅱ</v>
      </c>
      <c r="D28" s="10" t="str">
        <f>IF(VLOOKUP(A22,'クラス別一覧（入力）'!$A$9:$AJ$29,21)="","",VLOOKUP(A22,'クラス別一覧（入力）'!$A$9:$AJ$29,21))</f>
        <v>技</v>
      </c>
      <c r="E28" s="10" t="str">
        <f>IF(VLOOKUP(A22,'クラス別一覧（入力）'!$A$9:$AJ$29,28)="","",VLOOKUP(A22,'クラス別一覧（入力）'!$A$9:$AJ$29,28))</f>
        <v>英</v>
      </c>
      <c r="F28" s="11" t="str">
        <f>IF(VLOOKUP(A22,'クラス別一覧（入力）'!$A$9:$AJ$29,35)="","",VLOOKUP(A22,'クラス別一覧（入力）'!$A$9:$AJ$29,35))</f>
        <v>社</v>
      </c>
      <c r="H28" s="25">
        <v>5</v>
      </c>
      <c r="I28" s="10" t="str">
        <f>IF(VLOOKUP(H22,'クラス別一覧（入力）'!$A$9:$AJ$29,7)="","",VLOOKUP(H22,'クラス別一覧（入力）'!$A$9:$AJ$29,7))</f>
        <v>家</v>
      </c>
      <c r="J28" s="10" t="str">
        <f>IF(VLOOKUP(H22,'クラス別一覧（入力）'!$A$9:$AJ$29,14)="","",VLOOKUP(H22,'クラス別一覧（入力）'!$A$9:$AJ$29,14))</f>
        <v>国Ⅰ</v>
      </c>
      <c r="K28" s="10" t="str">
        <f>IF(VLOOKUP(H22,'クラス別一覧（入力）'!$A$9:$AJ$29,21)="","",VLOOKUP(H22,'クラス別一覧（入力）'!$A$9:$AJ$29,21))</f>
        <v>英</v>
      </c>
      <c r="L28" s="10" t="str">
        <f>IF(VLOOKUP(H22,'クラス別一覧（入力）'!$A$9:$AJ$29,28)="","",VLOOKUP(H22,'クラス別一覧（入力）'!$A$9:$AJ$29,28))</f>
        <v>数</v>
      </c>
      <c r="M28" s="11" t="str">
        <f>IF(VLOOKUP(H22,'クラス別一覧（入力）'!$A$9:$AJ$29,35)="","",VLOOKUP(H22,'クラス別一覧（入力）'!$A$9:$AJ$29,35))</f>
        <v>国Ⅰ</v>
      </c>
      <c r="O28" s="25">
        <v>5</v>
      </c>
      <c r="P28" s="10" t="str">
        <f>IF(VLOOKUP(O22,'クラス別一覧（入力）'!$A$9:$AJ$29,7)="","",VLOOKUP(O22,'クラス別一覧（入力）'!$A$9:$AJ$29,7))</f>
        <v>国Ⅱ</v>
      </c>
      <c r="Q28" s="10" t="str">
        <f>IF(VLOOKUP(O22,'クラス別一覧（入力）'!$A$9:$AJ$29,14)="","",VLOOKUP(O22,'クラス別一覧（入力）'!$A$9:$AJ$29,14))</f>
        <v>数</v>
      </c>
      <c r="R28" s="10" t="str">
        <f>IF(VLOOKUP(O22,'クラス別一覧（入力）'!$A$9:$AJ$29,21)="","",VLOOKUP(O22,'クラス別一覧（入力）'!$A$9:$AJ$29,21))</f>
        <v>理</v>
      </c>
      <c r="S28" s="10" t="str">
        <f>IF(VLOOKUP(O22,'クラス別一覧（入力）'!$A$9:$AJ$29,28)="","",VLOOKUP(O22,'クラス別一覧（入力）'!$A$9:$AJ$29,28))</f>
        <v>音</v>
      </c>
      <c r="T28" s="11" t="str">
        <f>IF(VLOOKUP(O22,'クラス別一覧（入力）'!$A$9:$AJ$29,35)="","",VLOOKUP(O22,'クラス別一覧（入力）'!$A$9:$AJ$29,35))</f>
        <v>保体</v>
      </c>
    </row>
    <row r="29" spans="1:20" ht="24.9" customHeight="1" thickBot="1" x14ac:dyDescent="0.25">
      <c r="A29" s="26">
        <v>6</v>
      </c>
      <c r="B29" s="12" t="str">
        <f>IF(VLOOKUP(A22,'クラス別一覧（入力）'!$A$9:$AJ$29,8)="","",VLOOKUP(A22,'クラス別一覧（入力）'!$A$9:$AJ$29,8))</f>
        <v>道</v>
      </c>
      <c r="C29" s="12" t="str">
        <f>IF(VLOOKUP(A22,'クラス別一覧（入力）'!$A$9:$AJ$29,15)="","",VLOOKUP(A22,'クラス別一覧（入力）'!$A$9:$AJ$29,15))</f>
        <v>総</v>
      </c>
      <c r="D29" s="12" t="str">
        <f>IF(VLOOKUP(A22,'クラス別一覧（入力）'!$A$9:$AJ$29,22)="","",VLOOKUP(A22,'クラス別一覧（入力）'!$A$9:$AJ$29,22))</f>
        <v>学</v>
      </c>
      <c r="E29" s="12" t="str">
        <f>IF(VLOOKUP(A22,'クラス別一覧（入力）'!$A$9:$AJ$29,29)="","",VLOOKUP(A22,'クラス別一覧（入力）'!$A$9:$AJ$29,29))</f>
        <v/>
      </c>
      <c r="F29" s="14" t="str">
        <f>IF(VLOOKUP(A22,'クラス別一覧（入力）'!$A$9:$AJ$29,36)="","",VLOOKUP(A22,'クラス別一覧（入力）'!$A$9:$AJ$29,36))</f>
        <v>総</v>
      </c>
      <c r="H29" s="26">
        <v>6</v>
      </c>
      <c r="I29" s="12" t="str">
        <f>IF(VLOOKUP(H22,'クラス別一覧（入力）'!$A$9:$AJ$29,8)="","",VLOOKUP(H22,'クラス別一覧（入力）'!$A$9:$AJ$29,8))</f>
        <v>道</v>
      </c>
      <c r="J29" s="12" t="str">
        <f>IF(VLOOKUP(H22,'クラス別一覧（入力）'!$A$9:$AJ$29,15)="","",VLOOKUP(H22,'クラス別一覧（入力）'!$A$9:$AJ$29,15))</f>
        <v>総</v>
      </c>
      <c r="K29" s="12" t="str">
        <f>IF(VLOOKUP(H22,'クラス別一覧（入力）'!$A$9:$AJ$29,22)="","",VLOOKUP(H22,'クラス別一覧（入力）'!$A$9:$AJ$29,22))</f>
        <v>学</v>
      </c>
      <c r="L29" s="12" t="str">
        <f>IF(VLOOKUP(H22,'クラス別一覧（入力）'!$A$9:$AJ$29,29)="","",VLOOKUP(H22,'クラス別一覧（入力）'!$A$9:$AJ$29,29))</f>
        <v/>
      </c>
      <c r="M29" s="14" t="str">
        <f>IF(VLOOKUP(H22,'クラス別一覧（入力）'!$A$9:$AJ$29,36)="","",VLOOKUP(H22,'クラス別一覧（入力）'!$A$9:$AJ$29,36))</f>
        <v>総</v>
      </c>
      <c r="O29" s="26">
        <v>6</v>
      </c>
      <c r="P29" s="12" t="str">
        <f>IF(VLOOKUP(O22,'クラス別一覧（入力）'!$A$9:$AJ$29,8)="","",VLOOKUP(O22,'クラス別一覧（入力）'!$A$9:$AJ$29,8))</f>
        <v>道</v>
      </c>
      <c r="Q29" s="12" t="str">
        <f>IF(VLOOKUP(O22,'クラス別一覧（入力）'!$A$9:$AJ$29,15)="","",VLOOKUP(O22,'クラス別一覧（入力）'!$A$9:$AJ$29,15))</f>
        <v>総</v>
      </c>
      <c r="R29" s="12" t="str">
        <f>IF(VLOOKUP(O22,'クラス別一覧（入力）'!$A$9:$AJ$29,22)="","",VLOOKUP(O22,'クラス別一覧（入力）'!$A$9:$AJ$29,22))</f>
        <v>学</v>
      </c>
      <c r="S29" s="12" t="str">
        <f>IF(VLOOKUP(O22,'クラス別一覧（入力）'!$A$9:$AJ$29,29)="","",VLOOKUP(O22,'クラス別一覧（入力）'!$A$9:$AJ$29,29))</f>
        <v/>
      </c>
      <c r="T29" s="14" t="str">
        <f>IF(VLOOKUP(O22,'クラス別一覧（入力）'!$A$9:$AJ$29,36)="","",VLOOKUP(O22,'クラス別一覧（入力）'!$A$9:$AJ$29,36))</f>
        <v>総</v>
      </c>
    </row>
    <row r="30" spans="1:20" ht="14.25" customHeight="1" x14ac:dyDescent="0.2">
      <c r="A30" s="27"/>
      <c r="B30" s="21"/>
      <c r="C30" s="21"/>
      <c r="D30" s="21"/>
      <c r="E30" s="21"/>
      <c r="F30" s="21"/>
      <c r="H30" s="27"/>
      <c r="I30" s="21"/>
      <c r="J30" s="21"/>
      <c r="K30" s="21"/>
      <c r="L30" s="21"/>
      <c r="M30" s="21"/>
      <c r="O30" s="27"/>
      <c r="P30" s="21"/>
      <c r="Q30" s="21"/>
      <c r="R30" s="21"/>
      <c r="S30" s="21"/>
      <c r="T30" s="21"/>
    </row>
    <row r="31" spans="1:20" s="28" customFormat="1" ht="20.149999999999999" customHeight="1" x14ac:dyDescent="0.3">
      <c r="A31" s="325" t="s">
        <v>281</v>
      </c>
      <c r="B31" s="325"/>
      <c r="C31" s="326" t="s">
        <v>16</v>
      </c>
      <c r="D31" s="326"/>
      <c r="H31" s="325" t="s">
        <v>281</v>
      </c>
      <c r="I31" s="325"/>
      <c r="J31" s="326" t="s">
        <v>17</v>
      </c>
      <c r="K31" s="326"/>
      <c r="O31" s="325" t="s">
        <v>281</v>
      </c>
      <c r="P31" s="325"/>
      <c r="Q31" s="326" t="s">
        <v>18</v>
      </c>
      <c r="R31" s="326"/>
    </row>
    <row r="32" spans="1:20" ht="17" thickBot="1" x14ac:dyDescent="0.25">
      <c r="A32" s="30">
        <v>10</v>
      </c>
      <c r="H32" s="30">
        <v>11</v>
      </c>
      <c r="O32" s="30">
        <v>12</v>
      </c>
    </row>
    <row r="33" spans="1:20" s="23" customFormat="1" ht="24.9" customHeight="1" x14ac:dyDescent="0.25">
      <c r="A33" s="24"/>
      <c r="B33" s="7" t="s">
        <v>11</v>
      </c>
      <c r="C33" s="7" t="s">
        <v>3</v>
      </c>
      <c r="D33" s="7" t="s">
        <v>5</v>
      </c>
      <c r="E33" s="7" t="s">
        <v>7</v>
      </c>
      <c r="F33" s="9" t="s">
        <v>9</v>
      </c>
      <c r="H33" s="24"/>
      <c r="I33" s="7" t="s">
        <v>11</v>
      </c>
      <c r="J33" s="7" t="s">
        <v>3</v>
      </c>
      <c r="K33" s="7" t="s">
        <v>5</v>
      </c>
      <c r="L33" s="7" t="s">
        <v>7</v>
      </c>
      <c r="M33" s="9" t="s">
        <v>9</v>
      </c>
      <c r="O33" s="24"/>
      <c r="P33" s="7" t="s">
        <v>11</v>
      </c>
      <c r="Q33" s="7" t="s">
        <v>3</v>
      </c>
      <c r="R33" s="7" t="s">
        <v>5</v>
      </c>
      <c r="S33" s="7" t="s">
        <v>7</v>
      </c>
      <c r="T33" s="9" t="s">
        <v>9</v>
      </c>
    </row>
    <row r="34" spans="1:20" ht="24.9" customHeight="1" x14ac:dyDescent="0.2">
      <c r="A34" s="25">
        <v>1</v>
      </c>
      <c r="B34" s="10" t="str">
        <f>IF(VLOOKUP(A32,'クラス別一覧（入力）'!$A$9:$AJ$29,3)="","",VLOOKUP(A32,'クラス別一覧（入力）'!$A$9:$AJ$29,3))</f>
        <v>英</v>
      </c>
      <c r="C34" s="10" t="str">
        <f>IF(VLOOKUP(A32,'クラス別一覧（入力）'!$A$9:$AJ$29,10)="","",VLOOKUP(A32,'クラス別一覧（入力）'!$A$9:$AJ$29,10))</f>
        <v>数</v>
      </c>
      <c r="D34" s="10" t="str">
        <f>IF(VLOOKUP(A32,'クラス別一覧（入力）'!$A$9:$AJ$29,17)="","",VLOOKUP(A32,'クラス別一覧（入力）'!$A$9:$AJ$29,17))</f>
        <v>国Ⅰ</v>
      </c>
      <c r="E34" s="10" t="str">
        <f>IF(VLOOKUP(A32,'クラス別一覧（入力）'!$A$9:$AJ$29,24)="","",VLOOKUP(A32,'クラス別一覧（入力）'!$A$9:$AJ$29,24))</f>
        <v>家</v>
      </c>
      <c r="F34" s="11" t="str">
        <f>IF(VLOOKUP(A32,'クラス別一覧（入力）'!$A$9:$AJ$29,31)="","",VLOOKUP(A32,'クラス別一覧（入力）'!$A$9:$AJ$29,31))</f>
        <v>社</v>
      </c>
      <c r="H34" s="25">
        <v>1</v>
      </c>
      <c r="I34" s="10" t="str">
        <f>IF(VLOOKUP(H32,'クラス別一覧（入力）'!$A$9:$AJ$29,3)="","",VLOOKUP(H32,'クラス別一覧（入力）'!$A$9:$AJ$29,3))</f>
        <v>数</v>
      </c>
      <c r="J34" s="10" t="str">
        <f>IF(VLOOKUP(H32,'クラス別一覧（入力）'!$A$9:$AJ$29,10)="","",VLOOKUP(H32,'クラス別一覧（入力）'!$A$9:$AJ$29,10))</f>
        <v>社</v>
      </c>
      <c r="K34" s="10" t="str">
        <f>IF(VLOOKUP(H32,'クラス別一覧（入力）'!$A$9:$AJ$29,17)="","",VLOOKUP(H32,'クラス別一覧（入力）'!$A$9:$AJ$29,17))</f>
        <v>理</v>
      </c>
      <c r="L34" s="10" t="str">
        <f>IF(VLOOKUP(H32,'クラス別一覧（入力）'!$A$9:$AJ$29,24)="","",VLOOKUP(H32,'クラス別一覧（入力）'!$A$9:$AJ$29,24))</f>
        <v>技</v>
      </c>
      <c r="M34" s="11" t="str">
        <f>IF(VLOOKUP(H32,'クラス別一覧（入力）'!$A$9:$AJ$29,31)="","",VLOOKUP(H32,'クラス別一覧（入力）'!$A$9:$AJ$29,31))</f>
        <v>英</v>
      </c>
      <c r="O34" s="25">
        <v>1</v>
      </c>
      <c r="P34" s="10" t="str">
        <f>IF(VLOOKUP(O32,'クラス別一覧（入力）'!$A$9:$AJ$29,3)="","",VLOOKUP(O32,'クラス別一覧（入力）'!$A$9:$AJ$29,3))</f>
        <v>国</v>
      </c>
      <c r="Q34" s="10" t="str">
        <f>IF(VLOOKUP(O32,'クラス別一覧（入力）'!$A$9:$AJ$29,10)="","",VLOOKUP(O32,'クラス別一覧（入力）'!$A$9:$AJ$29,10))</f>
        <v>理</v>
      </c>
      <c r="R34" s="10" t="str">
        <f>IF(VLOOKUP(O32,'クラス別一覧（入力）'!$A$9:$AJ$29,17)="","",VLOOKUP(O32,'クラス別一覧（入力）'!$A$9:$AJ$29,17))</f>
        <v>英</v>
      </c>
      <c r="S34" s="10" t="str">
        <f>IF(VLOOKUP(O32,'クラス別一覧（入力）'!$A$9:$AJ$29,24)="","",VLOOKUP(O32,'クラス別一覧（入力）'!$A$9:$AJ$29,24))</f>
        <v>社</v>
      </c>
      <c r="T34" s="11" t="str">
        <f>IF(VLOOKUP(O32,'クラス別一覧（入力）'!$A$9:$AJ$29,31)="","",VLOOKUP(O32,'クラス別一覧（入力）'!$A$9:$AJ$29,31))</f>
        <v>保体</v>
      </c>
    </row>
    <row r="35" spans="1:20" ht="24.9" customHeight="1" x14ac:dyDescent="0.2">
      <c r="A35" s="25">
        <v>2</v>
      </c>
      <c r="B35" s="10" t="str">
        <f>IF(VLOOKUP(A32,'クラス別一覧（入力）'!$A$9:$AJ$29,4)="","",VLOOKUP(A32,'クラス別一覧（入力）'!$A$9:$AJ$29,4))</f>
        <v>社</v>
      </c>
      <c r="C35" s="10" t="str">
        <f>IF(VLOOKUP(A32,'クラス別一覧（入力）'!$A$9:$AJ$29,11)="","",VLOOKUP(A32,'クラス別一覧（入力）'!$A$9:$AJ$29,11))</f>
        <v>社</v>
      </c>
      <c r="D35" s="10" t="str">
        <f>IF(VLOOKUP(A32,'クラス別一覧（入力）'!$A$9:$AJ$29,18)="","",VLOOKUP(A32,'クラス別一覧（入力）'!$A$9:$AJ$29,18))</f>
        <v>保体</v>
      </c>
      <c r="E35" s="10" t="str">
        <f>IF(VLOOKUP(A32,'クラス別一覧（入力）'!$A$9:$AJ$29,25)="","",VLOOKUP(A32,'クラス別一覧（入力）'!$A$9:$AJ$29,25))</f>
        <v>国Ⅰ</v>
      </c>
      <c r="F35" s="11" t="str">
        <f>IF(VLOOKUP(A32,'クラス別一覧（入力）'!$A$9:$AJ$29,32)="","",VLOOKUP(A32,'クラス別一覧（入力）'!$A$9:$AJ$29,32))</f>
        <v>美</v>
      </c>
      <c r="H35" s="25">
        <v>2</v>
      </c>
      <c r="I35" s="10" t="str">
        <f>IF(VLOOKUP(H32,'クラス別一覧（入力）'!$A$9:$AJ$29,4)="","",VLOOKUP(H32,'クラス別一覧（入力）'!$A$9:$AJ$29,4))</f>
        <v>理</v>
      </c>
      <c r="J35" s="10" t="str">
        <f>IF(VLOOKUP(H32,'クラス別一覧（入力）'!$A$9:$AJ$29,11)="","",VLOOKUP(H32,'クラス別一覧（入力）'!$A$9:$AJ$29,11))</f>
        <v>数</v>
      </c>
      <c r="K35" s="10" t="str">
        <f>IF(VLOOKUP(H32,'クラス別一覧（入力）'!$A$9:$AJ$29,18)="","",VLOOKUP(H32,'クラス別一覧（入力）'!$A$9:$AJ$29,18))</f>
        <v>保体</v>
      </c>
      <c r="L35" s="10" t="str">
        <f>IF(VLOOKUP(H32,'クラス別一覧（入力）'!$A$9:$AJ$29,25)="","",VLOOKUP(H32,'クラス別一覧（入力）'!$A$9:$AJ$29,25))</f>
        <v>理</v>
      </c>
      <c r="M35" s="11" t="str">
        <f>IF(VLOOKUP(H32,'クラス別一覧（入力）'!$A$9:$AJ$29,32)="","",VLOOKUP(H32,'クラス別一覧（入力）'!$A$9:$AJ$29,32))</f>
        <v>数</v>
      </c>
      <c r="O35" s="25">
        <v>2</v>
      </c>
      <c r="P35" s="10" t="str">
        <f>IF(VLOOKUP(O32,'クラス別一覧（入力）'!$A$9:$AJ$29,4)="","",VLOOKUP(O32,'クラス別一覧（入力）'!$A$9:$AJ$29,4))</f>
        <v>社</v>
      </c>
      <c r="Q35" s="10" t="str">
        <f>IF(VLOOKUP(O32,'クラス別一覧（入力）'!$A$9:$AJ$29,11)="","",VLOOKUP(O32,'クラス別一覧（入力）'!$A$9:$AJ$29,11))</f>
        <v>保体</v>
      </c>
      <c r="R35" s="10" t="str">
        <f>IF(VLOOKUP(O32,'クラス別一覧（入力）'!$A$9:$AJ$29,18)="","",VLOOKUP(O32,'クラス別一覧（入力）'!$A$9:$AJ$29,18))</f>
        <v>国</v>
      </c>
      <c r="S35" s="10" t="str">
        <f>IF(VLOOKUP(O32,'クラス別一覧（入力）'!$A$9:$AJ$29,25)="","",VLOOKUP(O32,'クラス別一覧（入力）'!$A$9:$AJ$29,25))</f>
        <v>理</v>
      </c>
      <c r="T35" s="11" t="str">
        <f>IF(VLOOKUP(O32,'クラス別一覧（入力）'!$A$9:$AJ$29,32)="","",VLOOKUP(O32,'クラス別一覧（入力）'!$A$9:$AJ$29,32))</f>
        <v>国</v>
      </c>
    </row>
    <row r="36" spans="1:20" ht="24.9" customHeight="1" x14ac:dyDescent="0.2">
      <c r="A36" s="25">
        <v>3</v>
      </c>
      <c r="B36" s="10" t="str">
        <f>IF(VLOOKUP(A32,'クラス別一覧（入力）'!$A$9:$AJ$29,5)="","",VLOOKUP(A32,'クラス別一覧（入力）'!$A$9:$AJ$29,5))</f>
        <v>理</v>
      </c>
      <c r="C36" s="10" t="str">
        <f>IF(VLOOKUP(A32,'クラス別一覧（入力）'!$A$9:$AJ$29,12)="","",VLOOKUP(A32,'クラス別一覧（入力）'!$A$9:$AJ$29,12))</f>
        <v>保体</v>
      </c>
      <c r="D36" s="10" t="str">
        <f>IF(VLOOKUP(A32,'クラス別一覧（入力）'!$A$9:$AJ$29,19)="","",VLOOKUP(A32,'クラス別一覧（入力）'!$A$9:$AJ$29,19))</f>
        <v>理</v>
      </c>
      <c r="E36" s="10" t="str">
        <f>IF(VLOOKUP(A32,'クラス別一覧（入力）'!$A$9:$AJ$29,26)="","",VLOOKUP(A32,'クラス別一覧（入力）'!$A$9:$AJ$29,26))</f>
        <v>保体</v>
      </c>
      <c r="F36" s="11" t="str">
        <f>IF(VLOOKUP(A32,'クラス別一覧（入力）'!$A$9:$AJ$29,33)="","",VLOOKUP(A32,'クラス別一覧（入力）'!$A$9:$AJ$29,33))</f>
        <v>理</v>
      </c>
      <c r="H36" s="25">
        <v>3</v>
      </c>
      <c r="I36" s="10" t="str">
        <f>IF(VLOOKUP(H32,'クラス別一覧（入力）'!$A$9:$AJ$29,5)="","",VLOOKUP(H32,'クラス別一覧（入力）'!$A$9:$AJ$29,5))</f>
        <v>国Ⅰ</v>
      </c>
      <c r="J36" s="10" t="str">
        <f>IF(VLOOKUP(H32,'クラス別一覧（入力）'!$A$9:$AJ$29,12)="","",VLOOKUP(H32,'クラス別一覧（入力）'!$A$9:$AJ$29,12))</f>
        <v>保体</v>
      </c>
      <c r="K36" s="10" t="str">
        <f>IF(VLOOKUP(H32,'クラス別一覧（入力）'!$A$9:$AJ$29,19)="","",VLOOKUP(H32,'クラス別一覧（入力）'!$A$9:$AJ$29,19))</f>
        <v>英</v>
      </c>
      <c r="L36" s="10" t="str">
        <f>IF(VLOOKUP(H32,'クラス別一覧（入力）'!$A$9:$AJ$29,26)="","",VLOOKUP(H32,'クラス別一覧（入力）'!$A$9:$AJ$29,26))</f>
        <v>保体</v>
      </c>
      <c r="M36" s="11" t="str">
        <f>IF(VLOOKUP(H32,'クラス別一覧（入力）'!$A$9:$AJ$29,33)="","",VLOOKUP(H32,'クラス別一覧（入力）'!$A$9:$AJ$29,33))</f>
        <v>社</v>
      </c>
      <c r="O36" s="25">
        <v>3</v>
      </c>
      <c r="P36" s="10" t="str">
        <f>IF(VLOOKUP(O32,'クラス別一覧（入力）'!$A$9:$AJ$29,5)="","",VLOOKUP(O32,'クラス別一覧（入力）'!$A$9:$AJ$29,5))</f>
        <v>英</v>
      </c>
      <c r="Q36" s="10" t="str">
        <f>IF(VLOOKUP(O32,'クラス別一覧（入力）'!$A$9:$AJ$29,12)="","",VLOOKUP(O32,'クラス別一覧（入力）'!$A$9:$AJ$29,12))</f>
        <v>数</v>
      </c>
      <c r="R36" s="10" t="str">
        <f>IF(VLOOKUP(O32,'クラス別一覧（入力）'!$A$9:$AJ$29,19)="","",VLOOKUP(O32,'クラス別一覧（入力）'!$A$9:$AJ$29,19))</f>
        <v>保体</v>
      </c>
      <c r="S36" s="10" t="str">
        <f>IF(VLOOKUP(O32,'クラス別一覧（入力）'!$A$9:$AJ$29,26)="","",VLOOKUP(O32,'クラス別一覧（入力）'!$A$9:$AJ$29,26))</f>
        <v>数</v>
      </c>
      <c r="T36" s="11" t="str">
        <f>IF(VLOOKUP(O32,'クラス別一覧（入力）'!$A$9:$AJ$29,33)="","",VLOOKUP(O32,'クラス別一覧（入力）'!$A$9:$AJ$29,33))</f>
        <v>数</v>
      </c>
    </row>
    <row r="37" spans="1:20" ht="24.9" customHeight="1" x14ac:dyDescent="0.2">
      <c r="A37" s="25">
        <v>4</v>
      </c>
      <c r="B37" s="10" t="str">
        <f>IF(VLOOKUP(A32,'クラス別一覧（入力）'!$A$9:$AJ$29,6)="","",VLOOKUP(A32,'クラス別一覧（入力）'!$A$9:$AJ$29,6))</f>
        <v>国Ⅰ</v>
      </c>
      <c r="C37" s="10" t="str">
        <f>IF(VLOOKUP(A32,'クラス別一覧（入力）'!$A$9:$AJ$29,13)="","",VLOOKUP(A32,'クラス別一覧（入力）'!$A$9:$AJ$29,13))</f>
        <v>国Ⅱ</v>
      </c>
      <c r="D37" s="10" t="str">
        <f>IF(VLOOKUP(A32,'クラス別一覧（入力）'!$A$9:$AJ$29,20)="","",VLOOKUP(A32,'クラス別一覧（入力）'!$A$9:$AJ$29,20))</f>
        <v>数</v>
      </c>
      <c r="E37" s="10" t="str">
        <f>IF(VLOOKUP(A32,'クラス別一覧（入力）'!$A$9:$AJ$29,27)="","",VLOOKUP(A32,'クラス別一覧（入力）'!$A$9:$AJ$29,27))</f>
        <v>英</v>
      </c>
      <c r="F37" s="11" t="str">
        <f>IF(VLOOKUP(A32,'クラス別一覧（入力）'!$A$9:$AJ$29,34)="","",VLOOKUP(A32,'クラス別一覧（入力）'!$A$9:$AJ$29,34))</f>
        <v>数</v>
      </c>
      <c r="H37" s="25">
        <v>4</v>
      </c>
      <c r="I37" s="10" t="str">
        <f>IF(VLOOKUP(H32,'クラス別一覧（入力）'!$A$9:$AJ$29,6)="","",VLOOKUP(H32,'クラス別一覧（入力）'!$A$9:$AJ$29,6))</f>
        <v>家</v>
      </c>
      <c r="J37" s="10" t="str">
        <f>IF(VLOOKUP(H32,'クラス別一覧（入力）'!$A$9:$AJ$29,13)="","",VLOOKUP(H32,'クラス別一覧（入力）'!$A$9:$AJ$29,13))</f>
        <v>国Ⅰ</v>
      </c>
      <c r="K37" s="10" t="str">
        <f>IF(VLOOKUP(H32,'クラス別一覧（入力）'!$A$9:$AJ$29,20)="","",VLOOKUP(H32,'クラス別一覧（入力）'!$A$9:$AJ$29,20))</f>
        <v>音</v>
      </c>
      <c r="L37" s="10" t="str">
        <f>IF(VLOOKUP(H32,'クラス別一覧（入力）'!$A$9:$AJ$29,27)="","",VLOOKUP(H32,'クラス別一覧（入力）'!$A$9:$AJ$29,27))</f>
        <v>社</v>
      </c>
      <c r="M37" s="11" t="str">
        <f>IF(VLOOKUP(H32,'クラス別一覧（入力）'!$A$9:$AJ$29,34)="","",VLOOKUP(H32,'クラス別一覧（入力）'!$A$9:$AJ$29,34))</f>
        <v>美</v>
      </c>
      <c r="O37" s="25">
        <v>4</v>
      </c>
      <c r="P37" s="10" t="str">
        <f>IF(VLOOKUP(O32,'クラス別一覧（入力）'!$A$9:$AJ$29,6)="","",VLOOKUP(O32,'クラス別一覧（入力）'!$A$9:$AJ$29,6))</f>
        <v>理</v>
      </c>
      <c r="Q37" s="10" t="str">
        <f>IF(VLOOKUP(O32,'クラス別一覧（入力）'!$A$9:$AJ$29,13)="","",VLOOKUP(O32,'クラス別一覧（入力）'!$A$9:$AJ$29,13))</f>
        <v>技家</v>
      </c>
      <c r="R37" s="10" t="str">
        <f>IF(VLOOKUP(O32,'クラス別一覧（入力）'!$A$9:$AJ$29,20)="","",VLOOKUP(O32,'クラス別一覧（入力）'!$A$9:$AJ$29,20))</f>
        <v>理</v>
      </c>
      <c r="S37" s="10" t="str">
        <f>IF(VLOOKUP(O32,'クラス別一覧（入力）'!$A$9:$AJ$29,27)="","",VLOOKUP(O32,'クラス別一覧（入力）'!$A$9:$AJ$29,27))</f>
        <v>音</v>
      </c>
      <c r="T37" s="11" t="str">
        <f>IF(VLOOKUP(O32,'クラス別一覧（入力）'!$A$9:$AJ$29,34)="","",VLOOKUP(O32,'クラス別一覧（入力）'!$A$9:$AJ$29,34))</f>
        <v>社</v>
      </c>
    </row>
    <row r="38" spans="1:20" ht="24.9" customHeight="1" x14ac:dyDescent="0.2">
      <c r="A38" s="25">
        <v>5</v>
      </c>
      <c r="B38" s="10" t="str">
        <f>IF(VLOOKUP(A32,'クラス別一覧（入力）'!$A$9:$AJ$29,7)="","",VLOOKUP(A32,'クラス別一覧（入力）'!$A$9:$AJ$29,7))</f>
        <v>技</v>
      </c>
      <c r="C38" s="10" t="str">
        <f>IF(VLOOKUP(A32,'クラス別一覧（入力）'!$A$9:$AJ$29,14)="","",VLOOKUP(A32,'クラス別一覧（入力）'!$A$9:$AJ$29,14))</f>
        <v>英</v>
      </c>
      <c r="D38" s="10" t="str">
        <f>IF(VLOOKUP(A32,'クラス別一覧（入力）'!$A$9:$AJ$29,21)="","",VLOOKUP(A32,'クラス別一覧（入力）'!$A$9:$AJ$29,21))</f>
        <v>音</v>
      </c>
      <c r="E38" s="10" t="str">
        <f>IF(VLOOKUP(A32,'クラス別一覧（入力）'!$A$9:$AJ$29,28)="","",VLOOKUP(A32,'クラス別一覧（入力）'!$A$9:$AJ$29,28))</f>
        <v>理</v>
      </c>
      <c r="F38" s="11" t="str">
        <f>IF(VLOOKUP(A32,'クラス別一覧（入力）'!$A$9:$AJ$29,35)="","",VLOOKUP(A32,'クラス別一覧（入力）'!$A$9:$AJ$29,35))</f>
        <v>英</v>
      </c>
      <c r="H38" s="25">
        <v>5</v>
      </c>
      <c r="I38" s="10" t="str">
        <f>IF(VLOOKUP(H32,'クラス別一覧（入力）'!$A$9:$AJ$29,7)="","",VLOOKUP(H32,'クラス別一覧（入力）'!$A$9:$AJ$29,7))</f>
        <v>英</v>
      </c>
      <c r="J38" s="10" t="str">
        <f>IF(VLOOKUP(H32,'クラス別一覧（入力）'!$A$9:$AJ$29,14)="","",VLOOKUP(H32,'クラス別一覧（入力）'!$A$9:$AJ$29,14))</f>
        <v>理</v>
      </c>
      <c r="K38" s="10" t="str">
        <f>IF(VLOOKUP(H32,'クラス別一覧（入力）'!$A$9:$AJ$29,21)="","",VLOOKUP(H32,'クラス別一覧（入力）'!$A$9:$AJ$29,21))</f>
        <v>国Ⅰ</v>
      </c>
      <c r="L38" s="10" t="str">
        <f>IF(VLOOKUP(H32,'クラス別一覧（入力）'!$A$9:$AJ$29,28)="","",VLOOKUP(H32,'クラス別一覧（入力）'!$A$9:$AJ$29,28))</f>
        <v>英</v>
      </c>
      <c r="M38" s="11" t="str">
        <f>IF(VLOOKUP(H32,'クラス別一覧（入力）'!$A$9:$AJ$29,35)="","",VLOOKUP(H32,'クラス別一覧（入力）'!$A$9:$AJ$29,35))</f>
        <v>国Ⅱ</v>
      </c>
      <c r="O38" s="25">
        <v>5</v>
      </c>
      <c r="P38" s="10" t="str">
        <f>IF(VLOOKUP(O32,'クラス別一覧（入力）'!$A$9:$AJ$29,7)="","",VLOOKUP(O32,'クラス別一覧（入力）'!$A$9:$AJ$29,7))</f>
        <v>美</v>
      </c>
      <c r="Q38" s="10" t="str">
        <f>IF(VLOOKUP(O32,'クラス別一覧（入力）'!$A$9:$AJ$29,14)="","",VLOOKUP(O32,'クラス別一覧（入力）'!$A$9:$AJ$29,14))</f>
        <v>社</v>
      </c>
      <c r="R38" s="10" t="str">
        <f>IF(VLOOKUP(O32,'クラス別一覧（入力）'!$A$9:$AJ$29,21)="","",VLOOKUP(O32,'クラス別一覧（入力）'!$A$9:$AJ$29,21))</f>
        <v>数</v>
      </c>
      <c r="S38" s="10" t="str">
        <f>IF(VLOOKUP(O32,'クラス別一覧（入力）'!$A$9:$AJ$29,28)="","",VLOOKUP(O32,'クラス別一覧（入力）'!$A$9:$AJ$29,28))</f>
        <v>英</v>
      </c>
      <c r="T38" s="11" t="str">
        <f>IF(VLOOKUP(O32,'クラス別一覧（入力）'!$A$9:$AJ$29,35)="","",VLOOKUP(O32,'クラス別一覧（入力）'!$A$9:$AJ$29,35))</f>
        <v>英</v>
      </c>
    </row>
    <row r="39" spans="1:20" ht="24.9" customHeight="1" thickBot="1" x14ac:dyDescent="0.25">
      <c r="A39" s="26">
        <v>6</v>
      </c>
      <c r="B39" s="12" t="str">
        <f>IF(VLOOKUP(A32,'クラス別一覧（入力）'!$A$9:$AJ$29,8)="","",VLOOKUP(A32,'クラス別一覧（入力）'!$A$9:$AJ$29,8))</f>
        <v>道</v>
      </c>
      <c r="C39" s="12" t="str">
        <f>IF(VLOOKUP(A32,'クラス別一覧（入力）'!$A$9:$AJ$29,15)="","",VLOOKUP(A32,'クラス別一覧（入力）'!$A$9:$AJ$29,15))</f>
        <v>総</v>
      </c>
      <c r="D39" s="12" t="str">
        <f>IF(VLOOKUP(A32,'クラス別一覧（入力）'!$A$9:$AJ$29,22)="","",VLOOKUP(A32,'クラス別一覧（入力）'!$A$9:$AJ$29,22))</f>
        <v>学</v>
      </c>
      <c r="E39" s="12" t="str">
        <f>IF(VLOOKUP(A32,'クラス別一覧（入力）'!$A$9:$AJ$29,29)="","",VLOOKUP(A32,'クラス別一覧（入力）'!$A$9:$AJ$29,29))</f>
        <v/>
      </c>
      <c r="F39" s="14" t="str">
        <f>IF(VLOOKUP(A32,'クラス別一覧（入力）'!$A$9:$AJ$29,36)="","",VLOOKUP(A32,'クラス別一覧（入力）'!$A$9:$AJ$29,36))</f>
        <v>総</v>
      </c>
      <c r="H39" s="26">
        <v>6</v>
      </c>
      <c r="I39" s="12" t="str">
        <f>IF(VLOOKUP(H32,'クラス別一覧（入力）'!$A$9:$AJ$29,8)="","",VLOOKUP(H32,'クラス別一覧（入力）'!$A$9:$AJ$29,8))</f>
        <v>道</v>
      </c>
      <c r="J39" s="12" t="str">
        <f>IF(VLOOKUP(H32,'クラス別一覧（入力）'!$A$9:$AJ$29,15)="","",VLOOKUP(H32,'クラス別一覧（入力）'!$A$9:$AJ$29,15))</f>
        <v>総</v>
      </c>
      <c r="K39" s="12" t="str">
        <f>IF(VLOOKUP(H32,'クラス別一覧（入力）'!$A$9:$AJ$29,22)="","",VLOOKUP(H32,'クラス別一覧（入力）'!$A$9:$AJ$29,22))</f>
        <v>学</v>
      </c>
      <c r="L39" s="12" t="str">
        <f>IF(VLOOKUP(H32,'クラス別一覧（入力）'!$A$9:$AJ$29,29)="","",VLOOKUP(H32,'クラス別一覧（入力）'!$A$9:$AJ$29,29))</f>
        <v/>
      </c>
      <c r="M39" s="14" t="str">
        <f>IF(VLOOKUP(H32,'クラス別一覧（入力）'!$A$9:$AJ$29,36)="","",VLOOKUP(H32,'クラス別一覧（入力）'!$A$9:$AJ$29,36))</f>
        <v>総</v>
      </c>
      <c r="O39" s="26">
        <v>6</v>
      </c>
      <c r="P39" s="12" t="str">
        <f>IF(VLOOKUP(O32,'クラス別一覧（入力）'!$A$9:$AJ$29,8)="","",VLOOKUP(O32,'クラス別一覧（入力）'!$A$9:$AJ$29,8))</f>
        <v>道</v>
      </c>
      <c r="Q39" s="12" t="str">
        <f>IF(VLOOKUP(O32,'クラス別一覧（入力）'!$A$9:$AJ$29,15)="","",VLOOKUP(O32,'クラス別一覧（入力）'!$A$9:$AJ$29,15))</f>
        <v>総</v>
      </c>
      <c r="R39" s="12" t="str">
        <f>IF(VLOOKUP(O32,'クラス別一覧（入力）'!$A$9:$AJ$29,22)="","",VLOOKUP(O32,'クラス別一覧（入力）'!$A$9:$AJ$29,22))</f>
        <v>学</v>
      </c>
      <c r="S39" s="12" t="str">
        <f>IF(VLOOKUP(O32,'クラス別一覧（入力）'!$A$9:$AJ$29,29)="","",VLOOKUP(O32,'クラス別一覧（入力）'!$A$9:$AJ$29,29))</f>
        <v/>
      </c>
      <c r="T39" s="14" t="str">
        <f>IF(VLOOKUP(O32,'クラス別一覧（入力）'!$A$9:$AJ$29,36)="","",VLOOKUP(O32,'クラス別一覧（入力）'!$A$9:$AJ$29,36))</f>
        <v>総</v>
      </c>
    </row>
    <row r="41" spans="1:20" s="28" customFormat="1" ht="20.149999999999999" customHeight="1" x14ac:dyDescent="0.3">
      <c r="A41" s="325" t="s">
        <v>281</v>
      </c>
      <c r="B41" s="325"/>
      <c r="C41" s="326" t="s">
        <v>19</v>
      </c>
      <c r="D41" s="326"/>
      <c r="H41" s="325" t="s">
        <v>281</v>
      </c>
      <c r="I41" s="325"/>
      <c r="J41" s="326" t="s">
        <v>20</v>
      </c>
      <c r="K41" s="326"/>
      <c r="O41" s="325" t="s">
        <v>281</v>
      </c>
      <c r="P41" s="325"/>
      <c r="Q41" s="326" t="s">
        <v>21</v>
      </c>
      <c r="R41" s="326"/>
    </row>
    <row r="42" spans="1:20" ht="17" thickBot="1" x14ac:dyDescent="0.25">
      <c r="A42" s="30">
        <v>13</v>
      </c>
      <c r="H42" s="30">
        <v>14</v>
      </c>
      <c r="O42" s="30">
        <v>15</v>
      </c>
    </row>
    <row r="43" spans="1:20" s="23" customFormat="1" ht="24.9" customHeight="1" x14ac:dyDescent="0.25">
      <c r="A43" s="24"/>
      <c r="B43" s="7" t="s">
        <v>11</v>
      </c>
      <c r="C43" s="7" t="s">
        <v>3</v>
      </c>
      <c r="D43" s="7" t="s">
        <v>5</v>
      </c>
      <c r="E43" s="7" t="s">
        <v>7</v>
      </c>
      <c r="F43" s="9" t="s">
        <v>9</v>
      </c>
      <c r="H43" s="24"/>
      <c r="I43" s="7" t="s">
        <v>11</v>
      </c>
      <c r="J43" s="7" t="s">
        <v>3</v>
      </c>
      <c r="K43" s="7" t="s">
        <v>5</v>
      </c>
      <c r="L43" s="7" t="s">
        <v>7</v>
      </c>
      <c r="M43" s="9" t="s">
        <v>9</v>
      </c>
      <c r="O43" s="24"/>
      <c r="P43" s="7" t="s">
        <v>11</v>
      </c>
      <c r="Q43" s="7" t="s">
        <v>3</v>
      </c>
      <c r="R43" s="7" t="s">
        <v>5</v>
      </c>
      <c r="S43" s="7" t="s">
        <v>7</v>
      </c>
      <c r="T43" s="9" t="s">
        <v>9</v>
      </c>
    </row>
    <row r="44" spans="1:20" ht="24.9" customHeight="1" x14ac:dyDescent="0.2">
      <c r="A44" s="25">
        <v>1</v>
      </c>
      <c r="B44" s="10" t="str">
        <f>IF(VLOOKUP(A42,'クラス別一覧（入力）'!$A$9:$AJ$29,3)="","",VLOOKUP(A42,'クラス別一覧（入力）'!$A$9:$AJ$29,3))</f>
        <v>理</v>
      </c>
      <c r="C44" s="10" t="str">
        <f>IF(VLOOKUP(A42,'クラス別一覧（入力）'!$A$9:$AJ$29,10)="","",VLOOKUP(A42,'クラス別一覧（入力）'!$A$9:$AJ$29,10))</f>
        <v>数</v>
      </c>
      <c r="D44" s="10" t="str">
        <f>IF(VLOOKUP(A42,'クラス別一覧（入力）'!$A$9:$AJ$29,17)="","",VLOOKUP(A42,'クラス別一覧（入力）'!$A$9:$AJ$29,17))</f>
        <v>社</v>
      </c>
      <c r="E44" s="10" t="str">
        <f>IF(VLOOKUP(A42,'クラス別一覧（入力）'!$A$9:$AJ$29,24)="","",VLOOKUP(A42,'クラス別一覧（入力）'!$A$9:$AJ$29,24))</f>
        <v>保体</v>
      </c>
      <c r="F44" s="11" t="str">
        <f>IF(VLOOKUP(A42,'クラス別一覧（入力）'!$A$9:$AJ$29,31)="","",VLOOKUP(A42,'クラス別一覧（入力）'!$A$9:$AJ$29,31))</f>
        <v>数</v>
      </c>
      <c r="H44" s="25">
        <v>1</v>
      </c>
      <c r="I44" s="10" t="str">
        <f>IF(VLOOKUP(H42,'クラス別一覧（入力）'!$A$9:$AJ$29,3)="","",VLOOKUP(H42,'クラス別一覧（入力）'!$A$9:$AJ$29,3))</f>
        <v>社</v>
      </c>
      <c r="J44" s="10" t="str">
        <f>IF(VLOOKUP(H42,'クラス別一覧（入力）'!$A$9:$AJ$29,10)="","",VLOOKUP(H42,'クラス別一覧（入力）'!$A$9:$AJ$29,10))</f>
        <v>社</v>
      </c>
      <c r="K44" s="10" t="str">
        <f>IF(VLOOKUP(H42,'クラス別一覧（入力）'!$A$9:$AJ$29,17)="","",VLOOKUP(H42,'クラス別一覧（入力）'!$A$9:$AJ$29,17))</f>
        <v>理</v>
      </c>
      <c r="L44" s="10" t="str">
        <f>IF(VLOOKUP(H42,'クラス別一覧（入力）'!$A$9:$AJ$29,24)="","",VLOOKUP(H42,'クラス別一覧（入力）'!$A$9:$AJ$29,24))</f>
        <v>保体</v>
      </c>
      <c r="M44" s="11" t="str">
        <f>IF(VLOOKUP(H42,'クラス別一覧（入力）'!$A$9:$AJ$29,31)="","",VLOOKUP(H42,'クラス別一覧（入力）'!$A$9:$AJ$29,31))</f>
        <v>英</v>
      </c>
      <c r="O44" s="25">
        <v>1</v>
      </c>
      <c r="P44" s="10" t="str">
        <f>IF(VLOOKUP(O42,'クラス別一覧（入力）'!$A$9:$AJ$29,3)="","",VLOOKUP(O42,'クラス別一覧（入力）'!$A$9:$AJ$29,3))</f>
        <v>英</v>
      </c>
      <c r="Q44" s="10" t="str">
        <f>IF(VLOOKUP(O42,'クラス別一覧（入力）'!$A$9:$AJ$29,10)="","",VLOOKUP(O42,'クラス別一覧（入力）'!$A$9:$AJ$29,10))</f>
        <v>保体</v>
      </c>
      <c r="R44" s="10" t="str">
        <f>IF(VLOOKUP(O42,'クラス別一覧（入力）'!$A$9:$AJ$29,17)="","",VLOOKUP(O42,'クラス別一覧（入力）'!$A$9:$AJ$29,17))</f>
        <v>数</v>
      </c>
      <c r="S44" s="10" t="str">
        <f>IF(VLOOKUP(O42,'クラス別一覧（入力）'!$A$9:$AJ$29,24)="","",VLOOKUP(O42,'クラス別一覧（入力）'!$A$9:$AJ$29,24))</f>
        <v>理</v>
      </c>
      <c r="T44" s="11" t="str">
        <f>IF(VLOOKUP(O42,'クラス別一覧（入力）'!$A$9:$AJ$29,31)="","",VLOOKUP(O42,'クラス別一覧（入力）'!$A$9:$AJ$29,31))</f>
        <v>理</v>
      </c>
    </row>
    <row r="45" spans="1:20" ht="24.9" customHeight="1" x14ac:dyDescent="0.2">
      <c r="A45" s="25">
        <v>2</v>
      </c>
      <c r="B45" s="10" t="str">
        <f>IF(VLOOKUP(A42,'クラス別一覧（入力）'!$A$9:$AJ$29,4)="","",VLOOKUP(A42,'クラス別一覧（入力）'!$A$9:$AJ$29,4))</f>
        <v>英</v>
      </c>
      <c r="C45" s="10" t="str">
        <f>IF(VLOOKUP(A42,'クラス別一覧（入力）'!$A$9:$AJ$29,11)="","",VLOOKUP(A42,'クラス別一覧（入力）'!$A$9:$AJ$29,11))</f>
        <v>国</v>
      </c>
      <c r="D45" s="10" t="str">
        <f>IF(VLOOKUP(A42,'クラス別一覧（入力）'!$A$9:$AJ$29,18)="","",VLOOKUP(A42,'クラス別一覧（入力）'!$A$9:$AJ$29,18))</f>
        <v>英</v>
      </c>
      <c r="E45" s="10" t="str">
        <f>IF(VLOOKUP(A42,'クラス別一覧（入力）'!$A$9:$AJ$29,25)="","",VLOOKUP(A42,'クラス別一覧（入力）'!$A$9:$AJ$29,25))</f>
        <v>英</v>
      </c>
      <c r="F45" s="11" t="str">
        <f>IF(VLOOKUP(A42,'クラス別一覧（入力）'!$A$9:$AJ$29,32)="","",VLOOKUP(A42,'クラス別一覧（入力）'!$A$9:$AJ$29,32))</f>
        <v>保体</v>
      </c>
      <c r="H45" s="25">
        <v>2</v>
      </c>
      <c r="I45" s="10" t="str">
        <f>IF(VLOOKUP(H42,'クラス別一覧（入力）'!$A$9:$AJ$29,4)="","",VLOOKUP(H42,'クラス別一覧（入力）'!$A$9:$AJ$29,4))</f>
        <v>理</v>
      </c>
      <c r="J45" s="10" t="str">
        <f>IF(VLOOKUP(H42,'クラス別一覧（入力）'!$A$9:$AJ$29,11)="","",VLOOKUP(H42,'クラス別一覧（入力）'!$A$9:$AJ$29,11))</f>
        <v>数</v>
      </c>
      <c r="K45" s="10" t="str">
        <f>IF(VLOOKUP(H42,'クラス別一覧（入力）'!$A$9:$AJ$29,18)="","",VLOOKUP(H42,'クラス別一覧（入力）'!$A$9:$AJ$29,18))</f>
        <v>英</v>
      </c>
      <c r="L45" s="10" t="str">
        <f>IF(VLOOKUP(H42,'クラス別一覧（入力）'!$A$9:$AJ$29,25)="","",VLOOKUP(H42,'クラス別一覧（入力）'!$A$9:$AJ$29,25))</f>
        <v>英</v>
      </c>
      <c r="M45" s="11" t="str">
        <f>IF(VLOOKUP(H42,'クラス別一覧（入力）'!$A$9:$AJ$29,32)="","",VLOOKUP(H42,'クラス別一覧（入力）'!$A$9:$AJ$29,32))</f>
        <v>保体</v>
      </c>
      <c r="O45" s="25">
        <v>2</v>
      </c>
      <c r="P45" s="10" t="str">
        <f>IF(VLOOKUP(O42,'クラス別一覧（入力）'!$A$9:$AJ$29,4)="","",VLOOKUP(O42,'クラス別一覧（入力）'!$A$9:$AJ$29,4))</f>
        <v>数</v>
      </c>
      <c r="Q45" s="10" t="str">
        <f>IF(VLOOKUP(O42,'クラス別一覧（入力）'!$A$9:$AJ$29,11)="","",VLOOKUP(O42,'クラス別一覧（入力）'!$A$9:$AJ$29,11))</f>
        <v>理</v>
      </c>
      <c r="R45" s="10" t="str">
        <f>IF(VLOOKUP(O42,'クラス別一覧（入力）'!$A$9:$AJ$29,18)="","",VLOOKUP(O42,'クラス別一覧（入力）'!$A$9:$AJ$29,18))</f>
        <v>社</v>
      </c>
      <c r="S45" s="10" t="str">
        <f>IF(VLOOKUP(O42,'クラス別一覧（入力）'!$A$9:$AJ$29,25)="","",VLOOKUP(O42,'クラス別一覧（入力）'!$A$9:$AJ$29,25))</f>
        <v>保体</v>
      </c>
      <c r="T45" s="11" t="str">
        <f>IF(VLOOKUP(O42,'クラス別一覧（入力）'!$A$9:$AJ$29,32)="","",VLOOKUP(O42,'クラス別一覧（入力）'!$A$9:$AJ$29,32))</f>
        <v>数</v>
      </c>
    </row>
    <row r="46" spans="1:20" ht="24.9" customHeight="1" x14ac:dyDescent="0.2">
      <c r="A46" s="25">
        <v>3</v>
      </c>
      <c r="B46" s="10" t="str">
        <f>IF(VLOOKUP(A42,'クラス別一覧（入力）'!$A$9:$AJ$29,5)="","",VLOOKUP(A42,'クラス別一覧（入力）'!$A$9:$AJ$29,5))</f>
        <v>社</v>
      </c>
      <c r="C46" s="10" t="str">
        <f>IF(VLOOKUP(A42,'クラス別一覧（入力）'!$A$9:$AJ$29,12)="","",VLOOKUP(A42,'クラス別一覧（入力）'!$A$9:$AJ$29,12))</f>
        <v>社</v>
      </c>
      <c r="D46" s="10" t="str">
        <f>IF(VLOOKUP(A42,'クラス別一覧（入力）'!$A$9:$AJ$29,19)="","",VLOOKUP(A42,'クラス別一覧（入力）'!$A$9:$AJ$29,19))</f>
        <v>数</v>
      </c>
      <c r="E46" s="10" t="str">
        <f>IF(VLOOKUP(A42,'クラス別一覧（入力）'!$A$9:$AJ$29,26)="","",VLOOKUP(A42,'クラス別一覧（入力）'!$A$9:$AJ$29,26))</f>
        <v>数</v>
      </c>
      <c r="F46" s="11" t="str">
        <f>IF(VLOOKUP(A42,'クラス別一覧（入力）'!$A$9:$AJ$29,33)="","",VLOOKUP(A42,'クラス別一覧（入力）'!$A$9:$AJ$29,33))</f>
        <v>理</v>
      </c>
      <c r="H46" s="25">
        <v>3</v>
      </c>
      <c r="I46" s="10" t="str">
        <f>IF(VLOOKUP(H42,'クラス別一覧（入力）'!$A$9:$AJ$29,5)="","",VLOOKUP(H42,'クラス別一覧（入力）'!$A$9:$AJ$29,5))</f>
        <v>数</v>
      </c>
      <c r="J46" s="10" t="str">
        <f>IF(VLOOKUP(H42,'クラス別一覧（入力）'!$A$9:$AJ$29,12)="","",VLOOKUP(H42,'クラス別一覧（入力）'!$A$9:$AJ$29,12))</f>
        <v>国</v>
      </c>
      <c r="K46" s="10" t="str">
        <f>IF(VLOOKUP(H42,'クラス別一覧（入力）'!$A$9:$AJ$29,19)="","",VLOOKUP(H42,'クラス別一覧（入力）'!$A$9:$AJ$29,19))</f>
        <v>数</v>
      </c>
      <c r="L46" s="10" t="str">
        <f>IF(VLOOKUP(H42,'クラス別一覧（入力）'!$A$9:$AJ$29,26)="","",VLOOKUP(H42,'クラス別一覧（入力）'!$A$9:$AJ$29,26))</f>
        <v>社</v>
      </c>
      <c r="M46" s="11" t="str">
        <f>IF(VLOOKUP(H42,'クラス別一覧（入力）'!$A$9:$AJ$29,33)="","",VLOOKUP(H42,'クラス別一覧（入力）'!$A$9:$AJ$29,33))</f>
        <v>社</v>
      </c>
      <c r="O46" s="25">
        <v>3</v>
      </c>
      <c r="P46" s="10" t="str">
        <f>IF(VLOOKUP(O42,'クラス別一覧（入力）'!$A$9:$AJ$29,5)="","",VLOOKUP(O42,'クラス別一覧（入力）'!$A$9:$AJ$29,5))</f>
        <v>国</v>
      </c>
      <c r="Q46" s="10" t="str">
        <f>IF(VLOOKUP(O42,'クラス別一覧（入力）'!$A$9:$AJ$29,12)="","",VLOOKUP(O42,'クラス別一覧（入力）'!$A$9:$AJ$29,12))</f>
        <v>英</v>
      </c>
      <c r="R46" s="10" t="str">
        <f>IF(VLOOKUP(O42,'クラス別一覧（入力）'!$A$9:$AJ$29,19)="","",VLOOKUP(O42,'クラス別一覧（入力）'!$A$9:$AJ$29,19))</f>
        <v>理</v>
      </c>
      <c r="S46" s="10" t="str">
        <f>IF(VLOOKUP(O42,'クラス別一覧（入力）'!$A$9:$AJ$29,26)="","",VLOOKUP(O42,'クラス別一覧（入力）'!$A$9:$AJ$29,26))</f>
        <v>英</v>
      </c>
      <c r="T46" s="11" t="str">
        <f>IF(VLOOKUP(O42,'クラス別一覧（入力）'!$A$9:$AJ$29,33)="","",VLOOKUP(O42,'クラス別一覧（入力）'!$A$9:$AJ$29,33))</f>
        <v>英</v>
      </c>
    </row>
    <row r="47" spans="1:20" ht="24.9" customHeight="1" x14ac:dyDescent="0.2">
      <c r="A47" s="25">
        <v>4</v>
      </c>
      <c r="B47" s="10" t="str">
        <f>IF(VLOOKUP(A42,'クラス別一覧（入力）'!$A$9:$AJ$29,6)="","",VLOOKUP(A42,'クラス別一覧（入力）'!$A$9:$AJ$29,6))</f>
        <v>国</v>
      </c>
      <c r="C47" s="10" t="str">
        <f>IF(VLOOKUP(A42,'クラス別一覧（入力）'!$A$9:$AJ$29,13)="","",VLOOKUP(A42,'クラス別一覧（入力）'!$A$9:$AJ$29,13))</f>
        <v>技家</v>
      </c>
      <c r="D47" s="10" t="str">
        <f>IF(VLOOKUP(A42,'クラス別一覧（入力）'!$A$9:$AJ$29,20)="","",VLOOKUP(A42,'クラス別一覧（入力）'!$A$9:$AJ$29,20))</f>
        <v>美</v>
      </c>
      <c r="E47" s="10" t="str">
        <f>IF(VLOOKUP(A42,'クラス別一覧（入力）'!$A$9:$AJ$29,27)="","",VLOOKUP(A42,'クラス別一覧（入力）'!$A$9:$AJ$29,27))</f>
        <v>理</v>
      </c>
      <c r="F47" s="11" t="str">
        <f>IF(VLOOKUP(A42,'クラス別一覧（入力）'!$A$9:$AJ$29,34)="","",VLOOKUP(A42,'クラス別一覧（入力）'!$A$9:$AJ$29,34))</f>
        <v>英</v>
      </c>
      <c r="H47" s="25">
        <v>4</v>
      </c>
      <c r="I47" s="10" t="str">
        <f>IF(VLOOKUP(H42,'クラス別一覧（入力）'!$A$9:$AJ$29,6)="","",VLOOKUP(H42,'クラス別一覧（入力）'!$A$9:$AJ$29,6))</f>
        <v>英</v>
      </c>
      <c r="J47" s="10" t="str">
        <f>IF(VLOOKUP(H42,'クラス別一覧（入力）'!$A$9:$AJ$29,13)="","",VLOOKUP(H42,'クラス別一覧（入力）'!$A$9:$AJ$29,13))</f>
        <v>音</v>
      </c>
      <c r="K47" s="10" t="str">
        <f>IF(VLOOKUP(H42,'クラス別一覧（入力）'!$A$9:$AJ$29,20)="","",VLOOKUP(H42,'クラス別一覧（入力）'!$A$9:$AJ$29,20))</f>
        <v>国</v>
      </c>
      <c r="L47" s="10" t="str">
        <f>IF(VLOOKUP(H42,'クラス別一覧（入力）'!$A$9:$AJ$29,27)="","",VLOOKUP(H42,'クラス別一覧（入力）'!$A$9:$AJ$29,27))</f>
        <v>国</v>
      </c>
      <c r="M47" s="11" t="str">
        <f>IF(VLOOKUP(H42,'クラス別一覧（入力）'!$A$9:$AJ$29,34)="","",VLOOKUP(H42,'クラス別一覧（入力）'!$A$9:$AJ$29,34))</f>
        <v>数</v>
      </c>
      <c r="O47" s="25">
        <v>4</v>
      </c>
      <c r="P47" s="10" t="str">
        <f>IF(VLOOKUP(O42,'クラス別一覧（入力）'!$A$9:$AJ$29,6)="","",VLOOKUP(O42,'クラス別一覧（入力）'!$A$9:$AJ$29,6))</f>
        <v>美</v>
      </c>
      <c r="Q47" s="10" t="str">
        <f>IF(VLOOKUP(O42,'クラス別一覧（入力）'!$A$9:$AJ$29,13)="","",VLOOKUP(O42,'クラス別一覧（入力）'!$A$9:$AJ$29,13))</f>
        <v>国</v>
      </c>
      <c r="R47" s="10" t="str">
        <f>IF(VLOOKUP(O42,'クラス別一覧（入力）'!$A$9:$AJ$29,20)="","",VLOOKUP(O42,'クラス別一覧（入力）'!$A$9:$AJ$29,20))</f>
        <v>保体</v>
      </c>
      <c r="S47" s="10" t="str">
        <f>IF(VLOOKUP(O42,'クラス別一覧（入力）'!$A$9:$AJ$29,27)="","",VLOOKUP(O42,'クラス別一覧（入力）'!$A$9:$AJ$29,27))</f>
        <v>社</v>
      </c>
      <c r="T47" s="11" t="str">
        <f>IF(VLOOKUP(O42,'クラス別一覧（入力）'!$A$9:$AJ$29,34)="","",VLOOKUP(O42,'クラス別一覧（入力）'!$A$9:$AJ$29,34))</f>
        <v>社</v>
      </c>
    </row>
    <row r="48" spans="1:20" ht="24.9" customHeight="1" x14ac:dyDescent="0.2">
      <c r="A48" s="25">
        <v>5</v>
      </c>
      <c r="B48" s="10" t="str">
        <f>IF(VLOOKUP(A42,'クラス別一覧（入力）'!$A$9:$AJ$29,7)="","",VLOOKUP(A42,'クラス別一覧（入力）'!$A$9:$AJ$29,7))</f>
        <v>保体</v>
      </c>
      <c r="C48" s="10" t="str">
        <f>IF(VLOOKUP(A42,'クラス別一覧（入力）'!$A$9:$AJ$29,14)="","",VLOOKUP(A42,'クラス別一覧（入力）'!$A$9:$AJ$29,14))</f>
        <v>音</v>
      </c>
      <c r="D48" s="10" t="str">
        <f>IF(VLOOKUP(A42,'クラス別一覧（入力）'!$A$9:$AJ$29,21)="","",VLOOKUP(A42,'クラス別一覧（入力）'!$A$9:$AJ$29,21))</f>
        <v>理</v>
      </c>
      <c r="E48" s="10" t="str">
        <f>IF(VLOOKUP(A42,'クラス別一覧（入力）'!$A$9:$AJ$29,28)="","",VLOOKUP(A42,'クラス別一覧（入力）'!$A$9:$AJ$29,28))</f>
        <v>社</v>
      </c>
      <c r="F48" s="11" t="str">
        <f>IF(VLOOKUP(A42,'クラス別一覧（入力）'!$A$9:$AJ$29,35)="","",VLOOKUP(A42,'クラス別一覧（入力）'!$A$9:$AJ$29,35))</f>
        <v>国</v>
      </c>
      <c r="H48" s="25">
        <v>5</v>
      </c>
      <c r="I48" s="10" t="str">
        <f>IF(VLOOKUP(H42,'クラス別一覧（入力）'!$A$9:$AJ$29,7)="","",VLOOKUP(H42,'クラス別一覧（入力）'!$A$9:$AJ$29,7))</f>
        <v>保体</v>
      </c>
      <c r="J48" s="10" t="str">
        <f>IF(VLOOKUP(H42,'クラス別一覧（入力）'!$A$9:$AJ$29,14)="","",VLOOKUP(H42,'クラス別一覧（入力）'!$A$9:$AJ$29,14))</f>
        <v>理</v>
      </c>
      <c r="K48" s="10" t="str">
        <f>IF(VLOOKUP(H42,'クラス別一覧（入力）'!$A$9:$AJ$29,21)="","",VLOOKUP(H42,'クラス別一覧（入力）'!$A$9:$AJ$29,21))</f>
        <v>美</v>
      </c>
      <c r="L48" s="10" t="str">
        <f>IF(VLOOKUP(H42,'クラス別一覧（入力）'!$A$9:$AJ$29,28)="","",VLOOKUP(H42,'クラス別一覧（入力）'!$A$9:$AJ$29,28))</f>
        <v>技家</v>
      </c>
      <c r="M48" s="11" t="str">
        <f>IF(VLOOKUP(H42,'クラス別一覧（入力）'!$A$9:$AJ$29,35)="","",VLOOKUP(H42,'クラス別一覧（入力）'!$A$9:$AJ$29,35))</f>
        <v>理</v>
      </c>
      <c r="O48" s="25">
        <v>5</v>
      </c>
      <c r="P48" s="10" t="str">
        <f>IF(VLOOKUP(O42,'クラス別一覧（入力）'!$A$9:$AJ$29,7)="","",VLOOKUP(O42,'クラス別一覧（入力）'!$A$9:$AJ$29,7))</f>
        <v>社</v>
      </c>
      <c r="Q48" s="10" t="str">
        <f>IF(VLOOKUP(O42,'クラス別一覧（入力）'!$A$9:$AJ$29,14)="","",VLOOKUP(O42,'クラス別一覧（入力）'!$A$9:$AJ$29,14))</f>
        <v>技家</v>
      </c>
      <c r="R48" s="10" t="str">
        <f>IF(VLOOKUP(O42,'クラス別一覧（入力）'!$A$9:$AJ$29,21)="","",VLOOKUP(O42,'クラス別一覧（入力）'!$A$9:$AJ$29,21))</f>
        <v>国</v>
      </c>
      <c r="S48" s="10" t="str">
        <f>IF(VLOOKUP(O42,'クラス別一覧（入力）'!$A$9:$AJ$29,28)="","",VLOOKUP(O42,'クラス別一覧（入力）'!$A$9:$AJ$29,28))</f>
        <v>数</v>
      </c>
      <c r="T48" s="11" t="str">
        <f>IF(VLOOKUP(O42,'クラス別一覧（入力）'!$A$9:$AJ$29,35)="","",VLOOKUP(O42,'クラス別一覧（入力）'!$A$9:$AJ$29,35))</f>
        <v>音</v>
      </c>
    </row>
    <row r="49" spans="1:20" ht="24.9" customHeight="1" thickBot="1" x14ac:dyDescent="0.25">
      <c r="A49" s="26">
        <v>6</v>
      </c>
      <c r="B49" s="12" t="str">
        <f>IF(VLOOKUP(A42,'クラス別一覧（入力）'!$A$9:$AJ$29,8)="","",VLOOKUP(A42,'クラス別一覧（入力）'!$A$9:$AJ$29,8))</f>
        <v>道</v>
      </c>
      <c r="C49" s="12" t="str">
        <f>IF(VLOOKUP(A42,'クラス別一覧（入力）'!$A$9:$AJ$29,15)="","",VLOOKUP(A42,'クラス別一覧（入力）'!$A$9:$AJ$29,15))</f>
        <v>総</v>
      </c>
      <c r="D49" s="12" t="str">
        <f>IF(VLOOKUP(A42,'クラス別一覧（入力）'!$A$9:$AJ$29,22)="","",VLOOKUP(A42,'クラス別一覧（入力）'!$A$9:$AJ$29,22))</f>
        <v>学</v>
      </c>
      <c r="E49" s="12" t="str">
        <f>IF(VLOOKUP(A42,'クラス別一覧（入力）'!$A$9:$AJ$29,29)="","",VLOOKUP(A42,'クラス別一覧（入力）'!$A$9:$AJ$29,29))</f>
        <v/>
      </c>
      <c r="F49" s="14" t="str">
        <f>IF(VLOOKUP(A42,'クラス別一覧（入力）'!$A$9:$AJ$29,36)="","",VLOOKUP(A42,'クラス別一覧（入力）'!$A$9:$AJ$29,36))</f>
        <v>総</v>
      </c>
      <c r="H49" s="26">
        <v>6</v>
      </c>
      <c r="I49" s="12" t="str">
        <f>IF(VLOOKUP(H42,'クラス別一覧（入力）'!$A$9:$AJ$29,8)="","",VLOOKUP(H42,'クラス別一覧（入力）'!$A$9:$AJ$29,8))</f>
        <v>道</v>
      </c>
      <c r="J49" s="12" t="str">
        <f>IF(VLOOKUP(H42,'クラス別一覧（入力）'!$A$9:$AJ$29,15)="","",VLOOKUP(H42,'クラス別一覧（入力）'!$A$9:$AJ$29,15))</f>
        <v>総</v>
      </c>
      <c r="K49" s="12" t="str">
        <f>IF(VLOOKUP(H42,'クラス別一覧（入力）'!$A$9:$AJ$29,22)="","",VLOOKUP(H42,'クラス別一覧（入力）'!$A$9:$AJ$29,22))</f>
        <v>学</v>
      </c>
      <c r="L49" s="12" t="str">
        <f>IF(VLOOKUP(H42,'クラス別一覧（入力）'!$A$9:$AJ$29,29)="","",VLOOKUP(H42,'クラス別一覧（入力）'!$A$9:$AJ$29,29))</f>
        <v/>
      </c>
      <c r="M49" s="14" t="str">
        <f>IF(VLOOKUP(H42,'クラス別一覧（入力）'!$A$9:$AJ$29,36)="","",VLOOKUP(H42,'クラス別一覧（入力）'!$A$9:$AJ$29,36))</f>
        <v>総</v>
      </c>
      <c r="O49" s="26">
        <v>6</v>
      </c>
      <c r="P49" s="12" t="str">
        <f>IF(VLOOKUP(O42,'クラス別一覧（入力）'!$A$9:$AJ$29,8)="","",VLOOKUP(O42,'クラス別一覧（入力）'!$A$9:$AJ$29,8))</f>
        <v>道</v>
      </c>
      <c r="Q49" s="12" t="str">
        <f>IF(VLOOKUP(O42,'クラス別一覧（入力）'!$A$9:$AJ$29,15)="","",VLOOKUP(O42,'クラス別一覧（入力）'!$A$9:$AJ$29,15))</f>
        <v>総</v>
      </c>
      <c r="R49" s="12" t="str">
        <f>IF(VLOOKUP(O42,'クラス別一覧（入力）'!$A$9:$AJ$29,22)="","",VLOOKUP(O42,'クラス別一覧（入力）'!$A$9:$AJ$29,22))</f>
        <v>学</v>
      </c>
      <c r="S49" s="12" t="str">
        <f>IF(VLOOKUP(O42,'クラス別一覧（入力）'!$A$9:$AJ$29,29)="","",VLOOKUP(O42,'クラス別一覧（入力）'!$A$9:$AJ$29,29))</f>
        <v/>
      </c>
      <c r="T49" s="14" t="str">
        <f>IF(VLOOKUP(O42,'クラス別一覧（入力）'!$A$9:$AJ$29,36)="","",VLOOKUP(O42,'クラス別一覧（入力）'!$A$9:$AJ$29,36))</f>
        <v>総</v>
      </c>
    </row>
    <row r="51" spans="1:20" s="28" customFormat="1" ht="20.149999999999999" customHeight="1" x14ac:dyDescent="0.3">
      <c r="A51" s="325" t="s">
        <v>281</v>
      </c>
      <c r="B51" s="325"/>
      <c r="C51" s="326" t="s">
        <v>22</v>
      </c>
      <c r="D51" s="326"/>
      <c r="H51" s="325" t="s">
        <v>281</v>
      </c>
      <c r="I51" s="325"/>
      <c r="J51" s="326" t="s">
        <v>190</v>
      </c>
      <c r="K51" s="326"/>
      <c r="Q51" s="326"/>
      <c r="R51" s="326"/>
    </row>
    <row r="52" spans="1:20" ht="17" thickBot="1" x14ac:dyDescent="0.25">
      <c r="A52" s="30">
        <v>16</v>
      </c>
      <c r="H52" s="30">
        <v>17</v>
      </c>
      <c r="O52" s="30">
        <v>16</v>
      </c>
    </row>
    <row r="53" spans="1:20" s="23" customFormat="1" ht="24.9" customHeight="1" x14ac:dyDescent="0.25">
      <c r="A53" s="24"/>
      <c r="B53" s="7" t="s">
        <v>11</v>
      </c>
      <c r="C53" s="7" t="s">
        <v>3</v>
      </c>
      <c r="D53" s="7" t="s">
        <v>5</v>
      </c>
      <c r="E53" s="7" t="s">
        <v>7</v>
      </c>
      <c r="F53" s="9" t="s">
        <v>9</v>
      </c>
      <c r="H53" s="24"/>
      <c r="I53" s="7" t="s">
        <v>11</v>
      </c>
      <c r="J53" s="7" t="s">
        <v>3</v>
      </c>
      <c r="K53" s="7" t="s">
        <v>5</v>
      </c>
      <c r="L53" s="7" t="s">
        <v>7</v>
      </c>
      <c r="M53" s="9" t="s">
        <v>9</v>
      </c>
      <c r="O53" s="24"/>
      <c r="P53" s="7" t="s">
        <v>11</v>
      </c>
      <c r="Q53" s="7" t="s">
        <v>3</v>
      </c>
      <c r="R53" s="7" t="s">
        <v>5</v>
      </c>
      <c r="S53" s="7" t="s">
        <v>7</v>
      </c>
      <c r="T53" s="9" t="s">
        <v>9</v>
      </c>
    </row>
    <row r="54" spans="1:20" ht="24.9" customHeight="1" x14ac:dyDescent="0.2">
      <c r="A54" s="25">
        <v>1</v>
      </c>
      <c r="B54" s="10" t="str">
        <f>IF(VLOOKUP(A52,'クラス別一覧（入力）'!$A$9:$AJ$29,3)="","",VLOOKUP(A52,'クラス別一覧（入力）'!$A$9:$AJ$29,3))</f>
        <v>英</v>
      </c>
      <c r="C54" s="10" t="str">
        <f>IF(VLOOKUP(A52,'クラス別一覧（入力）'!$A$9:$AJ$29,10)="","",VLOOKUP(A52,'クラス別一覧（入力）'!$A$9:$AJ$29,10))</f>
        <v>保体</v>
      </c>
      <c r="D54" s="10" t="str">
        <f>IF(VLOOKUP(A52,'クラス別一覧（入力）'!$A$9:$AJ$29,17)="","",VLOOKUP(A52,'クラス別一覧（入力）'!$A$9:$AJ$29,17))</f>
        <v>国</v>
      </c>
      <c r="E54" s="10" t="str">
        <f>IF(VLOOKUP(A52,'クラス別一覧（入力）'!$A$9:$AJ$29,24)="","",VLOOKUP(A52,'クラス別一覧（入力）'!$A$9:$AJ$29,24))</f>
        <v>英</v>
      </c>
      <c r="F54" s="11" t="str">
        <f>IF(VLOOKUP(A52,'クラス別一覧（入力）'!$A$9:$AJ$29,31)="","",VLOOKUP(A52,'クラス別一覧（入力）'!$A$9:$AJ$29,31))</f>
        <v>社</v>
      </c>
      <c r="H54" s="25">
        <v>1</v>
      </c>
      <c r="I54" s="10" t="str">
        <f>IF(VLOOKUP(H52,'クラス別一覧（入力）'!$A$9:$AJ$29,3)="","",VLOOKUP(H52,'クラス別一覧（入力）'!$A$9:$AJ$29,3))</f>
        <v>技</v>
      </c>
      <c r="J54" s="10" t="str">
        <f>IF(VLOOKUP(H52,'クラス別一覧（入力）'!$A$9:$AJ$29,10)="","",VLOOKUP(H52,'クラス別一覧（入力）'!$A$9:$AJ$29,10))</f>
        <v>自</v>
      </c>
      <c r="K54" s="10" t="str">
        <f>IF(VLOOKUP(H52,'クラス別一覧（入力）'!$A$9:$AJ$29,17)="","",VLOOKUP(H52,'クラス別一覧（入力）'!$A$9:$AJ$29,17))</f>
        <v>自</v>
      </c>
      <c r="L54" s="10" t="str">
        <f>IF(VLOOKUP(H52,'クラス別一覧（入力）'!$A$9:$AJ$29,24)="","",VLOOKUP(H52,'クラス別一覧（入力）'!$A$9:$AJ$29,24))</f>
        <v>数</v>
      </c>
      <c r="M54" s="11" t="str">
        <f>IF(VLOOKUP(H52,'クラス別一覧（入力）'!$A$9:$AJ$29,31)="","",VLOOKUP(H52,'クラス別一覧（入力）'!$A$9:$AJ$29,31))</f>
        <v>音</v>
      </c>
      <c r="O54" s="25">
        <v>1</v>
      </c>
      <c r="P54" s="10"/>
      <c r="Q54" s="10"/>
      <c r="R54" s="10"/>
      <c r="S54" s="10"/>
      <c r="T54" s="11"/>
    </row>
    <row r="55" spans="1:20" ht="24.9" customHeight="1" x14ac:dyDescent="0.2">
      <c r="A55" s="25">
        <v>2</v>
      </c>
      <c r="B55" s="10" t="str">
        <f>IF(VLOOKUP(A52,'クラス別一覧（入力）'!$A$9:$AJ$29,4)="","",VLOOKUP(A52,'クラス別一覧（入力）'!$A$9:$AJ$29,4))</f>
        <v>社</v>
      </c>
      <c r="C55" s="10" t="str">
        <f>IF(VLOOKUP(A52,'クラス別一覧（入力）'!$A$9:$AJ$29,11)="","",VLOOKUP(A52,'クラス別一覧（入力）'!$A$9:$AJ$29,11))</f>
        <v>社</v>
      </c>
      <c r="D55" s="10" t="str">
        <f>IF(VLOOKUP(A52,'クラス別一覧（入力）'!$A$9:$AJ$29,18)="","",VLOOKUP(A52,'クラス別一覧（入力）'!$A$9:$AJ$29,18))</f>
        <v>理</v>
      </c>
      <c r="E55" s="10" t="str">
        <f>IF(VLOOKUP(A52,'クラス別一覧（入力）'!$A$9:$AJ$29,25)="","",VLOOKUP(A52,'クラス別一覧（入力）'!$A$9:$AJ$29,25))</f>
        <v>保体</v>
      </c>
      <c r="F55" s="11" t="str">
        <f>IF(VLOOKUP(A52,'クラス別一覧（入力）'!$A$9:$AJ$29,32)="","",VLOOKUP(A52,'クラス別一覧（入力）'!$A$9:$AJ$29,32))</f>
        <v>理</v>
      </c>
      <c r="H55" s="25">
        <v>2</v>
      </c>
      <c r="I55" s="10" t="str">
        <f>IF(VLOOKUP(H52,'クラス別一覧（入力）'!$A$9:$AJ$29,4)="","",VLOOKUP(H52,'クラス別一覧（入力）'!$A$9:$AJ$29,4))</f>
        <v>家</v>
      </c>
      <c r="J55" s="10" t="str">
        <f>IF(VLOOKUP(H52,'クラス別一覧（入力）'!$A$9:$AJ$29,11)="","",VLOOKUP(H52,'クラス別一覧（入力）'!$A$9:$AJ$29,11))</f>
        <v>数</v>
      </c>
      <c r="K55" s="10" t="str">
        <f>IF(VLOOKUP(H52,'クラス別一覧（入力）'!$A$9:$AJ$29,18)="","",VLOOKUP(H52,'クラス別一覧（入力）'!$A$9:$AJ$29,18))</f>
        <v>美</v>
      </c>
      <c r="L55" s="10" t="str">
        <f>IF(VLOOKUP(H52,'クラス別一覧（入力）'!$A$9:$AJ$29,25)="","",VLOOKUP(H52,'クラス別一覧（入力）'!$A$9:$AJ$29,25))</f>
        <v>保体</v>
      </c>
      <c r="M55" s="11" t="str">
        <f>IF(VLOOKUP(H52,'クラス別一覧（入力）'!$A$9:$AJ$29,32)="","",VLOOKUP(H52,'クラス別一覧（入力）'!$A$9:$AJ$29,32))</f>
        <v>英</v>
      </c>
      <c r="O55" s="25">
        <v>2</v>
      </c>
      <c r="P55" s="10"/>
      <c r="Q55" s="10"/>
      <c r="R55" s="10"/>
      <c r="S55" s="10"/>
      <c r="T55" s="11"/>
    </row>
    <row r="56" spans="1:20" ht="24.9" customHeight="1" x14ac:dyDescent="0.2">
      <c r="A56" s="25">
        <v>3</v>
      </c>
      <c r="B56" s="10" t="str">
        <f>IF(VLOOKUP(A52,'クラス別一覧（入力）'!$A$9:$AJ$29,5)="","",VLOOKUP(A52,'クラス別一覧（入力）'!$A$9:$AJ$29,5))</f>
        <v>美</v>
      </c>
      <c r="C56" s="10" t="str">
        <f>IF(VLOOKUP(A52,'クラス別一覧（入力）'!$A$9:$AJ$29,12)="","",VLOOKUP(A52,'クラス別一覧（入力）'!$A$9:$AJ$29,12))</f>
        <v>英</v>
      </c>
      <c r="D56" s="10" t="str">
        <f>IF(VLOOKUP(A52,'クラス別一覧（入力）'!$A$9:$AJ$29,19)="","",VLOOKUP(A52,'クラス別一覧（入力）'!$A$9:$AJ$29,19))</f>
        <v>英</v>
      </c>
      <c r="E56" s="10" t="str">
        <f>IF(VLOOKUP(A52,'クラス別一覧（入力）'!$A$9:$AJ$29,26)="","",VLOOKUP(A52,'クラス別一覧（入力）'!$A$9:$AJ$29,26))</f>
        <v>理</v>
      </c>
      <c r="F56" s="11" t="str">
        <f>IF(VLOOKUP(A52,'クラス別一覧（入力）'!$A$9:$AJ$29,33)="","",VLOOKUP(A52,'クラス別一覧（入力）'!$A$9:$AJ$29,33))</f>
        <v>国</v>
      </c>
      <c r="H56" s="25">
        <v>3</v>
      </c>
      <c r="I56" s="10" t="str">
        <f>IF(VLOOKUP(H52,'クラス別一覧（入力）'!$A$9:$AJ$29,5)="","",VLOOKUP(H52,'クラス別一覧（入力）'!$A$9:$AJ$29,5))</f>
        <v>保体</v>
      </c>
      <c r="J56" s="10" t="str">
        <f>IF(VLOOKUP(H52,'クラス別一覧（入力）'!$A$9:$AJ$29,12)="","",VLOOKUP(H52,'クラス別一覧（入力）'!$A$9:$AJ$29,12))</f>
        <v>音</v>
      </c>
      <c r="K56" s="10" t="str">
        <f>IF(VLOOKUP(H52,'クラス別一覧（入力）'!$A$9:$AJ$29,19)="","",VLOOKUP(H52,'クラス別一覧（入力）'!$A$9:$AJ$29,19))</f>
        <v>美</v>
      </c>
      <c r="L56" s="10" t="str">
        <f>IF(VLOOKUP(H52,'クラス別一覧（入力）'!$A$9:$AJ$29,26)="","",VLOOKUP(H52,'クラス別一覧（入力）'!$A$9:$AJ$29,26))</f>
        <v>社</v>
      </c>
      <c r="M56" s="11" t="str">
        <f>IF(VLOOKUP(H52,'クラス別一覧（入力）'!$A$9:$AJ$29,33)="","",VLOOKUP(H52,'クラス別一覧（入力）'!$A$9:$AJ$29,33))</f>
        <v>理</v>
      </c>
      <c r="O56" s="25">
        <v>3</v>
      </c>
      <c r="P56" s="10"/>
      <c r="Q56" s="10"/>
      <c r="R56" s="10"/>
      <c r="S56" s="10"/>
      <c r="T56" s="11"/>
    </row>
    <row r="57" spans="1:20" ht="24.9" customHeight="1" x14ac:dyDescent="0.2">
      <c r="A57" s="25">
        <v>4</v>
      </c>
      <c r="B57" s="10" t="str">
        <f>IF(VLOOKUP(A52,'クラス別一覧（入力）'!$A$9:$AJ$29,6)="","",VLOOKUP(A52,'クラス別一覧（入力）'!$A$9:$AJ$29,6))</f>
        <v>数</v>
      </c>
      <c r="C57" s="10" t="str">
        <f>IF(VLOOKUP(A52,'クラス別一覧（入力）'!$A$9:$AJ$29,13)="","",VLOOKUP(A52,'クラス別一覧（入力）'!$A$9:$AJ$29,13))</f>
        <v>数</v>
      </c>
      <c r="D57" s="10" t="str">
        <f>IF(VLOOKUP(A52,'クラス別一覧（入力）'!$A$9:$AJ$29,20)="","",VLOOKUP(A52,'クラス別一覧（入力）'!$A$9:$AJ$29,20))</f>
        <v>保体</v>
      </c>
      <c r="E57" s="10" t="str">
        <f>IF(VLOOKUP(A52,'クラス別一覧（入力）'!$A$9:$AJ$29,27)="","",VLOOKUP(A52,'クラス別一覧（入力）'!$A$9:$AJ$29,27))</f>
        <v>数</v>
      </c>
      <c r="F57" s="11" t="str">
        <f>IF(VLOOKUP(A52,'クラス別一覧（入力）'!$A$9:$AJ$29,34)="","",VLOOKUP(A52,'クラス別一覧（入力）'!$A$9:$AJ$29,34))</f>
        <v>音</v>
      </c>
      <c r="H57" s="25">
        <v>4</v>
      </c>
      <c r="I57" s="10" t="str">
        <f>IF(VLOOKUP(H52,'クラス別一覧（入力）'!$A$9:$AJ$29,6)="","",VLOOKUP(H52,'クラス別一覧（入力）'!$A$9:$AJ$29,6))</f>
        <v>社</v>
      </c>
      <c r="J57" s="10" t="str">
        <f>IF(VLOOKUP(H52,'クラス別一覧（入力）'!$A$9:$AJ$29,13)="","",VLOOKUP(H52,'クラス別一覧（入力）'!$A$9:$AJ$29,13))</f>
        <v>理</v>
      </c>
      <c r="K57" s="10" t="str">
        <f>IF(VLOOKUP(H52,'クラス別一覧（入力）'!$A$9:$AJ$29,20)="","",VLOOKUP(H52,'クラス別一覧（入力）'!$A$9:$AJ$29,20))</f>
        <v>作</v>
      </c>
      <c r="L57" s="10" t="str">
        <f>IF(VLOOKUP(H52,'クラス別一覧（入力）'!$A$9:$AJ$29,27)="","",VLOOKUP(H52,'クラス別一覧（入力）'!$A$9:$AJ$29,27))</f>
        <v>国</v>
      </c>
      <c r="M57" s="11" t="str">
        <f>IF(VLOOKUP(H52,'クラス別一覧（入力）'!$A$9:$AJ$29,34)="","",VLOOKUP(H52,'クラス別一覧（入力）'!$A$9:$AJ$29,34))</f>
        <v>作</v>
      </c>
      <c r="O57" s="25">
        <v>4</v>
      </c>
      <c r="P57" s="10"/>
      <c r="Q57" s="10"/>
      <c r="R57" s="10"/>
      <c r="S57" s="10"/>
      <c r="T57" s="11"/>
    </row>
    <row r="58" spans="1:20" ht="24.9" customHeight="1" x14ac:dyDescent="0.2">
      <c r="A58" s="25">
        <v>5</v>
      </c>
      <c r="B58" s="10" t="str">
        <f>IF(VLOOKUP(A52,'クラス別一覧（入力）'!$A$9:$AJ$29,7)="","",VLOOKUP(A52,'クラス別一覧（入力）'!$A$9:$AJ$29,7))</f>
        <v>理</v>
      </c>
      <c r="C58" s="10" t="str">
        <f>IF(VLOOKUP(A52,'クラス別一覧（入力）'!$A$9:$AJ$29,14)="","",VLOOKUP(A52,'クラス別一覧（入力）'!$A$9:$AJ$29,14))</f>
        <v>技家</v>
      </c>
      <c r="D58" s="10" t="str">
        <f>IF(VLOOKUP(A52,'クラス別一覧（入力）'!$A$9:$AJ$29,21)="","",VLOOKUP(A52,'クラス別一覧（入力）'!$A$9:$AJ$29,21))</f>
        <v>社</v>
      </c>
      <c r="E58" s="10" t="str">
        <f>IF(VLOOKUP(A52,'クラス別一覧（入力）'!$A$9:$AJ$29,28)="","",VLOOKUP(A52,'クラス別一覧（入力）'!$A$9:$AJ$29,28))</f>
        <v>国</v>
      </c>
      <c r="F58" s="11" t="str">
        <f>IF(VLOOKUP(A52,'クラス別一覧（入力）'!$A$9:$AJ$29,35)="","",VLOOKUP(A52,'クラス別一覧（入力）'!$A$9:$AJ$29,35))</f>
        <v>数</v>
      </c>
      <c r="H58" s="25">
        <v>5</v>
      </c>
      <c r="I58" s="10" t="str">
        <f>IF(VLOOKUP(H52,'クラス別一覧（入力）'!$A$9:$AJ$29,7)="","",VLOOKUP(H52,'クラス別一覧（入力）'!$A$9:$AJ$29,7))</f>
        <v>作</v>
      </c>
      <c r="J58" s="10" t="str">
        <f>IF(VLOOKUP(H52,'クラス別一覧（入力）'!$A$9:$AJ$29,14)="","",VLOOKUP(H52,'クラス別一覧（入力）'!$A$9:$AJ$29,14))</f>
        <v>作</v>
      </c>
      <c r="K58" s="10" t="str">
        <f>IF(VLOOKUP(H52,'クラス別一覧（入力）'!$A$9:$AJ$29,21)="","",VLOOKUP(H52,'クラス別一覧（入力）'!$A$9:$AJ$29,21))</f>
        <v>国</v>
      </c>
      <c r="L58" s="10" t="str">
        <f>IF(VLOOKUP(H52,'クラス別一覧（入力）'!$A$9:$AJ$29,28)="","",VLOOKUP(H52,'クラス別一覧（入力）'!$A$9:$AJ$29,28))</f>
        <v>英</v>
      </c>
      <c r="M58" s="11" t="str">
        <f>IF(VLOOKUP(H52,'クラス別一覧（入力）'!$A$9:$AJ$29,35)="","",VLOOKUP(H52,'クラス別一覧（入力）'!$A$9:$AJ$29,35))</f>
        <v>保体</v>
      </c>
      <c r="O58" s="25">
        <v>5</v>
      </c>
      <c r="P58" s="10"/>
      <c r="Q58" s="10"/>
      <c r="R58" s="10"/>
      <c r="S58" s="10"/>
      <c r="T58" s="11"/>
    </row>
    <row r="59" spans="1:20" ht="24.9" customHeight="1" thickBot="1" x14ac:dyDescent="0.25">
      <c r="A59" s="26">
        <v>6</v>
      </c>
      <c r="B59" s="12" t="str">
        <f>IF(VLOOKUP(A52,'クラス別一覧（入力）'!$A$9:$AJ$29,8)="","",VLOOKUP(A52,'クラス別一覧（入力）'!$A$9:$AJ$29,8))</f>
        <v>道</v>
      </c>
      <c r="C59" s="12" t="str">
        <f>IF(VLOOKUP(A52,'クラス別一覧（入力）'!$A$9:$AJ$29,15)="","",VLOOKUP(A52,'クラス別一覧（入力）'!$A$9:$AJ$29,15))</f>
        <v>総</v>
      </c>
      <c r="D59" s="12" t="str">
        <f>IF(VLOOKUP(A52,'クラス別一覧（入力）'!$A$9:$AJ$29,22)="","",VLOOKUP(A52,'クラス別一覧（入力）'!$A$9:$AJ$29,22))</f>
        <v>学</v>
      </c>
      <c r="E59" s="12" t="str">
        <f>IF(VLOOKUP(A52,'クラス別一覧（入力）'!$A$9:$AJ$29,29)="","",VLOOKUP(A52,'クラス別一覧（入力）'!$A$9:$AJ$29,29))</f>
        <v/>
      </c>
      <c r="F59" s="14" t="str">
        <f>IF(VLOOKUP(A52,'クラス別一覧（入力）'!$A$9:$AJ$29,36)="","",VLOOKUP(A52,'クラス別一覧（入力）'!$A$9:$AJ$29,36))</f>
        <v>総</v>
      </c>
      <c r="H59" s="26">
        <v>6</v>
      </c>
      <c r="I59" s="12" t="str">
        <f>IF(VLOOKUP(H52,'クラス別一覧（入力）'!$A$9:$AJ$29,8)="","",VLOOKUP(H52,'クラス別一覧（入力）'!$A$9:$AJ$29,8))</f>
        <v>道</v>
      </c>
      <c r="J59" s="12" t="str">
        <f>IF(VLOOKUP(H52,'クラス別一覧（入力）'!$A$9:$AJ$29,15)="","",VLOOKUP(H52,'クラス別一覧（入力）'!$A$9:$AJ$29,15))</f>
        <v>総</v>
      </c>
      <c r="K59" s="12" t="str">
        <f>IF(VLOOKUP(H52,'クラス別一覧（入力）'!$A$9:$AJ$29,22)="","",VLOOKUP(H52,'クラス別一覧（入力）'!$A$9:$AJ$29,22))</f>
        <v>学</v>
      </c>
      <c r="L59" s="12" t="str">
        <f>IF(VLOOKUP(H52,'クラス別一覧（入力）'!$A$9:$AJ$29,29)="","",VLOOKUP(H52,'クラス別一覧（入力）'!$A$9:$AJ$29,29))</f>
        <v/>
      </c>
      <c r="M59" s="14" t="str">
        <f>IF(VLOOKUP(H52,'クラス別一覧（入力）'!$A$9:$AJ$29,36)="","",VLOOKUP(H52,'クラス別一覧（入力）'!$A$9:$AJ$29,36))</f>
        <v>総</v>
      </c>
      <c r="O59" s="26">
        <v>6</v>
      </c>
      <c r="P59" s="12"/>
      <c r="Q59" s="12"/>
      <c r="R59" s="12"/>
      <c r="S59" s="12"/>
      <c r="T59" s="14"/>
    </row>
    <row r="60" spans="1:20" ht="14.25" customHeight="1" x14ac:dyDescent="0.2">
      <c r="A60" s="27"/>
      <c r="B60" s="21"/>
      <c r="C60" s="21"/>
      <c r="D60" s="21"/>
      <c r="E60" s="21"/>
      <c r="F60" s="21"/>
      <c r="H60" s="27"/>
      <c r="I60" s="21"/>
      <c r="J60" s="21"/>
      <c r="K60" s="21"/>
      <c r="L60" s="21"/>
      <c r="M60" s="21"/>
      <c r="O60" s="27"/>
      <c r="P60" s="21"/>
      <c r="Q60" s="21"/>
      <c r="R60" s="21"/>
      <c r="S60" s="21"/>
      <c r="T60" s="21"/>
    </row>
    <row r="61" spans="1:20" ht="20.149999999999999" customHeight="1" x14ac:dyDescent="0.3">
      <c r="C61" s="326"/>
      <c r="D61" s="326"/>
      <c r="J61" s="326"/>
      <c r="K61" s="326"/>
      <c r="Q61" s="326"/>
      <c r="R61" s="326"/>
    </row>
    <row r="62" spans="1:20" ht="17" thickBot="1" x14ac:dyDescent="0.25">
      <c r="A62" s="30">
        <v>16</v>
      </c>
      <c r="H62" s="30">
        <v>16</v>
      </c>
      <c r="O62" s="30">
        <v>16</v>
      </c>
    </row>
    <row r="63" spans="1:20" s="23" customFormat="1" ht="24.9" customHeight="1" x14ac:dyDescent="0.25">
      <c r="A63" s="24"/>
      <c r="B63" s="7" t="s">
        <v>11</v>
      </c>
      <c r="C63" s="7" t="s">
        <v>3</v>
      </c>
      <c r="D63" s="7" t="s">
        <v>5</v>
      </c>
      <c r="E63" s="7" t="s">
        <v>7</v>
      </c>
      <c r="F63" s="9" t="s">
        <v>9</v>
      </c>
      <c r="H63" s="24"/>
      <c r="I63" s="7" t="s">
        <v>11</v>
      </c>
      <c r="J63" s="7" t="s">
        <v>3</v>
      </c>
      <c r="K63" s="7" t="s">
        <v>5</v>
      </c>
      <c r="L63" s="7" t="s">
        <v>7</v>
      </c>
      <c r="M63" s="9" t="s">
        <v>9</v>
      </c>
      <c r="O63" s="24"/>
      <c r="P63" s="7" t="s">
        <v>11</v>
      </c>
      <c r="Q63" s="7" t="s">
        <v>3</v>
      </c>
      <c r="R63" s="7" t="s">
        <v>5</v>
      </c>
      <c r="S63" s="7" t="s">
        <v>7</v>
      </c>
      <c r="T63" s="9" t="s">
        <v>9</v>
      </c>
    </row>
    <row r="64" spans="1:20" ht="24.9" customHeight="1" x14ac:dyDescent="0.2">
      <c r="A64" s="25">
        <v>1</v>
      </c>
      <c r="B64" s="10"/>
      <c r="C64" s="10"/>
      <c r="D64" s="10"/>
      <c r="E64" s="10"/>
      <c r="F64" s="11"/>
      <c r="H64" s="25">
        <v>1</v>
      </c>
      <c r="I64" s="10"/>
      <c r="J64" s="10"/>
      <c r="K64" s="10"/>
      <c r="L64" s="10"/>
      <c r="M64" s="11"/>
      <c r="O64" s="25">
        <v>1</v>
      </c>
      <c r="P64" s="10"/>
      <c r="Q64" s="10"/>
      <c r="R64" s="10"/>
      <c r="S64" s="10"/>
      <c r="T64" s="11"/>
    </row>
    <row r="65" spans="1:20" ht="24.9" customHeight="1" x14ac:dyDescent="0.2">
      <c r="A65" s="25">
        <v>2</v>
      </c>
      <c r="B65" s="10"/>
      <c r="C65" s="10"/>
      <c r="D65" s="10"/>
      <c r="E65" s="10"/>
      <c r="F65" s="11"/>
      <c r="H65" s="25">
        <v>2</v>
      </c>
      <c r="I65" s="10"/>
      <c r="J65" s="10"/>
      <c r="K65" s="10"/>
      <c r="L65" s="10"/>
      <c r="M65" s="11"/>
      <c r="O65" s="25">
        <v>2</v>
      </c>
      <c r="P65" s="10"/>
      <c r="Q65" s="10"/>
      <c r="R65" s="10"/>
      <c r="S65" s="10"/>
      <c r="T65" s="11"/>
    </row>
    <row r="66" spans="1:20" ht="24.9" customHeight="1" x14ac:dyDescent="0.2">
      <c r="A66" s="25">
        <v>3</v>
      </c>
      <c r="B66" s="10"/>
      <c r="C66" s="10"/>
      <c r="D66" s="10"/>
      <c r="E66" s="10"/>
      <c r="F66" s="11"/>
      <c r="H66" s="25">
        <v>3</v>
      </c>
      <c r="I66" s="10"/>
      <c r="J66" s="10"/>
      <c r="K66" s="10"/>
      <c r="L66" s="10"/>
      <c r="M66" s="11"/>
      <c r="O66" s="25">
        <v>3</v>
      </c>
      <c r="P66" s="10"/>
      <c r="Q66" s="10"/>
      <c r="R66" s="10"/>
      <c r="S66" s="10"/>
      <c r="T66" s="11"/>
    </row>
    <row r="67" spans="1:20" ht="24.9" customHeight="1" x14ac:dyDescent="0.2">
      <c r="A67" s="25">
        <v>4</v>
      </c>
      <c r="B67" s="10"/>
      <c r="C67" s="10"/>
      <c r="D67" s="10"/>
      <c r="E67" s="10"/>
      <c r="F67" s="11"/>
      <c r="H67" s="25">
        <v>4</v>
      </c>
      <c r="I67" s="10"/>
      <c r="J67" s="10"/>
      <c r="K67" s="10"/>
      <c r="L67" s="10"/>
      <c r="M67" s="11"/>
      <c r="O67" s="25">
        <v>4</v>
      </c>
      <c r="P67" s="10"/>
      <c r="Q67" s="10"/>
      <c r="R67" s="10"/>
      <c r="S67" s="10"/>
      <c r="T67" s="11"/>
    </row>
    <row r="68" spans="1:20" ht="24.9" customHeight="1" x14ac:dyDescent="0.2">
      <c r="A68" s="25">
        <v>5</v>
      </c>
      <c r="B68" s="10"/>
      <c r="C68" s="10"/>
      <c r="D68" s="10"/>
      <c r="E68" s="10"/>
      <c r="F68" s="11"/>
      <c r="H68" s="25">
        <v>5</v>
      </c>
      <c r="I68" s="10"/>
      <c r="J68" s="10"/>
      <c r="K68" s="10"/>
      <c r="L68" s="10"/>
      <c r="M68" s="11"/>
      <c r="O68" s="25">
        <v>5</v>
      </c>
      <c r="P68" s="10"/>
      <c r="Q68" s="10"/>
      <c r="R68" s="10"/>
      <c r="S68" s="10"/>
      <c r="T68" s="11"/>
    </row>
    <row r="69" spans="1:20" ht="24.9" customHeight="1" thickBot="1" x14ac:dyDescent="0.25">
      <c r="A69" s="26">
        <v>6</v>
      </c>
      <c r="B69" s="12"/>
      <c r="C69" s="12"/>
      <c r="D69" s="12"/>
      <c r="E69" s="12"/>
      <c r="F69" s="14"/>
      <c r="H69" s="26">
        <v>6</v>
      </c>
      <c r="I69" s="12"/>
      <c r="J69" s="12"/>
      <c r="K69" s="12"/>
      <c r="L69" s="12"/>
      <c r="M69" s="14"/>
      <c r="O69" s="26">
        <v>6</v>
      </c>
      <c r="P69" s="12"/>
      <c r="Q69" s="12"/>
      <c r="R69" s="12"/>
      <c r="S69" s="12"/>
      <c r="T69" s="14"/>
    </row>
  </sheetData>
  <customSheetViews>
    <customSheetView guid="{588B52CB-128D-4476-A8D0-8A203A5F17F0}" scale="55" showPageBreaks="1" view="pageBreakPreview">
      <selection activeCell="B4" sqref="B4"/>
      <rowBreaks count="1" manualBreakCount="1">
        <brk id="40" max="16383" man="1"/>
      </rowBreaks>
      <pageMargins left="0.59055118110236227" right="0.59055118110236227" top="0.78740157480314965" bottom="0.78740157480314965" header="0.51181102362204722" footer="0.51181102362204722"/>
      <printOptions horizontalCentered="1" verticalCentered="1"/>
      <pageSetup paperSize="9" scale="71" orientation="portrait" r:id="rId1"/>
      <headerFooter alignWithMargins="0">
        <oddHeader>&amp;R&amp;D&amp;T</oddHeader>
      </headerFooter>
    </customSheetView>
  </customSheetViews>
  <mergeCells count="38">
    <mergeCell ref="Q21:R21"/>
    <mergeCell ref="C31:D31"/>
    <mergeCell ref="J31:K31"/>
    <mergeCell ref="Q31:R31"/>
    <mergeCell ref="C1:D1"/>
    <mergeCell ref="J1:K1"/>
    <mergeCell ref="Q1:R1"/>
    <mergeCell ref="C11:D11"/>
    <mergeCell ref="J11:K11"/>
    <mergeCell ref="Q11:R11"/>
    <mergeCell ref="C61:D61"/>
    <mergeCell ref="J61:K61"/>
    <mergeCell ref="Q61:R61"/>
    <mergeCell ref="C41:D41"/>
    <mergeCell ref="J41:K41"/>
    <mergeCell ref="Q41:R41"/>
    <mergeCell ref="C51:D51"/>
    <mergeCell ref="J51:K51"/>
    <mergeCell ref="Q51:R51"/>
    <mergeCell ref="A1:B1"/>
    <mergeCell ref="H1:I1"/>
    <mergeCell ref="O1:P1"/>
    <mergeCell ref="A11:B11"/>
    <mergeCell ref="H11:I11"/>
    <mergeCell ref="O11:P11"/>
    <mergeCell ref="A21:B21"/>
    <mergeCell ref="H21:I21"/>
    <mergeCell ref="O21:P21"/>
    <mergeCell ref="A31:B31"/>
    <mergeCell ref="H31:I31"/>
    <mergeCell ref="O31:P31"/>
    <mergeCell ref="C21:D21"/>
    <mergeCell ref="J21:K21"/>
    <mergeCell ref="A41:B41"/>
    <mergeCell ref="H41:I41"/>
    <mergeCell ref="O41:P41"/>
    <mergeCell ref="A51:B51"/>
    <mergeCell ref="H51:I51"/>
  </mergeCells>
  <phoneticPr fontId="7"/>
  <printOptions horizontalCentered="1" verticalCentered="1"/>
  <pageMargins left="0.59055118110236227" right="0.59055118110236227" top="0.78740157480314965" bottom="0.78740157480314965" header="0.51181102362204722" footer="0.51181102362204722"/>
  <pageSetup paperSize="9" scale="71" orientation="portrait" r:id="rId2"/>
  <headerFooter alignWithMargins="0">
    <oddHeader>&amp;R&amp;D&amp;T</oddHeader>
  </headerFooter>
  <rowBreaks count="1" manualBreakCount="1">
    <brk id="40"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H11"/>
  <sheetViews>
    <sheetView topLeftCell="A4" zoomScale="40" zoomScaleNormal="40" workbookViewId="0">
      <selection activeCell="B4" sqref="B4"/>
    </sheetView>
  </sheetViews>
  <sheetFormatPr defaultRowHeight="13" x14ac:dyDescent="0.2"/>
  <cols>
    <col min="1" max="1" width="15.6328125" customWidth="1"/>
    <col min="2" max="7" width="14.6328125" customWidth="1"/>
    <col min="8" max="8" width="15.6328125" customWidth="1"/>
  </cols>
  <sheetData>
    <row r="1" spans="1:8" ht="50.15" customHeight="1" x14ac:dyDescent="0.2">
      <c r="A1" s="49"/>
      <c r="B1" s="49"/>
      <c r="C1" s="49"/>
      <c r="D1" s="49"/>
      <c r="E1" s="49"/>
      <c r="F1" s="49"/>
      <c r="G1" s="49"/>
      <c r="H1" s="49"/>
    </row>
    <row r="2" spans="1:8" ht="84.9" customHeight="1" x14ac:dyDescent="0.4">
      <c r="A2" s="49"/>
      <c r="B2" s="67"/>
      <c r="C2" s="350" t="str">
        <f>IF(VLOOKUP(B3,'クラス別一覧（入力）'!$A$9:$AJ$29,2)="","",VLOOKUP(B3,'クラス別一覧（入力）'!$A$9:$AJ$29,2))</f>
        <v>2D</v>
      </c>
      <c r="D2" s="350"/>
      <c r="E2" s="350"/>
      <c r="F2" s="350"/>
      <c r="G2" s="28"/>
      <c r="H2" s="49"/>
    </row>
    <row r="3" spans="1:8" ht="28.5" customHeight="1" thickBot="1" x14ac:dyDescent="0.25">
      <c r="A3" s="49"/>
      <c r="B3" s="52">
        <v>10</v>
      </c>
      <c r="H3" s="49"/>
    </row>
    <row r="4" spans="1:8" ht="84.9" customHeight="1" thickTop="1" thickBot="1" x14ac:dyDescent="0.25">
      <c r="A4" s="49"/>
      <c r="B4" s="45"/>
      <c r="C4" s="44" t="s">
        <v>32</v>
      </c>
      <c r="D4" s="42" t="s">
        <v>3</v>
      </c>
      <c r="E4" s="42" t="s">
        <v>5</v>
      </c>
      <c r="F4" s="42" t="s">
        <v>7</v>
      </c>
      <c r="G4" s="43" t="s">
        <v>9</v>
      </c>
      <c r="H4" s="49"/>
    </row>
    <row r="5" spans="1:8" ht="84.9" customHeight="1" x14ac:dyDescent="0.2">
      <c r="A5" s="49"/>
      <c r="B5" s="46">
        <v>1</v>
      </c>
      <c r="C5" s="91" t="str">
        <f>IF(VLOOKUP(B3,'クラス別一覧（入力）'!$A$9:$AJ$29,3)="","",VLOOKUP(B3,'クラス別一覧（入力）'!$A$9:$AJ$29,3))</f>
        <v>英</v>
      </c>
      <c r="D5" s="92" t="str">
        <f>IF(VLOOKUP(B3,'クラス別一覧（入力）'!$A$9:$AJ$29,10)="","",VLOOKUP(B3,'クラス別一覧（入力）'!$A$9:$AJ$29,10))</f>
        <v>数</v>
      </c>
      <c r="E5" s="92" t="str">
        <f>IF(VLOOKUP(B3,'クラス別一覧（入力）'!$A$9:$AJ$29,17)="","",VLOOKUP(B3,'クラス別一覧（入力）'!$A$9:$AJ$29,17))</f>
        <v>国Ⅰ</v>
      </c>
      <c r="F5" s="92" t="str">
        <f>IF(VLOOKUP(B3,'クラス別一覧（入力）'!$A$9:$AJ$29,24)="","",VLOOKUP(B3,'クラス別一覧（入力）'!$A$9:$AJ$29,24))</f>
        <v>家</v>
      </c>
      <c r="G5" s="93" t="str">
        <f>IF(VLOOKUP(B3,'クラス別一覧（入力）'!$A$9:$AJ$29,31)="","",VLOOKUP(B3,'クラス別一覧（入力）'!$A$9:$AJ$29,31))</f>
        <v>社</v>
      </c>
      <c r="H5" s="49"/>
    </row>
    <row r="6" spans="1:8" ht="84.9" customHeight="1" x14ac:dyDescent="0.2">
      <c r="A6" s="49"/>
      <c r="B6" s="47">
        <v>2</v>
      </c>
      <c r="C6" s="94" t="str">
        <f>IF(VLOOKUP(B3,'クラス別一覧（入力）'!$A$9:$AJ$29,4)="","",VLOOKUP(B3,'クラス別一覧（入力）'!$A$9:$AJ$29,4))</f>
        <v>社</v>
      </c>
      <c r="D6" s="95" t="str">
        <f>IF(VLOOKUP(B3,'クラス別一覧（入力）'!$A$9:$AJ$29,11)="","",VLOOKUP(B3,'クラス別一覧（入力）'!$A$9:$AJ$29,11))</f>
        <v>社</v>
      </c>
      <c r="E6" s="95" t="str">
        <f>IF(VLOOKUP(B3,'クラス別一覧（入力）'!$A$9:$AJ$29,18)="","",VLOOKUP(B3,'クラス別一覧（入力）'!$A$9:$AJ$29,18))</f>
        <v>保体</v>
      </c>
      <c r="F6" s="95" t="str">
        <f>IF(VLOOKUP(B3,'クラス別一覧（入力）'!$A$9:$AJ$29,25)="","",VLOOKUP(B3,'クラス別一覧（入力）'!$A$9:$AJ$29,25))</f>
        <v>国Ⅰ</v>
      </c>
      <c r="G6" s="96" t="str">
        <f>IF(VLOOKUP(B3,'クラス別一覧（入力）'!$A$9:$AJ$29,32)="","",VLOOKUP(B3,'クラス別一覧（入力）'!$A$9:$AJ$29,32))</f>
        <v>美</v>
      </c>
      <c r="H6" s="49"/>
    </row>
    <row r="7" spans="1:8" ht="84.9" customHeight="1" x14ac:dyDescent="0.2">
      <c r="A7" s="49"/>
      <c r="B7" s="47">
        <v>3</v>
      </c>
      <c r="C7" s="94" t="str">
        <f>IF(VLOOKUP(B3,'クラス別一覧（入力）'!$A$9:$AJ$29,5)="","",VLOOKUP(B3,'クラス別一覧（入力）'!$A$9:$AJ$29,5))</f>
        <v>理</v>
      </c>
      <c r="D7" s="95" t="str">
        <f>IF(VLOOKUP(B3,'クラス別一覧（入力）'!$A$9:$AJ$29,12)="","",VLOOKUP(B3,'クラス別一覧（入力）'!$A$9:$AJ$29,12))</f>
        <v>保体</v>
      </c>
      <c r="E7" s="95" t="str">
        <f>IF(VLOOKUP(B3,'クラス別一覧（入力）'!$A$9:$AJ$29,19)="","",VLOOKUP(B3,'クラス別一覧（入力）'!$A$9:$AJ$29,19))</f>
        <v>理</v>
      </c>
      <c r="F7" s="95" t="str">
        <f>IF(VLOOKUP(B3,'クラス別一覧（入力）'!$A$9:$AJ$29,26)="","",VLOOKUP(B3,'クラス別一覧（入力）'!$A$9:$AJ$29,26))</f>
        <v>保体</v>
      </c>
      <c r="G7" s="96" t="str">
        <f>IF(VLOOKUP(B3,'クラス別一覧（入力）'!$A$9:$AJ$29,33)="","",VLOOKUP(B3,'クラス別一覧（入力）'!$A$9:$AJ$29,33))</f>
        <v>理</v>
      </c>
      <c r="H7" s="49"/>
    </row>
    <row r="8" spans="1:8" ht="84.9" customHeight="1" x14ac:dyDescent="0.2">
      <c r="A8" s="49"/>
      <c r="B8" s="47">
        <v>4</v>
      </c>
      <c r="C8" s="94" t="str">
        <f>IF(VLOOKUP(B3,'クラス別一覧（入力）'!$A$9:$AJ$29,6)="","",VLOOKUP(B3,'クラス別一覧（入力）'!$A$9:$AJ$29,6))</f>
        <v>国Ⅰ</v>
      </c>
      <c r="D8" s="95" t="str">
        <f>IF(VLOOKUP(B3,'クラス別一覧（入力）'!$A$9:$AJ$29,13)="","",VLOOKUP(B3,'クラス別一覧（入力）'!$A$9:$AJ$29,13))</f>
        <v>国Ⅱ</v>
      </c>
      <c r="E8" s="95" t="str">
        <f>IF(VLOOKUP(B3,'クラス別一覧（入力）'!$A$9:$AJ$29,20)="","",VLOOKUP(B3,'クラス別一覧（入力）'!$A$9:$AJ$29,20))</f>
        <v>数</v>
      </c>
      <c r="F8" s="95" t="str">
        <f>IF(VLOOKUP(B3,'クラス別一覧（入力）'!$A$9:$AJ$29,27)="","",VLOOKUP(B3,'クラス別一覧（入力）'!$A$9:$AJ$29,27))</f>
        <v>英</v>
      </c>
      <c r="G8" s="96" t="str">
        <f>IF(VLOOKUP(B3,'クラス別一覧（入力）'!$A$9:$AJ$29,34)="","",VLOOKUP(B3,'クラス別一覧（入力）'!$A$9:$AJ$29,34))</f>
        <v>数</v>
      </c>
      <c r="H8" s="49"/>
    </row>
    <row r="9" spans="1:8" ht="84.9" customHeight="1" x14ac:dyDescent="0.2">
      <c r="A9" s="49"/>
      <c r="B9" s="47">
        <v>5</v>
      </c>
      <c r="C9" s="94" t="str">
        <f>IF(VLOOKUP(B3,'クラス別一覧（入力）'!$A$9:$AJ$29,7)="","",VLOOKUP(B3,'クラス別一覧（入力）'!$A$9:$AJ$29,7))</f>
        <v>技</v>
      </c>
      <c r="D9" s="95" t="str">
        <f>IF(VLOOKUP(B3,'クラス別一覧（入力）'!$A$9:$AJ$29,14)="","",VLOOKUP(B3,'クラス別一覧（入力）'!$A$9:$AJ$29,14))</f>
        <v>英</v>
      </c>
      <c r="E9" s="95" t="str">
        <f>IF(VLOOKUP(B3,'クラス別一覧（入力）'!$A$9:$AJ$29,21)="","",VLOOKUP(B3,'クラス別一覧（入力）'!$A$9:$AJ$29,21))</f>
        <v>音</v>
      </c>
      <c r="F9" s="95" t="str">
        <f>IF(VLOOKUP(B3,'クラス別一覧（入力）'!$A$9:$AJ$29,28)="","",VLOOKUP(B3,'クラス別一覧（入力）'!$A$9:$AJ$29,28))</f>
        <v>理</v>
      </c>
      <c r="G9" s="96" t="str">
        <f>IF(VLOOKUP(B3,'クラス別一覧（入力）'!$A$9:$AJ$29,35)="","",VLOOKUP(B3,'クラス別一覧（入力）'!$A$9:$AJ$29,35))</f>
        <v>英</v>
      </c>
      <c r="H9" s="49"/>
    </row>
    <row r="10" spans="1:8" ht="84.9" customHeight="1" thickBot="1" x14ac:dyDescent="0.25">
      <c r="A10" s="49"/>
      <c r="B10" s="48">
        <v>6</v>
      </c>
      <c r="C10" s="97" t="str">
        <f>IF(VLOOKUP(B3,'クラス別一覧（入力）'!$A$9:$AJ$29,8)="","",VLOOKUP(B3,'クラス別一覧（入力）'!$A$9:$AJ$29,8))</f>
        <v>道</v>
      </c>
      <c r="D10" s="98" t="str">
        <f>IF(VLOOKUP(B3,'クラス別一覧（入力）'!$A$9:$AJ$29,15)="","",VLOOKUP(B3,'クラス別一覧（入力）'!$A$9:$AJ$29,15))</f>
        <v>総</v>
      </c>
      <c r="E10" s="98" t="str">
        <f>IF(VLOOKUP(B3,'クラス別一覧（入力）'!$A$9:$AJ$29,22)="","",VLOOKUP(B3,'クラス別一覧（入力）'!$A$9:$AJ$29,22))</f>
        <v>学</v>
      </c>
      <c r="F10" s="98" t="str">
        <f>IF(VLOOKUP(B3,'クラス別一覧（入力）'!$A$9:$AJ$29,29)="","",VLOOKUP(B3,'クラス別一覧（入力）'!$A$9:$AJ$29,29))</f>
        <v/>
      </c>
      <c r="G10" s="99" t="str">
        <f>IF(VLOOKUP(B3,'クラス別一覧（入力）'!$A$9:$AJ$29,36)="","",VLOOKUP(B3,'クラス別一覧（入力）'!$A$9:$AJ$29,36))</f>
        <v>総</v>
      </c>
      <c r="H10" s="49"/>
    </row>
    <row r="11" spans="1:8" ht="50.15" customHeight="1" thickTop="1" x14ac:dyDescent="0.2">
      <c r="A11" s="49"/>
      <c r="B11" s="49"/>
      <c r="C11" s="49"/>
      <c r="D11" s="49"/>
      <c r="E11" s="49"/>
      <c r="F11" s="49"/>
      <c r="G11" s="49"/>
      <c r="H11" s="49"/>
    </row>
  </sheetData>
  <customSheetViews>
    <customSheetView guid="{588B52CB-128D-4476-A8D0-8A203A5F17F0}" scale="40">
      <selection activeCell="B4" sqref="B4"/>
      <pageMargins left="0.78740157480314965" right="0.78740157480314965" top="0.98425196850393704" bottom="0.98425196850393704" header="0.51181102362204722" footer="0.51181102362204722"/>
      <printOptions horizontalCentered="1" verticalCentered="1"/>
      <pageSetup paperSize="9" scale="92" orientation="portrait" r:id="rId1"/>
      <headerFooter alignWithMargins="0"/>
    </customSheetView>
  </customSheetViews>
  <mergeCells count="1">
    <mergeCell ref="C2:F2"/>
  </mergeCells>
  <phoneticPr fontId="7"/>
  <printOptions horizontalCentered="1" verticalCentered="1"/>
  <pageMargins left="0.78740157480314965" right="0.78740157480314965" top="0.98425196850393704" bottom="0.98425196850393704" header="0.51181102362204722" footer="0.51181102362204722"/>
  <pageSetup paperSize="9" scale="92" orientation="portrait" r:id="rId2"/>
  <headerFooter alignWithMargins="0"/>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F2:DW62"/>
  <sheetViews>
    <sheetView showGridLines="0" view="pageBreakPreview" topLeftCell="BN1" zoomScaleNormal="100" zoomScaleSheetLayoutView="100" workbookViewId="0">
      <selection activeCell="CU59" sqref="CU59"/>
    </sheetView>
  </sheetViews>
  <sheetFormatPr defaultColWidth="2.6328125" defaultRowHeight="13" x14ac:dyDescent="0.2"/>
  <cols>
    <col min="1" max="16384" width="2.6328125" style="110"/>
  </cols>
  <sheetData>
    <row r="2" spans="6:127" x14ac:dyDescent="0.2">
      <c r="F2" s="109" t="s">
        <v>33</v>
      </c>
      <c r="AK2" s="109" t="s">
        <v>62</v>
      </c>
      <c r="BP2" s="109" t="s">
        <v>61</v>
      </c>
      <c r="CU2" s="109" t="s">
        <v>47</v>
      </c>
    </row>
    <row r="4" spans="6:127" ht="16.5" x14ac:dyDescent="0.2">
      <c r="F4" s="158" t="s">
        <v>34</v>
      </c>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K4" s="158" t="s">
        <v>34</v>
      </c>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P4" s="158" t="s">
        <v>34</v>
      </c>
      <c r="BQ4" s="111"/>
      <c r="BR4" s="111"/>
      <c r="BS4" s="111"/>
      <c r="BT4" s="111"/>
      <c r="BU4" s="111"/>
      <c r="BV4" s="111"/>
      <c r="BW4" s="111"/>
      <c r="BX4" s="111"/>
      <c r="BY4" s="111"/>
      <c r="BZ4" s="111"/>
      <c r="CA4" s="111"/>
      <c r="CB4" s="111"/>
      <c r="CC4" s="111"/>
      <c r="CD4" s="111"/>
      <c r="CE4" s="111"/>
      <c r="CF4" s="111"/>
      <c r="CG4" s="111"/>
      <c r="CH4" s="111"/>
      <c r="CI4" s="111"/>
      <c r="CJ4" s="111"/>
      <c r="CK4" s="111"/>
      <c r="CL4" s="111"/>
      <c r="CM4" s="111"/>
      <c r="CN4" s="111"/>
      <c r="CO4" s="111"/>
      <c r="CP4" s="111"/>
      <c r="CQ4" s="111"/>
      <c r="CR4" s="111"/>
      <c r="CU4" s="158" t="s">
        <v>48</v>
      </c>
      <c r="CV4" s="111"/>
      <c r="CW4" s="111"/>
      <c r="CX4" s="111"/>
      <c r="CY4" s="111"/>
      <c r="CZ4" s="111"/>
      <c r="DA4" s="111"/>
      <c r="DB4" s="111"/>
      <c r="DC4" s="111"/>
      <c r="DD4" s="111"/>
      <c r="DE4" s="111"/>
      <c r="DF4" s="111"/>
      <c r="DG4" s="111"/>
      <c r="DH4" s="111"/>
      <c r="DI4" s="111"/>
      <c r="DJ4" s="111"/>
      <c r="DK4" s="111"/>
      <c r="DL4" s="111"/>
      <c r="DM4" s="111"/>
      <c r="DN4" s="111"/>
      <c r="DO4" s="111"/>
      <c r="DP4" s="111"/>
      <c r="DQ4" s="111"/>
      <c r="DR4" s="111"/>
      <c r="DS4" s="111"/>
      <c r="DT4" s="111"/>
      <c r="DU4" s="111"/>
      <c r="DV4" s="111"/>
      <c r="DW4" s="111"/>
    </row>
    <row r="6" spans="6:127" x14ac:dyDescent="0.2">
      <c r="AK6" s="132" t="s">
        <v>63</v>
      </c>
      <c r="BP6" s="110" t="s">
        <v>53</v>
      </c>
      <c r="BV6" s="277" t="s">
        <v>171</v>
      </c>
    </row>
    <row r="7" spans="6:127" x14ac:dyDescent="0.2">
      <c r="F7" s="112" t="s">
        <v>35</v>
      </c>
      <c r="AK7" s="122"/>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4"/>
      <c r="CU7" s="112" t="s">
        <v>35</v>
      </c>
    </row>
    <row r="8" spans="6:127" x14ac:dyDescent="0.2">
      <c r="F8" s="112" t="s">
        <v>36</v>
      </c>
      <c r="AK8" s="125"/>
      <c r="BM8" s="126"/>
      <c r="BP8" s="110" t="s">
        <v>54</v>
      </c>
      <c r="CU8" s="112" t="s">
        <v>36</v>
      </c>
    </row>
    <row r="9" spans="6:127" x14ac:dyDescent="0.2">
      <c r="F9" s="112" t="s">
        <v>37</v>
      </c>
      <c r="AK9" s="125"/>
      <c r="BM9" s="126"/>
      <c r="BP9" s="122"/>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4"/>
      <c r="CU9" s="112" t="s">
        <v>37</v>
      </c>
    </row>
    <row r="10" spans="6:127" x14ac:dyDescent="0.2">
      <c r="F10" s="112" t="s">
        <v>45</v>
      </c>
      <c r="AK10" s="125"/>
      <c r="BM10" s="126"/>
      <c r="BP10" s="125"/>
      <c r="CR10" s="126"/>
      <c r="CU10" s="112" t="s">
        <v>45</v>
      </c>
    </row>
    <row r="11" spans="6:127" x14ac:dyDescent="0.2">
      <c r="F11" s="112" t="s">
        <v>38</v>
      </c>
      <c r="AK11" s="125"/>
      <c r="BM11" s="126"/>
      <c r="BP11" s="125"/>
      <c r="CR11" s="126"/>
      <c r="CU11" s="112" t="s">
        <v>38</v>
      </c>
    </row>
    <row r="12" spans="6:127" x14ac:dyDescent="0.2">
      <c r="AK12" s="125"/>
      <c r="BM12" s="126"/>
      <c r="BP12" s="125"/>
      <c r="CR12" s="126"/>
    </row>
    <row r="13" spans="6:127" x14ac:dyDescent="0.2">
      <c r="F13" s="113"/>
      <c r="G13" s="114"/>
      <c r="H13" s="114"/>
      <c r="I13" s="114"/>
      <c r="J13" s="114"/>
      <c r="K13" s="114"/>
      <c r="L13" s="114"/>
      <c r="M13" s="115"/>
      <c r="N13" s="113"/>
      <c r="O13" s="114"/>
      <c r="P13" s="114"/>
      <c r="Q13" s="114"/>
      <c r="R13" s="114"/>
      <c r="S13" s="114"/>
      <c r="T13" s="114"/>
      <c r="U13" s="114"/>
      <c r="V13" s="114"/>
      <c r="W13" s="114"/>
      <c r="X13" s="114"/>
      <c r="Y13" s="114"/>
      <c r="Z13" s="114"/>
      <c r="AA13" s="114"/>
      <c r="AB13" s="114"/>
      <c r="AC13" s="114"/>
      <c r="AD13" s="114"/>
      <c r="AE13" s="114"/>
      <c r="AF13" s="114"/>
      <c r="AG13" s="114"/>
      <c r="AH13" s="115"/>
      <c r="AK13" s="125"/>
      <c r="BM13" s="126"/>
      <c r="BP13" s="125"/>
      <c r="CR13" s="126"/>
      <c r="CU13" s="113"/>
      <c r="CV13" s="114"/>
      <c r="CW13" s="114"/>
      <c r="CX13" s="114"/>
      <c r="CY13" s="114"/>
      <c r="CZ13" s="114"/>
      <c r="DA13" s="114"/>
      <c r="DB13" s="115"/>
      <c r="DC13" s="113"/>
      <c r="DD13" s="114"/>
      <c r="DE13" s="114"/>
      <c r="DF13" s="114"/>
      <c r="DG13" s="114"/>
      <c r="DH13" s="114"/>
      <c r="DI13" s="114"/>
      <c r="DJ13" s="114"/>
      <c r="DK13" s="114"/>
      <c r="DL13" s="114"/>
      <c r="DM13" s="114"/>
      <c r="DN13" s="114"/>
      <c r="DO13" s="114"/>
      <c r="DP13" s="114"/>
      <c r="DQ13" s="114"/>
      <c r="DR13" s="114"/>
      <c r="DS13" s="114"/>
      <c r="DT13" s="114"/>
      <c r="DU13" s="114"/>
      <c r="DV13" s="114"/>
      <c r="DW13" s="115"/>
    </row>
    <row r="14" spans="6:127" x14ac:dyDescent="0.2">
      <c r="F14" s="116" t="s">
        <v>39</v>
      </c>
      <c r="G14" s="112"/>
      <c r="H14" s="112"/>
      <c r="I14" s="112"/>
      <c r="J14" s="112"/>
      <c r="K14" s="112"/>
      <c r="L14" s="112"/>
      <c r="M14" s="117"/>
      <c r="N14" s="116"/>
      <c r="O14" s="112"/>
      <c r="P14" s="112"/>
      <c r="Q14" s="112"/>
      <c r="R14" s="112"/>
      <c r="S14" s="112"/>
      <c r="T14" s="112"/>
      <c r="U14" s="112"/>
      <c r="V14" s="112"/>
      <c r="W14" s="112"/>
      <c r="X14" s="112"/>
      <c r="Y14" s="112"/>
      <c r="Z14" s="112"/>
      <c r="AA14" s="112"/>
      <c r="AB14" s="112"/>
      <c r="AC14" s="112"/>
      <c r="AD14" s="112"/>
      <c r="AE14" s="112"/>
      <c r="AF14" s="112"/>
      <c r="AG14" s="112"/>
      <c r="AH14" s="117"/>
      <c r="AK14" s="125"/>
      <c r="BM14" s="126"/>
      <c r="BP14" s="125"/>
      <c r="CR14" s="126"/>
      <c r="CU14" s="116" t="s">
        <v>39</v>
      </c>
      <c r="CV14" s="112"/>
      <c r="CW14" s="112"/>
      <c r="CX14" s="112"/>
      <c r="CY14" s="112"/>
      <c r="CZ14" s="112"/>
      <c r="DA14" s="112"/>
      <c r="DB14" s="117"/>
      <c r="DC14" s="116"/>
      <c r="DD14" s="112"/>
      <c r="DE14" s="112"/>
      <c r="DF14" s="112"/>
      <c r="DG14" s="112"/>
      <c r="DH14" s="112"/>
      <c r="DI14" s="112"/>
      <c r="DJ14" s="112"/>
      <c r="DK14" s="112"/>
      <c r="DL14" s="112"/>
      <c r="DM14" s="112"/>
      <c r="DN14" s="112"/>
      <c r="DO14" s="112"/>
      <c r="DP14" s="112"/>
      <c r="DQ14" s="112"/>
      <c r="DR14" s="112"/>
      <c r="DS14" s="112"/>
      <c r="DT14" s="112"/>
      <c r="DU14" s="112"/>
      <c r="DV14" s="112"/>
      <c r="DW14" s="117"/>
    </row>
    <row r="15" spans="6:127" x14ac:dyDescent="0.2">
      <c r="F15" s="116" t="s">
        <v>40</v>
      </c>
      <c r="G15" s="112"/>
      <c r="H15" s="112"/>
      <c r="I15" s="112"/>
      <c r="J15" s="112"/>
      <c r="K15" s="112"/>
      <c r="L15" s="112"/>
      <c r="M15" s="117"/>
      <c r="N15" s="116"/>
      <c r="O15" s="112"/>
      <c r="P15" s="112"/>
      <c r="Q15" s="112"/>
      <c r="R15" s="112"/>
      <c r="S15" s="112"/>
      <c r="T15" s="112"/>
      <c r="U15" s="112"/>
      <c r="V15" s="112"/>
      <c r="W15" s="112"/>
      <c r="X15" s="112"/>
      <c r="Y15" s="112"/>
      <c r="Z15" s="112"/>
      <c r="AA15" s="112"/>
      <c r="AB15" s="112"/>
      <c r="AC15" s="112"/>
      <c r="AD15" s="112"/>
      <c r="AE15" s="112"/>
      <c r="AF15" s="112"/>
      <c r="AG15" s="112"/>
      <c r="AH15" s="117"/>
      <c r="AK15" s="125"/>
      <c r="BM15" s="126"/>
      <c r="BP15" s="125"/>
      <c r="CR15" s="126"/>
      <c r="CU15" s="116" t="s">
        <v>40</v>
      </c>
      <c r="CV15" s="112"/>
      <c r="CW15" s="112"/>
      <c r="CX15" s="112"/>
      <c r="CY15" s="112"/>
      <c r="CZ15" s="112"/>
      <c r="DA15" s="112"/>
      <c r="DB15" s="117"/>
      <c r="DC15" s="116"/>
      <c r="DD15" s="112"/>
      <c r="DE15" s="112"/>
      <c r="DF15" s="112"/>
      <c r="DG15" s="112"/>
      <c r="DH15" s="112"/>
      <c r="DI15" s="112"/>
      <c r="DJ15" s="112"/>
      <c r="DK15" s="112"/>
      <c r="DL15" s="112"/>
      <c r="DM15" s="112"/>
      <c r="DN15" s="112"/>
      <c r="DO15" s="112"/>
      <c r="DP15" s="112"/>
      <c r="DQ15" s="112"/>
      <c r="DR15" s="112"/>
      <c r="DS15" s="112"/>
      <c r="DT15" s="112"/>
      <c r="DU15" s="112"/>
      <c r="DV15" s="112"/>
      <c r="DW15" s="117"/>
    </row>
    <row r="16" spans="6:127" x14ac:dyDescent="0.2">
      <c r="F16" s="116"/>
      <c r="G16" s="112"/>
      <c r="H16" s="112"/>
      <c r="I16" s="112"/>
      <c r="J16" s="112"/>
      <c r="K16" s="112"/>
      <c r="L16" s="112"/>
      <c r="M16" s="117"/>
      <c r="N16" s="116"/>
      <c r="O16" s="112"/>
      <c r="P16" s="112"/>
      <c r="Q16" s="112"/>
      <c r="R16" s="112"/>
      <c r="S16" s="112"/>
      <c r="T16" s="112"/>
      <c r="U16" s="112"/>
      <c r="V16" s="112"/>
      <c r="W16" s="112"/>
      <c r="X16" s="112"/>
      <c r="Y16" s="112"/>
      <c r="Z16" s="112"/>
      <c r="AA16" s="112"/>
      <c r="AB16" s="112"/>
      <c r="AC16" s="112"/>
      <c r="AD16" s="112"/>
      <c r="AE16" s="112"/>
      <c r="AF16" s="112"/>
      <c r="AG16" s="112"/>
      <c r="AH16" s="117"/>
      <c r="AK16" s="125"/>
      <c r="BM16" s="126"/>
      <c r="BP16" s="125"/>
      <c r="CR16" s="126"/>
      <c r="CU16" s="116"/>
      <c r="CV16" s="112"/>
      <c r="CW16" s="112"/>
      <c r="CX16" s="112"/>
      <c r="CY16" s="112"/>
      <c r="CZ16" s="112"/>
      <c r="DA16" s="112"/>
      <c r="DB16" s="117"/>
      <c r="DC16" s="116"/>
      <c r="DD16" s="112"/>
      <c r="DE16" s="112"/>
      <c r="DF16" s="112"/>
      <c r="DG16" s="112"/>
      <c r="DH16" s="112"/>
      <c r="DI16" s="112"/>
      <c r="DJ16" s="112"/>
      <c r="DK16" s="112"/>
      <c r="DL16" s="112"/>
      <c r="DM16" s="112"/>
      <c r="DN16" s="112"/>
      <c r="DO16" s="112"/>
      <c r="DP16" s="112"/>
      <c r="DQ16" s="112"/>
      <c r="DR16" s="112"/>
      <c r="DS16" s="112"/>
      <c r="DT16" s="112"/>
      <c r="DU16" s="112"/>
      <c r="DV16" s="112"/>
      <c r="DW16" s="117"/>
    </row>
    <row r="17" spans="6:127" x14ac:dyDescent="0.2">
      <c r="F17" s="116"/>
      <c r="G17" s="112"/>
      <c r="H17" s="112"/>
      <c r="I17" s="112"/>
      <c r="J17" s="112"/>
      <c r="K17" s="112"/>
      <c r="L17" s="112"/>
      <c r="M17" s="117"/>
      <c r="N17" s="116"/>
      <c r="O17" s="112"/>
      <c r="P17" s="112"/>
      <c r="Q17" s="112"/>
      <c r="R17" s="112"/>
      <c r="S17" s="112"/>
      <c r="T17" s="112"/>
      <c r="U17" s="112"/>
      <c r="V17" s="112"/>
      <c r="W17" s="112"/>
      <c r="X17" s="112"/>
      <c r="Y17" s="112"/>
      <c r="Z17" s="112"/>
      <c r="AA17" s="112"/>
      <c r="AB17" s="112"/>
      <c r="AC17" s="112"/>
      <c r="AD17" s="112"/>
      <c r="AE17" s="112"/>
      <c r="AF17" s="112"/>
      <c r="AG17" s="112"/>
      <c r="AH17" s="117"/>
      <c r="AK17" s="125"/>
      <c r="BM17" s="126"/>
      <c r="BP17" s="125"/>
      <c r="CR17" s="126"/>
      <c r="CU17" s="116"/>
      <c r="CV17" s="112"/>
      <c r="CW17" s="112"/>
      <c r="CX17" s="112"/>
      <c r="CY17" s="112"/>
      <c r="CZ17" s="112"/>
      <c r="DA17" s="112"/>
      <c r="DB17" s="117"/>
      <c r="DC17" s="116"/>
      <c r="DD17" s="112"/>
      <c r="DE17" s="112"/>
      <c r="DF17" s="112"/>
      <c r="DG17" s="112"/>
      <c r="DH17" s="112"/>
      <c r="DI17" s="112"/>
      <c r="DJ17" s="112"/>
      <c r="DK17" s="112"/>
      <c r="DL17" s="112"/>
      <c r="DM17" s="112"/>
      <c r="DN17" s="112"/>
      <c r="DO17" s="112"/>
      <c r="DP17" s="112"/>
      <c r="DQ17" s="112"/>
      <c r="DR17" s="112"/>
      <c r="DS17" s="112"/>
      <c r="DT17" s="112"/>
      <c r="DU17" s="112"/>
      <c r="DV17" s="112"/>
      <c r="DW17" s="117"/>
    </row>
    <row r="18" spans="6:127" x14ac:dyDescent="0.2">
      <c r="F18" s="118"/>
      <c r="G18" s="119"/>
      <c r="H18" s="119"/>
      <c r="I18" s="119"/>
      <c r="J18" s="119"/>
      <c r="K18" s="119"/>
      <c r="L18" s="119"/>
      <c r="M18" s="120"/>
      <c r="N18" s="118"/>
      <c r="O18" s="119"/>
      <c r="P18" s="119"/>
      <c r="Q18" s="119"/>
      <c r="R18" s="119"/>
      <c r="S18" s="119"/>
      <c r="T18" s="119"/>
      <c r="U18" s="119"/>
      <c r="V18" s="119"/>
      <c r="W18" s="119"/>
      <c r="X18" s="119"/>
      <c r="Y18" s="119"/>
      <c r="Z18" s="119"/>
      <c r="AA18" s="119"/>
      <c r="AB18" s="119"/>
      <c r="AC18" s="119"/>
      <c r="AD18" s="119"/>
      <c r="AE18" s="119"/>
      <c r="AF18" s="119"/>
      <c r="AG18" s="119"/>
      <c r="AH18" s="120"/>
      <c r="AK18" s="125"/>
      <c r="BM18" s="126"/>
      <c r="BP18" s="125"/>
      <c r="CR18" s="126"/>
      <c r="CU18" s="118"/>
      <c r="CV18" s="119"/>
      <c r="CW18" s="119"/>
      <c r="CX18" s="119"/>
      <c r="CY18" s="119"/>
      <c r="CZ18" s="119"/>
      <c r="DA18" s="119"/>
      <c r="DB18" s="120"/>
      <c r="DC18" s="118"/>
      <c r="DD18" s="119"/>
      <c r="DE18" s="119"/>
      <c r="DF18" s="119"/>
      <c r="DG18" s="119"/>
      <c r="DH18" s="119"/>
      <c r="DI18" s="119"/>
      <c r="DJ18" s="119"/>
      <c r="DK18" s="119"/>
      <c r="DL18" s="119"/>
      <c r="DM18" s="119"/>
      <c r="DN18" s="119"/>
      <c r="DO18" s="119"/>
      <c r="DP18" s="119"/>
      <c r="DQ18" s="119"/>
      <c r="DR18" s="119"/>
      <c r="DS18" s="119"/>
      <c r="DT18" s="119"/>
      <c r="DU18" s="119"/>
      <c r="DV18" s="119"/>
      <c r="DW18" s="120"/>
    </row>
    <row r="19" spans="6:127" x14ac:dyDescent="0.2">
      <c r="F19" s="113"/>
      <c r="G19" s="114"/>
      <c r="H19" s="114"/>
      <c r="I19" s="114"/>
      <c r="J19" s="114"/>
      <c r="K19" s="114"/>
      <c r="L19" s="114"/>
      <c r="M19" s="115"/>
      <c r="N19" s="113"/>
      <c r="O19" s="114"/>
      <c r="P19" s="114"/>
      <c r="Q19" s="114"/>
      <c r="R19" s="114"/>
      <c r="S19" s="114"/>
      <c r="T19" s="114"/>
      <c r="U19" s="114"/>
      <c r="V19" s="114"/>
      <c r="W19" s="114"/>
      <c r="X19" s="114"/>
      <c r="Y19" s="114"/>
      <c r="Z19" s="114"/>
      <c r="AA19" s="114"/>
      <c r="AB19" s="114"/>
      <c r="AC19" s="114"/>
      <c r="AD19" s="114"/>
      <c r="AE19" s="114"/>
      <c r="AF19" s="114"/>
      <c r="AG19" s="114"/>
      <c r="AH19" s="115"/>
      <c r="AK19" s="125"/>
      <c r="BM19" s="126"/>
      <c r="BP19" s="125"/>
      <c r="CR19" s="126"/>
      <c r="CU19" s="113"/>
      <c r="CV19" s="114"/>
      <c r="CW19" s="114"/>
      <c r="CX19" s="114"/>
      <c r="CY19" s="114"/>
      <c r="CZ19" s="114"/>
      <c r="DA19" s="114"/>
      <c r="DB19" s="115"/>
      <c r="DC19" s="113"/>
      <c r="DD19" s="114"/>
      <c r="DE19" s="114"/>
      <c r="DF19" s="114"/>
      <c r="DG19" s="114"/>
      <c r="DH19" s="114"/>
      <c r="DI19" s="114"/>
      <c r="DJ19" s="114"/>
      <c r="DK19" s="114"/>
      <c r="DL19" s="114"/>
      <c r="DM19" s="114"/>
      <c r="DN19" s="114"/>
      <c r="DO19" s="114"/>
      <c r="DP19" s="114"/>
      <c r="DQ19" s="114"/>
      <c r="DR19" s="114"/>
      <c r="DS19" s="114"/>
      <c r="DT19" s="114"/>
      <c r="DU19" s="114"/>
      <c r="DV19" s="114"/>
      <c r="DW19" s="115"/>
    </row>
    <row r="20" spans="6:127" x14ac:dyDescent="0.2">
      <c r="F20" s="116" t="s">
        <v>41</v>
      </c>
      <c r="G20" s="112"/>
      <c r="H20" s="112"/>
      <c r="I20" s="112"/>
      <c r="J20" s="112"/>
      <c r="K20" s="112"/>
      <c r="L20" s="112"/>
      <c r="M20" s="117"/>
      <c r="N20" s="116"/>
      <c r="O20" s="112"/>
      <c r="P20" s="112"/>
      <c r="Q20" s="112"/>
      <c r="R20" s="112"/>
      <c r="S20" s="112"/>
      <c r="T20" s="112"/>
      <c r="U20" s="112"/>
      <c r="V20" s="112"/>
      <c r="W20" s="112"/>
      <c r="X20" s="112"/>
      <c r="Y20" s="112"/>
      <c r="Z20" s="112"/>
      <c r="AA20" s="112"/>
      <c r="AB20" s="112"/>
      <c r="AC20" s="112"/>
      <c r="AD20" s="112"/>
      <c r="AE20" s="112"/>
      <c r="AF20" s="112"/>
      <c r="AG20" s="112"/>
      <c r="AH20" s="117"/>
      <c r="AK20" s="125"/>
      <c r="BM20" s="126"/>
      <c r="BP20" s="125"/>
      <c r="CR20" s="126"/>
      <c r="CU20" s="116" t="s">
        <v>41</v>
      </c>
      <c r="CV20" s="112"/>
      <c r="CW20" s="112"/>
      <c r="CX20" s="112"/>
      <c r="CY20" s="112"/>
      <c r="CZ20" s="112"/>
      <c r="DA20" s="112"/>
      <c r="DB20" s="117"/>
      <c r="DC20" s="116"/>
      <c r="DD20" s="112"/>
      <c r="DE20" s="112"/>
      <c r="DF20" s="112"/>
      <c r="DG20" s="112"/>
      <c r="DH20" s="112"/>
      <c r="DI20" s="112"/>
      <c r="DJ20" s="112"/>
      <c r="DK20" s="112"/>
      <c r="DL20" s="112"/>
      <c r="DM20" s="112"/>
      <c r="DN20" s="112"/>
      <c r="DO20" s="112"/>
      <c r="DP20" s="112"/>
      <c r="DQ20" s="112"/>
      <c r="DR20" s="112"/>
      <c r="DS20" s="112"/>
      <c r="DT20" s="112"/>
      <c r="DU20" s="112"/>
      <c r="DV20" s="112"/>
      <c r="DW20" s="117"/>
    </row>
    <row r="21" spans="6:127" x14ac:dyDescent="0.2">
      <c r="F21" s="116" t="s">
        <v>42</v>
      </c>
      <c r="G21" s="112"/>
      <c r="H21" s="112"/>
      <c r="I21" s="112"/>
      <c r="J21" s="112"/>
      <c r="K21" s="112"/>
      <c r="L21" s="112"/>
      <c r="M21" s="117"/>
      <c r="N21" s="116"/>
      <c r="O21" s="112"/>
      <c r="P21" s="112"/>
      <c r="Q21" s="112"/>
      <c r="R21" s="112"/>
      <c r="S21" s="112"/>
      <c r="T21" s="112"/>
      <c r="U21" s="112"/>
      <c r="V21" s="112"/>
      <c r="W21" s="112"/>
      <c r="X21" s="112"/>
      <c r="Y21" s="112"/>
      <c r="Z21" s="112"/>
      <c r="AA21" s="112"/>
      <c r="AB21" s="112"/>
      <c r="AC21" s="112"/>
      <c r="AD21" s="112"/>
      <c r="AE21" s="112"/>
      <c r="AF21" s="112"/>
      <c r="AG21" s="112"/>
      <c r="AH21" s="117"/>
      <c r="AK21" s="125"/>
      <c r="BM21" s="126"/>
      <c r="BP21" s="125"/>
      <c r="CR21" s="126"/>
      <c r="CU21" s="116" t="s">
        <v>42</v>
      </c>
      <c r="CV21" s="112"/>
      <c r="CW21" s="112"/>
      <c r="CX21" s="112"/>
      <c r="CY21" s="112"/>
      <c r="CZ21" s="112"/>
      <c r="DA21" s="112"/>
      <c r="DB21" s="117"/>
      <c r="DC21" s="116"/>
      <c r="DD21" s="112"/>
      <c r="DE21" s="112"/>
      <c r="DF21" s="112"/>
      <c r="DG21" s="112"/>
      <c r="DH21" s="112"/>
      <c r="DI21" s="112"/>
      <c r="DJ21" s="112"/>
      <c r="DK21" s="112"/>
      <c r="DL21" s="112"/>
      <c r="DM21" s="112"/>
      <c r="DN21" s="112"/>
      <c r="DO21" s="112"/>
      <c r="DP21" s="112"/>
      <c r="DQ21" s="112"/>
      <c r="DR21" s="112"/>
      <c r="DS21" s="112"/>
      <c r="DT21" s="112"/>
      <c r="DU21" s="112"/>
      <c r="DV21" s="112"/>
      <c r="DW21" s="117"/>
    </row>
    <row r="22" spans="6:127" x14ac:dyDescent="0.2">
      <c r="F22" s="116"/>
      <c r="G22" s="112"/>
      <c r="H22" s="112"/>
      <c r="I22" s="112"/>
      <c r="J22" s="112"/>
      <c r="K22" s="112"/>
      <c r="L22" s="112"/>
      <c r="M22" s="117"/>
      <c r="N22" s="116"/>
      <c r="O22" s="112"/>
      <c r="P22" s="112"/>
      <c r="Q22" s="112"/>
      <c r="R22" s="112"/>
      <c r="S22" s="112"/>
      <c r="T22" s="112"/>
      <c r="U22" s="112"/>
      <c r="V22" s="112"/>
      <c r="W22" s="112"/>
      <c r="X22" s="112"/>
      <c r="Y22" s="112"/>
      <c r="Z22" s="112"/>
      <c r="AA22" s="112"/>
      <c r="AB22" s="112"/>
      <c r="AC22" s="112"/>
      <c r="AD22" s="112"/>
      <c r="AE22" s="112"/>
      <c r="AF22" s="112"/>
      <c r="AG22" s="112"/>
      <c r="AH22" s="117"/>
      <c r="AK22" s="125"/>
      <c r="BM22" s="126"/>
      <c r="BP22" s="125"/>
      <c r="CR22" s="126"/>
      <c r="CU22" s="116"/>
      <c r="CV22" s="112"/>
      <c r="CW22" s="112"/>
      <c r="CX22" s="112"/>
      <c r="CY22" s="112"/>
      <c r="CZ22" s="112"/>
      <c r="DA22" s="112"/>
      <c r="DB22" s="117"/>
      <c r="DC22" s="116"/>
      <c r="DD22" s="112"/>
      <c r="DE22" s="112"/>
      <c r="DF22" s="112"/>
      <c r="DG22" s="112"/>
      <c r="DH22" s="112"/>
      <c r="DI22" s="112"/>
      <c r="DJ22" s="112"/>
      <c r="DK22" s="112"/>
      <c r="DL22" s="112"/>
      <c r="DM22" s="112"/>
      <c r="DN22" s="112"/>
      <c r="DO22" s="112"/>
      <c r="DP22" s="112"/>
      <c r="DQ22" s="112"/>
      <c r="DR22" s="112"/>
      <c r="DS22" s="112"/>
      <c r="DT22" s="112"/>
      <c r="DU22" s="112"/>
      <c r="DV22" s="112"/>
      <c r="DW22" s="117"/>
    </row>
    <row r="23" spans="6:127" x14ac:dyDescent="0.2">
      <c r="F23" s="116"/>
      <c r="G23" s="112"/>
      <c r="H23" s="112"/>
      <c r="I23" s="112"/>
      <c r="J23" s="112"/>
      <c r="K23" s="112"/>
      <c r="L23" s="112"/>
      <c r="M23" s="117"/>
      <c r="N23" s="116"/>
      <c r="O23" s="112"/>
      <c r="P23" s="112"/>
      <c r="Q23" s="112"/>
      <c r="R23" s="112"/>
      <c r="S23" s="112"/>
      <c r="T23" s="112"/>
      <c r="U23" s="112"/>
      <c r="V23" s="112"/>
      <c r="W23" s="112"/>
      <c r="X23" s="112"/>
      <c r="Y23" s="112"/>
      <c r="Z23" s="112"/>
      <c r="AA23" s="112"/>
      <c r="AB23" s="112"/>
      <c r="AC23" s="112"/>
      <c r="AD23" s="112"/>
      <c r="AE23" s="112"/>
      <c r="AF23" s="112"/>
      <c r="AG23" s="112"/>
      <c r="AH23" s="117"/>
      <c r="AK23" s="125"/>
      <c r="BM23" s="126"/>
      <c r="BP23" s="125"/>
      <c r="CR23" s="126"/>
      <c r="CU23" s="116"/>
      <c r="CV23" s="112"/>
      <c r="CW23" s="112"/>
      <c r="CX23" s="112"/>
      <c r="CY23" s="112"/>
      <c r="CZ23" s="112"/>
      <c r="DA23" s="112"/>
      <c r="DB23" s="117"/>
      <c r="DC23" s="116"/>
      <c r="DD23" s="112"/>
      <c r="DE23" s="112"/>
      <c r="DF23" s="112"/>
      <c r="DG23" s="112"/>
      <c r="DH23" s="112"/>
      <c r="DI23" s="112"/>
      <c r="DJ23" s="112"/>
      <c r="DK23" s="112"/>
      <c r="DL23" s="112"/>
      <c r="DM23" s="112"/>
      <c r="DN23" s="112"/>
      <c r="DO23" s="112"/>
      <c r="DP23" s="112"/>
      <c r="DQ23" s="112"/>
      <c r="DR23" s="112"/>
      <c r="DS23" s="112"/>
      <c r="DT23" s="112"/>
      <c r="DU23" s="112"/>
      <c r="DV23" s="112"/>
      <c r="DW23" s="117"/>
    </row>
    <row r="24" spans="6:127" x14ac:dyDescent="0.2">
      <c r="F24" s="118"/>
      <c r="G24" s="119"/>
      <c r="H24" s="119"/>
      <c r="I24" s="119"/>
      <c r="J24" s="119"/>
      <c r="K24" s="119"/>
      <c r="L24" s="119"/>
      <c r="M24" s="120"/>
      <c r="N24" s="118"/>
      <c r="O24" s="119"/>
      <c r="P24" s="119"/>
      <c r="Q24" s="119"/>
      <c r="R24" s="119"/>
      <c r="S24" s="119"/>
      <c r="T24" s="119"/>
      <c r="U24" s="119"/>
      <c r="V24" s="119"/>
      <c r="W24" s="119"/>
      <c r="X24" s="119"/>
      <c r="Y24" s="119"/>
      <c r="Z24" s="119"/>
      <c r="AA24" s="119"/>
      <c r="AB24" s="119"/>
      <c r="AC24" s="119"/>
      <c r="AD24" s="119"/>
      <c r="AE24" s="119"/>
      <c r="AF24" s="119"/>
      <c r="AG24" s="119"/>
      <c r="AH24" s="120"/>
      <c r="AK24" s="125"/>
      <c r="BM24" s="126"/>
      <c r="BP24" s="125"/>
      <c r="CR24" s="126"/>
      <c r="CU24" s="118"/>
      <c r="CV24" s="119"/>
      <c r="CW24" s="119"/>
      <c r="CX24" s="119"/>
      <c r="CY24" s="119"/>
      <c r="CZ24" s="119"/>
      <c r="DA24" s="119"/>
      <c r="DB24" s="120"/>
      <c r="DC24" s="118"/>
      <c r="DD24" s="119"/>
      <c r="DE24" s="119"/>
      <c r="DF24" s="119"/>
      <c r="DG24" s="119"/>
      <c r="DH24" s="119"/>
      <c r="DI24" s="119"/>
      <c r="DJ24" s="119"/>
      <c r="DK24" s="119"/>
      <c r="DL24" s="119"/>
      <c r="DM24" s="119"/>
      <c r="DN24" s="119"/>
      <c r="DO24" s="119"/>
      <c r="DP24" s="119"/>
      <c r="DQ24" s="119"/>
      <c r="DR24" s="119"/>
      <c r="DS24" s="119"/>
      <c r="DT24" s="119"/>
      <c r="DU24" s="119"/>
      <c r="DV24" s="119"/>
      <c r="DW24" s="120"/>
    </row>
    <row r="25" spans="6:127" x14ac:dyDescent="0.2">
      <c r="AK25" s="125"/>
      <c r="BM25" s="126"/>
      <c r="BP25" s="125"/>
      <c r="CR25" s="126"/>
    </row>
    <row r="26" spans="6:127" x14ac:dyDescent="0.2">
      <c r="F26" s="112" t="s">
        <v>192</v>
      </c>
      <c r="AK26" s="127"/>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8"/>
      <c r="BP26" s="125"/>
      <c r="CR26" s="126"/>
      <c r="CU26" s="110" t="s">
        <v>49</v>
      </c>
      <c r="DL26" s="110" t="s">
        <v>51</v>
      </c>
    </row>
    <row r="27" spans="6:127" x14ac:dyDescent="0.2">
      <c r="F27" s="112" t="s">
        <v>43</v>
      </c>
      <c r="BP27" s="125"/>
      <c r="CR27" s="126"/>
      <c r="CU27" s="129" t="s">
        <v>27</v>
      </c>
      <c r="CV27" s="130"/>
      <c r="CW27" s="130"/>
      <c r="CX27" s="131"/>
      <c r="CY27" s="129" t="s">
        <v>50</v>
      </c>
      <c r="CZ27" s="130"/>
      <c r="DA27" s="130"/>
      <c r="DB27" s="130"/>
      <c r="DC27" s="130"/>
      <c r="DD27" s="130"/>
      <c r="DE27" s="130"/>
      <c r="DF27" s="130"/>
      <c r="DG27" s="130"/>
      <c r="DH27" s="130"/>
      <c r="DI27" s="130"/>
      <c r="DJ27" s="131"/>
    </row>
    <row r="28" spans="6:127" x14ac:dyDescent="0.2">
      <c r="AK28" s="132" t="s">
        <v>64</v>
      </c>
      <c r="BP28" s="125"/>
      <c r="CR28" s="126"/>
      <c r="CU28" s="122"/>
      <c r="CV28" s="123"/>
      <c r="CW28" s="123"/>
      <c r="CX28" s="124"/>
      <c r="CY28" s="122"/>
      <c r="CZ28" s="123"/>
      <c r="DA28" s="123"/>
      <c r="DB28" s="123"/>
      <c r="DC28" s="123"/>
      <c r="DD28" s="123"/>
      <c r="DE28" s="123"/>
      <c r="DF28" s="123"/>
      <c r="DG28" s="123"/>
      <c r="DH28" s="123"/>
      <c r="DI28" s="123"/>
      <c r="DJ28" s="124"/>
    </row>
    <row r="29" spans="6:127" x14ac:dyDescent="0.2">
      <c r="F29" s="121" t="s">
        <v>46</v>
      </c>
      <c r="G29" s="121"/>
      <c r="H29" s="121"/>
      <c r="I29" s="121"/>
      <c r="J29" s="121"/>
      <c r="K29" s="121"/>
      <c r="L29" s="121"/>
      <c r="M29" s="121"/>
      <c r="N29" s="121"/>
      <c r="O29" s="121"/>
      <c r="Q29" s="119" t="s">
        <v>44</v>
      </c>
      <c r="R29" s="119"/>
      <c r="S29" s="119"/>
      <c r="T29" s="119"/>
      <c r="U29" s="119"/>
      <c r="V29" s="119"/>
      <c r="W29" s="119"/>
      <c r="X29" s="119"/>
      <c r="Y29" s="119"/>
      <c r="Z29" s="119"/>
      <c r="AA29" s="119"/>
      <c r="AB29" s="119"/>
      <c r="AC29" s="119"/>
      <c r="AD29" s="119"/>
      <c r="AE29" s="119"/>
      <c r="AF29" s="119"/>
      <c r="AG29" s="119"/>
      <c r="AH29" s="119"/>
      <c r="AK29" s="122"/>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4"/>
      <c r="BP29" s="125"/>
      <c r="CR29" s="126"/>
      <c r="CU29" s="125"/>
      <c r="CX29" s="126"/>
      <c r="CY29" s="125"/>
      <c r="DJ29" s="126"/>
    </row>
    <row r="30" spans="6:127" x14ac:dyDescent="0.2">
      <c r="AK30" s="125"/>
      <c r="BM30" s="126"/>
      <c r="BP30" s="125"/>
      <c r="CR30" s="126"/>
      <c r="CU30" s="127"/>
      <c r="CV30" s="121"/>
      <c r="CW30" s="121"/>
      <c r="CX30" s="128"/>
      <c r="CY30" s="127"/>
      <c r="CZ30" s="121"/>
      <c r="DA30" s="121"/>
      <c r="DB30" s="121"/>
      <c r="DC30" s="121"/>
      <c r="DD30" s="121"/>
      <c r="DE30" s="121"/>
      <c r="DF30" s="121"/>
      <c r="DG30" s="121"/>
      <c r="DH30" s="121"/>
      <c r="DI30" s="121"/>
      <c r="DJ30" s="128"/>
    </row>
    <row r="31" spans="6:127" x14ac:dyDescent="0.2">
      <c r="AK31" s="125"/>
      <c r="BM31" s="126"/>
      <c r="BP31" s="125"/>
      <c r="CR31" s="126"/>
      <c r="CU31" s="122"/>
      <c r="CV31" s="123"/>
      <c r="CW31" s="123"/>
      <c r="CX31" s="124"/>
      <c r="CY31" s="122"/>
      <c r="CZ31" s="123"/>
      <c r="DA31" s="123"/>
      <c r="DB31" s="123"/>
      <c r="DC31" s="123"/>
      <c r="DD31" s="123"/>
      <c r="DE31" s="123"/>
      <c r="DF31" s="123"/>
      <c r="DG31" s="123"/>
      <c r="DH31" s="123"/>
      <c r="DI31" s="123"/>
      <c r="DJ31" s="124"/>
    </row>
    <row r="32" spans="6:127" x14ac:dyDescent="0.2">
      <c r="AK32" s="125"/>
      <c r="BM32" s="126"/>
      <c r="BP32" s="125"/>
      <c r="CR32" s="126"/>
      <c r="CU32" s="125"/>
      <c r="CX32" s="126"/>
      <c r="CY32" s="125"/>
      <c r="DJ32" s="126"/>
      <c r="DL32" s="159" t="s">
        <v>56</v>
      </c>
    </row>
    <row r="33" spans="6:127" x14ac:dyDescent="0.2">
      <c r="AK33" s="125"/>
      <c r="BM33" s="126"/>
      <c r="BP33" s="127"/>
      <c r="BQ33" s="121"/>
      <c r="BR33" s="121"/>
      <c r="BS33" s="121"/>
      <c r="BT33" s="121"/>
      <c r="BU33" s="121"/>
      <c r="BV33" s="121"/>
      <c r="BW33" s="121"/>
      <c r="BX33" s="121"/>
      <c r="BY33" s="121"/>
      <c r="BZ33" s="121"/>
      <c r="CA33" s="121"/>
      <c r="CB33" s="121"/>
      <c r="CC33" s="121"/>
      <c r="CD33" s="121"/>
      <c r="CE33" s="121"/>
      <c r="CF33" s="121"/>
      <c r="CG33" s="121"/>
      <c r="CH33" s="121"/>
      <c r="CI33" s="121"/>
      <c r="CJ33" s="121"/>
      <c r="CK33" s="121"/>
      <c r="CL33" s="121"/>
      <c r="CM33" s="121"/>
      <c r="CN33" s="121"/>
      <c r="CO33" s="121"/>
      <c r="CP33" s="121"/>
      <c r="CQ33" s="121"/>
      <c r="CR33" s="128"/>
      <c r="CU33" s="127"/>
      <c r="CV33" s="121"/>
      <c r="CW33" s="121"/>
      <c r="CX33" s="128"/>
      <c r="CY33" s="127"/>
      <c r="CZ33" s="121"/>
      <c r="DA33" s="121"/>
      <c r="DB33" s="121"/>
      <c r="DC33" s="121"/>
      <c r="DD33" s="121"/>
      <c r="DE33" s="121"/>
      <c r="DF33" s="121"/>
      <c r="DG33" s="121"/>
      <c r="DH33" s="121"/>
      <c r="DI33" s="121"/>
      <c r="DJ33" s="128"/>
    </row>
    <row r="34" spans="6:127" x14ac:dyDescent="0.2">
      <c r="AK34" s="125"/>
      <c r="BM34" s="126"/>
      <c r="CU34" s="122"/>
      <c r="CV34" s="123"/>
      <c r="CW34" s="123"/>
      <c r="CX34" s="124"/>
      <c r="CY34" s="122"/>
      <c r="CZ34" s="123"/>
      <c r="DA34" s="123"/>
      <c r="DB34" s="123"/>
      <c r="DC34" s="123"/>
      <c r="DD34" s="123"/>
      <c r="DE34" s="123"/>
      <c r="DF34" s="123"/>
      <c r="DG34" s="123"/>
      <c r="DH34" s="123"/>
      <c r="DI34" s="123"/>
      <c r="DJ34" s="124"/>
    </row>
    <row r="35" spans="6:127" x14ac:dyDescent="0.2">
      <c r="F35" s="109" t="s">
        <v>33</v>
      </c>
      <c r="AK35" s="125"/>
      <c r="BM35" s="126"/>
      <c r="BP35" s="110" t="s">
        <v>55</v>
      </c>
      <c r="CU35" s="125"/>
      <c r="CX35" s="126"/>
      <c r="CY35" s="125"/>
      <c r="DJ35" s="126"/>
    </row>
    <row r="36" spans="6:127" x14ac:dyDescent="0.2">
      <c r="AK36" s="125"/>
      <c r="BM36" s="126"/>
      <c r="BP36" s="122"/>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4"/>
      <c r="CU36" s="127"/>
      <c r="CV36" s="121"/>
      <c r="CW36" s="121"/>
      <c r="CX36" s="128"/>
      <c r="CY36" s="127"/>
      <c r="CZ36" s="121"/>
      <c r="DA36" s="121"/>
      <c r="DB36" s="121"/>
      <c r="DC36" s="121"/>
      <c r="DD36" s="121"/>
      <c r="DE36" s="121"/>
      <c r="DF36" s="121"/>
      <c r="DG36" s="121"/>
      <c r="DH36" s="121"/>
      <c r="DI36" s="121"/>
      <c r="DJ36" s="128"/>
    </row>
    <row r="37" spans="6:127" ht="16.5" x14ac:dyDescent="0.2">
      <c r="F37" s="158" t="s">
        <v>34</v>
      </c>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K37" s="125"/>
      <c r="BM37" s="126"/>
      <c r="BP37" s="125"/>
      <c r="CR37" s="126"/>
      <c r="CU37" s="122"/>
      <c r="CV37" s="123"/>
      <c r="CW37" s="123"/>
      <c r="CX37" s="124"/>
      <c r="CY37" s="122"/>
      <c r="CZ37" s="123"/>
      <c r="DA37" s="123"/>
      <c r="DB37" s="123"/>
      <c r="DC37" s="123"/>
      <c r="DD37" s="123"/>
      <c r="DE37" s="123"/>
      <c r="DF37" s="123"/>
      <c r="DG37" s="123"/>
      <c r="DH37" s="123"/>
      <c r="DI37" s="123"/>
      <c r="DJ37" s="124"/>
    </row>
    <row r="38" spans="6:127" x14ac:dyDescent="0.2">
      <c r="AK38" s="125"/>
      <c r="BM38" s="126"/>
      <c r="BP38" s="125"/>
      <c r="CR38" s="126"/>
      <c r="CU38" s="125"/>
      <c r="CX38" s="126"/>
      <c r="CY38" s="125"/>
      <c r="DJ38" s="126"/>
    </row>
    <row r="39" spans="6:127" x14ac:dyDescent="0.2">
      <c r="AK39" s="125"/>
      <c r="BM39" s="126"/>
      <c r="BP39" s="125"/>
      <c r="CR39" s="126"/>
      <c r="CU39" s="127"/>
      <c r="CV39" s="121"/>
      <c r="CW39" s="121"/>
      <c r="CX39" s="128"/>
      <c r="CY39" s="127"/>
      <c r="CZ39" s="121"/>
      <c r="DA39" s="121"/>
      <c r="DB39" s="121"/>
      <c r="DC39" s="121"/>
      <c r="DD39" s="121"/>
      <c r="DE39" s="121"/>
      <c r="DF39" s="121"/>
      <c r="DG39" s="121"/>
      <c r="DH39" s="121"/>
      <c r="DI39" s="121"/>
      <c r="DJ39" s="128"/>
    </row>
    <row r="40" spans="6:127" x14ac:dyDescent="0.2">
      <c r="F40" s="112" t="s">
        <v>35</v>
      </c>
      <c r="AK40" s="125"/>
      <c r="BM40" s="126"/>
      <c r="BP40" s="125"/>
      <c r="CR40" s="126"/>
      <c r="CU40" s="122"/>
      <c r="CV40" s="123"/>
      <c r="CW40" s="123"/>
      <c r="CX40" s="124"/>
      <c r="CY40" s="122"/>
      <c r="CZ40" s="123"/>
      <c r="DA40" s="123"/>
      <c r="DB40" s="123"/>
      <c r="DC40" s="123"/>
      <c r="DD40" s="123"/>
      <c r="DE40" s="123"/>
      <c r="DF40" s="123"/>
      <c r="DG40" s="123"/>
      <c r="DH40" s="123"/>
      <c r="DI40" s="123"/>
      <c r="DJ40" s="124"/>
    </row>
    <row r="41" spans="6:127" x14ac:dyDescent="0.2">
      <c r="F41" s="112" t="s">
        <v>36</v>
      </c>
      <c r="AK41" s="125"/>
      <c r="BM41" s="126"/>
      <c r="BP41" s="125"/>
      <c r="CR41" s="126"/>
      <c r="CU41" s="125"/>
      <c r="CX41" s="126"/>
      <c r="CY41" s="125"/>
      <c r="DJ41" s="126"/>
    </row>
    <row r="42" spans="6:127" x14ac:dyDescent="0.2">
      <c r="F42" s="112" t="s">
        <v>37</v>
      </c>
      <c r="AK42" s="125"/>
      <c r="BM42" s="126"/>
      <c r="BP42" s="125"/>
      <c r="CR42" s="126"/>
      <c r="CU42" s="127"/>
      <c r="CV42" s="121"/>
      <c r="CW42" s="121"/>
      <c r="CX42" s="128"/>
      <c r="CY42" s="127"/>
      <c r="CZ42" s="121"/>
      <c r="DA42" s="121"/>
      <c r="DB42" s="121"/>
      <c r="DC42" s="121"/>
      <c r="DD42" s="121"/>
      <c r="DE42" s="121"/>
      <c r="DF42" s="121"/>
      <c r="DG42" s="121"/>
      <c r="DH42" s="121"/>
      <c r="DI42" s="121"/>
      <c r="DJ42" s="128"/>
    </row>
    <row r="43" spans="6:127" x14ac:dyDescent="0.2">
      <c r="F43" s="112" t="s">
        <v>45</v>
      </c>
      <c r="AK43" s="127"/>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8"/>
      <c r="BP43" s="125"/>
      <c r="CR43" s="126"/>
      <c r="CU43" s="122"/>
      <c r="CV43" s="123"/>
      <c r="CW43" s="123"/>
      <c r="CX43" s="124"/>
      <c r="CY43" s="122"/>
      <c r="CZ43" s="123"/>
      <c r="DA43" s="123"/>
      <c r="DB43" s="123"/>
      <c r="DC43" s="123"/>
      <c r="DD43" s="123"/>
      <c r="DE43" s="123"/>
      <c r="DF43" s="123"/>
      <c r="DG43" s="123"/>
      <c r="DH43" s="123"/>
      <c r="DI43" s="123"/>
      <c r="DJ43" s="124"/>
    </row>
    <row r="44" spans="6:127" x14ac:dyDescent="0.2">
      <c r="F44" s="112" t="s">
        <v>38</v>
      </c>
      <c r="BP44" s="125"/>
      <c r="CR44" s="126"/>
      <c r="CU44" s="125"/>
      <c r="CX44" s="126"/>
      <c r="CY44" s="125"/>
      <c r="DJ44" s="126"/>
    </row>
    <row r="45" spans="6:127" x14ac:dyDescent="0.2">
      <c r="AK45" s="110" t="s">
        <v>55</v>
      </c>
      <c r="BP45" s="125"/>
      <c r="CR45" s="126"/>
      <c r="CU45" s="127"/>
      <c r="CV45" s="121"/>
      <c r="CW45" s="121"/>
      <c r="CX45" s="128"/>
      <c r="CY45" s="127"/>
      <c r="CZ45" s="121"/>
      <c r="DA45" s="121"/>
      <c r="DB45" s="121"/>
      <c r="DC45" s="121"/>
      <c r="DD45" s="121"/>
      <c r="DE45" s="121"/>
      <c r="DF45" s="121"/>
      <c r="DG45" s="121"/>
      <c r="DH45" s="121"/>
      <c r="DI45" s="121"/>
      <c r="DJ45" s="128"/>
    </row>
    <row r="46" spans="6:127" x14ac:dyDescent="0.2">
      <c r="F46" s="113"/>
      <c r="G46" s="114"/>
      <c r="H46" s="114"/>
      <c r="I46" s="114"/>
      <c r="J46" s="114"/>
      <c r="K46" s="114"/>
      <c r="L46" s="114"/>
      <c r="M46" s="115"/>
      <c r="N46" s="113"/>
      <c r="O46" s="114"/>
      <c r="P46" s="114"/>
      <c r="Q46" s="114"/>
      <c r="R46" s="114"/>
      <c r="S46" s="114"/>
      <c r="T46" s="114"/>
      <c r="U46" s="114"/>
      <c r="V46" s="114"/>
      <c r="W46" s="114"/>
      <c r="X46" s="114"/>
      <c r="Y46" s="114"/>
      <c r="Z46" s="114"/>
      <c r="AA46" s="114"/>
      <c r="AB46" s="114"/>
      <c r="AC46" s="114"/>
      <c r="AD46" s="114"/>
      <c r="AE46" s="114"/>
      <c r="AF46" s="114"/>
      <c r="AG46" s="114"/>
      <c r="AH46" s="115"/>
      <c r="AK46" s="122"/>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4"/>
      <c r="BP46" s="125"/>
      <c r="CR46" s="126"/>
    </row>
    <row r="47" spans="6:127" x14ac:dyDescent="0.2">
      <c r="F47" s="116" t="s">
        <v>39</v>
      </c>
      <c r="G47" s="112"/>
      <c r="H47" s="112"/>
      <c r="I47" s="112"/>
      <c r="J47" s="112"/>
      <c r="K47" s="112"/>
      <c r="L47" s="112"/>
      <c r="M47" s="117"/>
      <c r="N47" s="116"/>
      <c r="O47" s="112"/>
      <c r="P47" s="112"/>
      <c r="Q47" s="112"/>
      <c r="R47" s="112"/>
      <c r="S47" s="112"/>
      <c r="T47" s="112"/>
      <c r="U47" s="112"/>
      <c r="V47" s="112"/>
      <c r="W47" s="112"/>
      <c r="X47" s="112"/>
      <c r="Y47" s="112"/>
      <c r="Z47" s="112"/>
      <c r="AA47" s="112"/>
      <c r="AB47" s="112"/>
      <c r="AC47" s="112"/>
      <c r="AD47" s="112"/>
      <c r="AE47" s="112"/>
      <c r="AF47" s="112"/>
      <c r="AG47" s="112"/>
      <c r="AH47" s="117"/>
      <c r="AK47" s="125"/>
      <c r="BM47" s="126"/>
      <c r="BP47" s="125"/>
      <c r="CR47" s="126"/>
      <c r="CU47" s="132" t="s">
        <v>66</v>
      </c>
    </row>
    <row r="48" spans="6:127" x14ac:dyDescent="0.2">
      <c r="F48" s="116" t="s">
        <v>40</v>
      </c>
      <c r="G48" s="112"/>
      <c r="H48" s="112"/>
      <c r="I48" s="112"/>
      <c r="J48" s="112"/>
      <c r="K48" s="112"/>
      <c r="L48" s="112"/>
      <c r="M48" s="117"/>
      <c r="N48" s="116"/>
      <c r="O48" s="112"/>
      <c r="P48" s="112"/>
      <c r="Q48" s="112"/>
      <c r="R48" s="112"/>
      <c r="S48" s="112"/>
      <c r="T48" s="112"/>
      <c r="U48" s="112"/>
      <c r="V48" s="112"/>
      <c r="W48" s="112"/>
      <c r="X48" s="112"/>
      <c r="Y48" s="112"/>
      <c r="Z48" s="112"/>
      <c r="AA48" s="112"/>
      <c r="AB48" s="112"/>
      <c r="AC48" s="112"/>
      <c r="AD48" s="112"/>
      <c r="AE48" s="112"/>
      <c r="AF48" s="112"/>
      <c r="AG48" s="112"/>
      <c r="AH48" s="117"/>
      <c r="AK48" s="125"/>
      <c r="BM48" s="126"/>
      <c r="BP48" s="125"/>
      <c r="CR48" s="126"/>
      <c r="CU48" s="122"/>
      <c r="CV48" s="123"/>
      <c r="CW48" s="123"/>
      <c r="CX48" s="123"/>
      <c r="CY48" s="123"/>
      <c r="CZ48" s="123"/>
      <c r="DA48" s="123"/>
      <c r="DB48" s="123"/>
      <c r="DC48" s="123"/>
      <c r="DD48" s="123"/>
      <c r="DE48" s="123"/>
      <c r="DF48" s="123"/>
      <c r="DG48" s="123"/>
      <c r="DH48" s="123"/>
      <c r="DI48" s="123"/>
      <c r="DJ48" s="123"/>
      <c r="DK48" s="123"/>
      <c r="DL48" s="123"/>
      <c r="DM48" s="123"/>
      <c r="DN48" s="123"/>
      <c r="DO48" s="123"/>
      <c r="DP48" s="123"/>
      <c r="DQ48" s="123"/>
      <c r="DR48" s="123"/>
      <c r="DS48" s="123"/>
      <c r="DT48" s="123"/>
      <c r="DU48" s="123"/>
      <c r="DV48" s="123"/>
      <c r="DW48" s="124"/>
    </row>
    <row r="49" spans="6:127" x14ac:dyDescent="0.2">
      <c r="F49" s="116"/>
      <c r="G49" s="112"/>
      <c r="H49" s="112"/>
      <c r="I49" s="112"/>
      <c r="J49" s="112"/>
      <c r="K49" s="112"/>
      <c r="L49" s="112"/>
      <c r="M49" s="117"/>
      <c r="N49" s="116"/>
      <c r="O49" s="112"/>
      <c r="P49" s="112"/>
      <c r="Q49" s="112"/>
      <c r="R49" s="112"/>
      <c r="S49" s="112"/>
      <c r="T49" s="112"/>
      <c r="U49" s="112"/>
      <c r="V49" s="112"/>
      <c r="W49" s="112"/>
      <c r="X49" s="112"/>
      <c r="Y49" s="112"/>
      <c r="Z49" s="112"/>
      <c r="AA49" s="112"/>
      <c r="AB49" s="112"/>
      <c r="AC49" s="112"/>
      <c r="AD49" s="112"/>
      <c r="AE49" s="112"/>
      <c r="AF49" s="112"/>
      <c r="AG49" s="112"/>
      <c r="AH49" s="117"/>
      <c r="AK49" s="125"/>
      <c r="BM49" s="126"/>
      <c r="BP49" s="125"/>
      <c r="CR49" s="126"/>
      <c r="CU49" s="125"/>
      <c r="DW49" s="126"/>
    </row>
    <row r="50" spans="6:127" x14ac:dyDescent="0.2">
      <c r="F50" s="116"/>
      <c r="G50" s="112"/>
      <c r="H50" s="112"/>
      <c r="I50" s="112"/>
      <c r="J50" s="112"/>
      <c r="K50" s="112"/>
      <c r="L50" s="112"/>
      <c r="M50" s="117"/>
      <c r="N50" s="116"/>
      <c r="O50" s="112"/>
      <c r="P50" s="112"/>
      <c r="Q50" s="112"/>
      <c r="R50" s="112"/>
      <c r="S50" s="112"/>
      <c r="T50" s="112"/>
      <c r="U50" s="112"/>
      <c r="V50" s="112"/>
      <c r="W50" s="112"/>
      <c r="X50" s="112"/>
      <c r="Y50" s="112"/>
      <c r="Z50" s="112"/>
      <c r="AA50" s="112"/>
      <c r="AB50" s="112"/>
      <c r="AC50" s="112"/>
      <c r="AD50" s="112"/>
      <c r="AE50" s="112"/>
      <c r="AF50" s="112"/>
      <c r="AG50" s="112"/>
      <c r="AH50" s="117"/>
      <c r="AK50" s="125"/>
      <c r="BM50" s="126"/>
      <c r="BP50" s="125"/>
      <c r="CR50" s="126"/>
      <c r="CU50" s="125"/>
      <c r="DW50" s="126"/>
    </row>
    <row r="51" spans="6:127" x14ac:dyDescent="0.2">
      <c r="F51" s="118"/>
      <c r="G51" s="119"/>
      <c r="H51" s="119"/>
      <c r="I51" s="119"/>
      <c r="J51" s="119"/>
      <c r="K51" s="119"/>
      <c r="L51" s="119"/>
      <c r="M51" s="120"/>
      <c r="N51" s="118"/>
      <c r="O51" s="119"/>
      <c r="P51" s="119"/>
      <c r="Q51" s="119"/>
      <c r="R51" s="119"/>
      <c r="S51" s="119"/>
      <c r="T51" s="119"/>
      <c r="U51" s="119"/>
      <c r="V51" s="119"/>
      <c r="W51" s="119"/>
      <c r="X51" s="119"/>
      <c r="Y51" s="119"/>
      <c r="Z51" s="119"/>
      <c r="AA51" s="119"/>
      <c r="AB51" s="119"/>
      <c r="AC51" s="119"/>
      <c r="AD51" s="119"/>
      <c r="AE51" s="119"/>
      <c r="AF51" s="119"/>
      <c r="AG51" s="119"/>
      <c r="AH51" s="120"/>
      <c r="AK51" s="125"/>
      <c r="BM51" s="126"/>
      <c r="BP51" s="125"/>
      <c r="CR51" s="126"/>
      <c r="CU51" s="125"/>
      <c r="DW51" s="126"/>
    </row>
    <row r="52" spans="6:127" x14ac:dyDescent="0.2">
      <c r="F52" s="113"/>
      <c r="G52" s="114"/>
      <c r="H52" s="114"/>
      <c r="I52" s="114"/>
      <c r="J52" s="114"/>
      <c r="K52" s="114"/>
      <c r="L52" s="114"/>
      <c r="M52" s="115"/>
      <c r="N52" s="113"/>
      <c r="O52" s="114"/>
      <c r="P52" s="114"/>
      <c r="Q52" s="114"/>
      <c r="R52" s="114"/>
      <c r="S52" s="114"/>
      <c r="T52" s="114"/>
      <c r="U52" s="114"/>
      <c r="V52" s="114"/>
      <c r="W52" s="114"/>
      <c r="X52" s="114"/>
      <c r="Y52" s="114"/>
      <c r="Z52" s="114"/>
      <c r="AA52" s="114"/>
      <c r="AB52" s="114"/>
      <c r="AC52" s="114"/>
      <c r="AD52" s="114"/>
      <c r="AE52" s="114"/>
      <c r="AF52" s="114"/>
      <c r="AG52" s="114"/>
      <c r="AH52" s="115"/>
      <c r="AK52" s="125"/>
      <c r="BM52" s="126"/>
      <c r="BP52" s="125"/>
      <c r="CR52" s="126"/>
      <c r="CU52" s="125"/>
      <c r="DW52" s="126"/>
    </row>
    <row r="53" spans="6:127" x14ac:dyDescent="0.2">
      <c r="F53" s="116" t="s">
        <v>41</v>
      </c>
      <c r="G53" s="112"/>
      <c r="H53" s="112"/>
      <c r="I53" s="112"/>
      <c r="J53" s="112"/>
      <c r="K53" s="112"/>
      <c r="L53" s="112"/>
      <c r="M53" s="117"/>
      <c r="N53" s="116"/>
      <c r="O53" s="112"/>
      <c r="P53" s="112"/>
      <c r="Q53" s="112"/>
      <c r="R53" s="112"/>
      <c r="S53" s="112"/>
      <c r="T53" s="112"/>
      <c r="U53" s="112"/>
      <c r="V53" s="112"/>
      <c r="W53" s="112"/>
      <c r="X53" s="112"/>
      <c r="Y53" s="112"/>
      <c r="Z53" s="112"/>
      <c r="AA53" s="112"/>
      <c r="AB53" s="112"/>
      <c r="AC53" s="112"/>
      <c r="AD53" s="112"/>
      <c r="AE53" s="112"/>
      <c r="AF53" s="112"/>
      <c r="AG53" s="112"/>
      <c r="AH53" s="117"/>
      <c r="AK53" s="125"/>
      <c r="BM53" s="126"/>
      <c r="BP53" s="125"/>
      <c r="CR53" s="126"/>
      <c r="CU53" s="125"/>
      <c r="DW53" s="126"/>
    </row>
    <row r="54" spans="6:127" x14ac:dyDescent="0.2">
      <c r="F54" s="116" t="s">
        <v>42</v>
      </c>
      <c r="G54" s="112"/>
      <c r="H54" s="112"/>
      <c r="I54" s="112"/>
      <c r="J54" s="112"/>
      <c r="K54" s="112"/>
      <c r="L54" s="112"/>
      <c r="M54" s="117"/>
      <c r="N54" s="116"/>
      <c r="O54" s="112"/>
      <c r="P54" s="112"/>
      <c r="Q54" s="112"/>
      <c r="R54" s="112"/>
      <c r="S54" s="112"/>
      <c r="T54" s="112"/>
      <c r="U54" s="112"/>
      <c r="V54" s="112"/>
      <c r="W54" s="112"/>
      <c r="X54" s="112"/>
      <c r="Y54" s="112"/>
      <c r="Z54" s="112"/>
      <c r="AA54" s="112"/>
      <c r="AB54" s="112"/>
      <c r="AC54" s="112"/>
      <c r="AD54" s="112"/>
      <c r="AE54" s="112"/>
      <c r="AF54" s="112"/>
      <c r="AG54" s="112"/>
      <c r="AH54" s="117"/>
      <c r="AK54" s="125"/>
      <c r="BM54" s="126"/>
      <c r="BP54" s="125"/>
      <c r="CR54" s="126"/>
      <c r="CU54" s="125"/>
      <c r="DW54" s="126"/>
    </row>
    <row r="55" spans="6:127" x14ac:dyDescent="0.2">
      <c r="F55" s="116"/>
      <c r="G55" s="112"/>
      <c r="H55" s="112"/>
      <c r="I55" s="112"/>
      <c r="J55" s="112"/>
      <c r="K55" s="112"/>
      <c r="L55" s="112"/>
      <c r="M55" s="117"/>
      <c r="N55" s="116"/>
      <c r="O55" s="112"/>
      <c r="P55" s="112"/>
      <c r="Q55" s="112"/>
      <c r="R55" s="112"/>
      <c r="S55" s="112"/>
      <c r="T55" s="112"/>
      <c r="U55" s="112"/>
      <c r="V55" s="112"/>
      <c r="W55" s="112"/>
      <c r="X55" s="112"/>
      <c r="Y55" s="112"/>
      <c r="Z55" s="112"/>
      <c r="AA55" s="112"/>
      <c r="AB55" s="112"/>
      <c r="AC55" s="112"/>
      <c r="AD55" s="112"/>
      <c r="AE55" s="112"/>
      <c r="AF55" s="112"/>
      <c r="AG55" s="112"/>
      <c r="AH55" s="117"/>
      <c r="AK55" s="125"/>
      <c r="BM55" s="126"/>
      <c r="BP55" s="125"/>
      <c r="CR55" s="126"/>
      <c r="CU55" s="125"/>
      <c r="DW55" s="126"/>
    </row>
    <row r="56" spans="6:127" x14ac:dyDescent="0.2">
      <c r="F56" s="116"/>
      <c r="G56" s="112"/>
      <c r="H56" s="112"/>
      <c r="I56" s="112"/>
      <c r="J56" s="112"/>
      <c r="K56" s="112"/>
      <c r="L56" s="112"/>
      <c r="M56" s="117"/>
      <c r="N56" s="116"/>
      <c r="O56" s="112"/>
      <c r="P56" s="112"/>
      <c r="Q56" s="112"/>
      <c r="R56" s="112"/>
      <c r="S56" s="112"/>
      <c r="T56" s="112"/>
      <c r="U56" s="112"/>
      <c r="V56" s="112"/>
      <c r="W56" s="112"/>
      <c r="X56" s="112"/>
      <c r="Y56" s="112"/>
      <c r="Z56" s="112"/>
      <c r="AA56" s="112"/>
      <c r="AB56" s="112"/>
      <c r="AC56" s="112"/>
      <c r="AD56" s="112"/>
      <c r="AE56" s="112"/>
      <c r="AF56" s="112"/>
      <c r="AG56" s="112"/>
      <c r="AH56" s="117"/>
      <c r="AK56" s="125"/>
      <c r="BM56" s="126"/>
      <c r="BP56" s="125"/>
      <c r="CR56" s="126"/>
      <c r="CU56" s="125"/>
      <c r="DW56" s="126"/>
    </row>
    <row r="57" spans="6:127" x14ac:dyDescent="0.2">
      <c r="F57" s="118"/>
      <c r="G57" s="119"/>
      <c r="H57" s="119"/>
      <c r="I57" s="119"/>
      <c r="J57" s="119"/>
      <c r="K57" s="119"/>
      <c r="L57" s="119"/>
      <c r="M57" s="120"/>
      <c r="N57" s="118"/>
      <c r="O57" s="119"/>
      <c r="P57" s="119"/>
      <c r="Q57" s="119"/>
      <c r="R57" s="119"/>
      <c r="S57" s="119"/>
      <c r="T57" s="119"/>
      <c r="U57" s="119"/>
      <c r="V57" s="119"/>
      <c r="W57" s="119"/>
      <c r="X57" s="119"/>
      <c r="Y57" s="119"/>
      <c r="Z57" s="119"/>
      <c r="AA57" s="119"/>
      <c r="AB57" s="119"/>
      <c r="AC57" s="119"/>
      <c r="AD57" s="119"/>
      <c r="AE57" s="119"/>
      <c r="AF57" s="119"/>
      <c r="AG57" s="119"/>
      <c r="AH57" s="120"/>
      <c r="AK57" s="125"/>
      <c r="BM57" s="126"/>
      <c r="BP57" s="125"/>
      <c r="CR57" s="126"/>
      <c r="CU57" s="127"/>
      <c r="CV57" s="121"/>
      <c r="CW57" s="121"/>
      <c r="CX57" s="121"/>
      <c r="CY57" s="121"/>
      <c r="CZ57" s="121"/>
      <c r="DA57" s="121"/>
      <c r="DB57" s="121"/>
      <c r="DC57" s="121"/>
      <c r="DD57" s="121"/>
      <c r="DE57" s="121"/>
      <c r="DF57" s="121"/>
      <c r="DG57" s="121"/>
      <c r="DH57" s="121"/>
      <c r="DI57" s="121"/>
      <c r="DJ57" s="121"/>
      <c r="DK57" s="121"/>
      <c r="DL57" s="121"/>
      <c r="DM57" s="121"/>
      <c r="DN57" s="121"/>
      <c r="DO57" s="121"/>
      <c r="DP57" s="121"/>
      <c r="DQ57" s="121"/>
      <c r="DR57" s="121"/>
      <c r="DS57" s="121"/>
      <c r="DT57" s="121"/>
      <c r="DU57" s="121"/>
      <c r="DV57" s="121"/>
      <c r="DW57" s="128"/>
    </row>
    <row r="58" spans="6:127" x14ac:dyDescent="0.2">
      <c r="AK58" s="125"/>
      <c r="BM58" s="126"/>
      <c r="BP58" s="125"/>
      <c r="CR58" s="126"/>
    </row>
    <row r="59" spans="6:127" x14ac:dyDescent="0.2">
      <c r="F59" s="112" t="s">
        <v>192</v>
      </c>
      <c r="AK59" s="127"/>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8"/>
      <c r="BP59" s="127"/>
      <c r="BQ59" s="121"/>
      <c r="BR59" s="121"/>
      <c r="BS59" s="121"/>
      <c r="BT59" s="121"/>
      <c r="BU59" s="121"/>
      <c r="BV59" s="121"/>
      <c r="BW59" s="121"/>
      <c r="BX59" s="121"/>
      <c r="BY59" s="121"/>
      <c r="BZ59" s="121"/>
      <c r="CA59" s="121"/>
      <c r="CB59" s="121"/>
      <c r="CC59" s="121"/>
      <c r="CD59" s="121"/>
      <c r="CE59" s="121"/>
      <c r="CF59" s="121"/>
      <c r="CG59" s="121"/>
      <c r="CH59" s="121"/>
      <c r="CI59" s="121"/>
      <c r="CJ59" s="121"/>
      <c r="CK59" s="121"/>
      <c r="CL59" s="121"/>
      <c r="CM59" s="121"/>
      <c r="CN59" s="121"/>
      <c r="CO59" s="121"/>
      <c r="CP59" s="121"/>
      <c r="CQ59" s="121"/>
      <c r="CR59" s="128"/>
      <c r="CU59" s="112" t="s">
        <v>192</v>
      </c>
    </row>
    <row r="60" spans="6:127" x14ac:dyDescent="0.2">
      <c r="F60" s="112" t="s">
        <v>43</v>
      </c>
      <c r="CU60" s="112" t="s">
        <v>43</v>
      </c>
    </row>
    <row r="61" spans="6:127" x14ac:dyDescent="0.2">
      <c r="AK61" s="112" t="s">
        <v>192</v>
      </c>
      <c r="BP61" s="112" t="s">
        <v>192</v>
      </c>
    </row>
    <row r="62" spans="6:127" x14ac:dyDescent="0.2">
      <c r="F62" s="121" t="s">
        <v>46</v>
      </c>
      <c r="G62" s="121"/>
      <c r="H62" s="121"/>
      <c r="I62" s="121"/>
      <c r="J62" s="121"/>
      <c r="K62" s="121"/>
      <c r="L62" s="121"/>
      <c r="M62" s="121"/>
      <c r="N62" s="121"/>
      <c r="O62" s="121"/>
      <c r="Q62" s="119" t="s">
        <v>44</v>
      </c>
      <c r="R62" s="119"/>
      <c r="S62" s="119"/>
      <c r="T62" s="119"/>
      <c r="U62" s="119"/>
      <c r="V62" s="119"/>
      <c r="W62" s="119"/>
      <c r="X62" s="119"/>
      <c r="Y62" s="119"/>
      <c r="Z62" s="119"/>
      <c r="AA62" s="119"/>
      <c r="AB62" s="119"/>
      <c r="AC62" s="119"/>
      <c r="AD62" s="119"/>
      <c r="AE62" s="119"/>
      <c r="AF62" s="119"/>
      <c r="AG62" s="119"/>
      <c r="AH62" s="119"/>
      <c r="AK62" s="112" t="s">
        <v>65</v>
      </c>
      <c r="BP62" s="112" t="s">
        <v>65</v>
      </c>
      <c r="CU62" s="121" t="s">
        <v>46</v>
      </c>
      <c r="CV62" s="121"/>
      <c r="CW62" s="121"/>
      <c r="CX62" s="121"/>
      <c r="CY62" s="121"/>
      <c r="CZ62" s="121"/>
      <c r="DA62" s="121"/>
      <c r="DB62" s="121"/>
      <c r="DC62" s="121"/>
      <c r="DD62" s="121"/>
      <c r="DF62" s="119" t="s">
        <v>44</v>
      </c>
      <c r="DG62" s="119"/>
      <c r="DH62" s="119"/>
      <c r="DI62" s="119"/>
      <c r="DJ62" s="119"/>
      <c r="DK62" s="119"/>
      <c r="DL62" s="119"/>
      <c r="DM62" s="119"/>
      <c r="DN62" s="119"/>
      <c r="DO62" s="119"/>
      <c r="DP62" s="119"/>
      <c r="DQ62" s="119"/>
      <c r="DR62" s="119"/>
      <c r="DS62" s="119"/>
      <c r="DT62" s="119"/>
      <c r="DU62" s="119"/>
      <c r="DV62" s="119"/>
      <c r="DW62" s="119"/>
    </row>
  </sheetData>
  <customSheetViews>
    <customSheetView guid="{588B52CB-128D-4476-A8D0-8A203A5F17F0}" scale="60" showPageBreaks="1" showGridLines="0" printArea="1" view="pageBreakPreview" topLeftCell="AA1">
      <selection activeCell="DL32" sqref="DL32"/>
      <colBreaks count="3" manualBreakCount="3">
        <brk id="35" max="62" man="1"/>
        <brk id="66" max="62" man="1"/>
        <brk id="97" max="62" man="1"/>
      </colBreaks>
      <pageMargins left="0.2" right="0.21" top="0.22" bottom="0.35" header="0.2" footer="0.21"/>
      <printOptions horizontalCentered="1"/>
      <pageSetup paperSize="9" orientation="portrait" r:id="rId1"/>
    </customSheetView>
  </customSheetViews>
  <phoneticPr fontId="7"/>
  <printOptions horizontalCentered="1"/>
  <pageMargins left="0.2" right="0.21" top="0.22" bottom="0.35" header="0.2" footer="0.21"/>
  <pageSetup paperSize="9" orientation="portrait" r:id="rId2"/>
  <colBreaks count="3" manualBreakCount="3">
    <brk id="35" max="62" man="1"/>
    <brk id="66" max="62" man="1"/>
    <brk id="97" max="6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F2:AH66"/>
  <sheetViews>
    <sheetView topLeftCell="A54" workbookViewId="0">
      <selection activeCell="AD66" sqref="AD66"/>
    </sheetView>
  </sheetViews>
  <sheetFormatPr defaultColWidth="2.6328125" defaultRowHeight="13" x14ac:dyDescent="0.2"/>
  <cols>
    <col min="1" max="16384" width="2.6328125" style="134"/>
  </cols>
  <sheetData>
    <row r="2" spans="6:34" x14ac:dyDescent="0.2">
      <c r="F2" s="133" t="s">
        <v>67</v>
      </c>
    </row>
    <row r="4" spans="6:34" ht="16.5" x14ac:dyDescent="0.2">
      <c r="F4" s="135" t="s">
        <v>68</v>
      </c>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row>
    <row r="6" spans="6:34" x14ac:dyDescent="0.2">
      <c r="H6" s="137" t="s">
        <v>69</v>
      </c>
    </row>
    <row r="7" spans="6:34" x14ac:dyDescent="0.2">
      <c r="H7" s="137" t="s">
        <v>70</v>
      </c>
    </row>
    <row r="8" spans="6:34" x14ac:dyDescent="0.2">
      <c r="H8" s="137" t="s">
        <v>91</v>
      </c>
    </row>
    <row r="10" spans="6:34" x14ac:dyDescent="0.2">
      <c r="F10" s="138"/>
      <c r="G10" s="139"/>
      <c r="H10" s="140"/>
      <c r="I10" s="138"/>
      <c r="J10" s="139" t="s">
        <v>71</v>
      </c>
      <c r="K10" s="139"/>
      <c r="L10" s="139"/>
      <c r="M10" s="139"/>
      <c r="N10" s="140"/>
      <c r="O10" s="138"/>
      <c r="P10" s="139" t="s">
        <v>72</v>
      </c>
      <c r="Q10" s="139"/>
      <c r="R10" s="139"/>
      <c r="S10" s="139"/>
      <c r="T10" s="139"/>
      <c r="U10" s="139"/>
      <c r="V10" s="139"/>
      <c r="W10" s="139"/>
      <c r="X10" s="139"/>
      <c r="Y10" s="139"/>
      <c r="Z10" s="140"/>
      <c r="AA10" s="138" t="s">
        <v>73</v>
      </c>
      <c r="AB10" s="139"/>
      <c r="AC10" s="139"/>
      <c r="AD10" s="139"/>
      <c r="AE10" s="139"/>
      <c r="AF10" s="139"/>
      <c r="AG10" s="139"/>
      <c r="AH10" s="140"/>
    </row>
    <row r="11" spans="6:34" x14ac:dyDescent="0.2">
      <c r="F11" s="141"/>
      <c r="G11" s="142"/>
      <c r="H11" s="143"/>
      <c r="I11" s="144"/>
      <c r="J11" s="145"/>
      <c r="K11" s="145"/>
      <c r="L11" s="145"/>
      <c r="M11" s="145"/>
      <c r="N11" s="146"/>
      <c r="O11" s="144"/>
      <c r="P11" s="145"/>
      <c r="Q11" s="145"/>
      <c r="R11" s="145"/>
      <c r="S11" s="145"/>
      <c r="T11" s="145"/>
      <c r="U11" s="145"/>
      <c r="V11" s="145"/>
      <c r="W11" s="145"/>
      <c r="X11" s="145"/>
      <c r="Y11" s="145"/>
      <c r="Z11" s="146"/>
      <c r="AA11" s="144" t="s">
        <v>74</v>
      </c>
      <c r="AB11" s="145"/>
      <c r="AC11" s="145"/>
      <c r="AD11" s="145"/>
      <c r="AE11" s="145"/>
      <c r="AF11" s="145"/>
      <c r="AG11" s="145"/>
      <c r="AH11" s="146"/>
    </row>
    <row r="12" spans="6:34" x14ac:dyDescent="0.2">
      <c r="F12" s="147">
        <v>45749</v>
      </c>
      <c r="G12" s="148"/>
      <c r="H12" s="149"/>
      <c r="I12" s="150" t="s">
        <v>193</v>
      </c>
      <c r="J12" s="137"/>
      <c r="K12" s="137"/>
      <c r="L12" s="137"/>
      <c r="M12" s="137"/>
      <c r="N12" s="151"/>
      <c r="O12" s="150"/>
      <c r="P12" s="137" t="s">
        <v>94</v>
      </c>
      <c r="Q12" s="137"/>
      <c r="R12" s="137"/>
      <c r="S12" s="137"/>
      <c r="T12" s="137"/>
      <c r="U12" s="137"/>
      <c r="V12" s="137"/>
      <c r="W12" s="137"/>
      <c r="X12" s="137"/>
      <c r="Y12" s="137"/>
      <c r="Z12" s="151"/>
      <c r="AA12" s="150" t="s">
        <v>75</v>
      </c>
      <c r="AB12" s="137"/>
      <c r="AC12" s="137"/>
      <c r="AD12" s="137"/>
      <c r="AE12" s="137"/>
      <c r="AF12" s="137"/>
      <c r="AG12" s="137"/>
      <c r="AH12" s="151"/>
    </row>
    <row r="13" spans="6:34" x14ac:dyDescent="0.2">
      <c r="F13" s="152"/>
      <c r="G13" s="153"/>
      <c r="H13" s="154"/>
      <c r="I13" s="155"/>
      <c r="J13" s="156"/>
      <c r="K13" s="156"/>
      <c r="L13" s="156"/>
      <c r="M13" s="156"/>
      <c r="N13" s="157"/>
      <c r="O13" s="155"/>
      <c r="P13" s="156" t="s">
        <v>95</v>
      </c>
      <c r="Q13" s="156"/>
      <c r="R13" s="156"/>
      <c r="S13" s="156"/>
      <c r="T13" s="156"/>
      <c r="U13" s="156"/>
      <c r="V13" s="156"/>
      <c r="W13" s="156"/>
      <c r="X13" s="156"/>
      <c r="Y13" s="156"/>
      <c r="Z13" s="157"/>
      <c r="AA13" s="155" t="s">
        <v>76</v>
      </c>
      <c r="AB13" s="156"/>
      <c r="AC13" s="156"/>
      <c r="AD13" s="156"/>
      <c r="AE13" s="156"/>
      <c r="AF13" s="156"/>
      <c r="AG13" s="156"/>
      <c r="AH13" s="157"/>
    </row>
    <row r="14" spans="6:34" x14ac:dyDescent="0.2">
      <c r="F14" s="141"/>
      <c r="G14" s="142"/>
      <c r="H14" s="143"/>
      <c r="I14" s="144"/>
      <c r="J14" s="145"/>
      <c r="K14" s="145"/>
      <c r="L14" s="145"/>
      <c r="M14" s="145"/>
      <c r="N14" s="146"/>
      <c r="O14" s="144"/>
      <c r="P14" s="145"/>
      <c r="Q14" s="145"/>
      <c r="R14" s="145"/>
      <c r="S14" s="145"/>
      <c r="T14" s="145"/>
      <c r="U14" s="145"/>
      <c r="V14" s="145"/>
      <c r="W14" s="145"/>
      <c r="X14" s="145"/>
      <c r="Y14" s="145"/>
      <c r="Z14" s="146"/>
      <c r="AA14" s="144"/>
      <c r="AB14" s="145"/>
      <c r="AC14" s="145"/>
      <c r="AD14" s="145"/>
      <c r="AE14" s="145"/>
      <c r="AF14" s="145"/>
      <c r="AG14" s="145"/>
      <c r="AH14" s="146"/>
    </row>
    <row r="15" spans="6:34" x14ac:dyDescent="0.2">
      <c r="F15" s="147">
        <v>45750</v>
      </c>
      <c r="G15" s="148"/>
      <c r="H15" s="149"/>
      <c r="I15" s="150" t="s">
        <v>92</v>
      </c>
      <c r="J15" s="137"/>
      <c r="K15" s="137"/>
      <c r="L15" s="137"/>
      <c r="M15" s="137"/>
      <c r="N15" s="151"/>
      <c r="O15" s="150"/>
      <c r="P15" s="137" t="s">
        <v>83</v>
      </c>
      <c r="Q15" s="137"/>
      <c r="R15" s="137"/>
      <c r="S15" s="137"/>
      <c r="T15" s="137"/>
      <c r="U15" s="137"/>
      <c r="V15" s="137"/>
      <c r="W15" s="137"/>
      <c r="X15" s="137"/>
      <c r="Y15" s="137"/>
      <c r="Z15" s="151"/>
      <c r="AA15" s="150" t="s">
        <v>96</v>
      </c>
      <c r="AB15" s="137"/>
      <c r="AC15" s="137"/>
      <c r="AD15" s="137"/>
      <c r="AE15" s="137"/>
      <c r="AF15" s="137"/>
      <c r="AG15" s="137"/>
      <c r="AH15" s="151"/>
    </row>
    <row r="16" spans="6:34" x14ac:dyDescent="0.2">
      <c r="F16" s="152"/>
      <c r="G16" s="153"/>
      <c r="H16" s="154"/>
      <c r="I16" s="155"/>
      <c r="J16" s="156"/>
      <c r="K16" s="156"/>
      <c r="L16" s="156"/>
      <c r="M16" s="156"/>
      <c r="N16" s="157"/>
      <c r="O16" s="155"/>
      <c r="P16" s="156" t="s">
        <v>84</v>
      </c>
      <c r="Q16" s="156"/>
      <c r="R16" s="156"/>
      <c r="S16" s="156"/>
      <c r="T16" s="156"/>
      <c r="U16" s="156"/>
      <c r="V16" s="156"/>
      <c r="W16" s="156"/>
      <c r="X16" s="156"/>
      <c r="Y16" s="156"/>
      <c r="Z16" s="157"/>
      <c r="AA16" s="155"/>
      <c r="AB16" s="156" t="s">
        <v>97</v>
      </c>
      <c r="AC16" s="156"/>
      <c r="AD16" s="156"/>
      <c r="AE16" s="156"/>
      <c r="AF16" s="156"/>
      <c r="AG16" s="156"/>
      <c r="AH16" s="157"/>
    </row>
    <row r="17" spans="6:34" x14ac:dyDescent="0.2">
      <c r="F17" s="141"/>
      <c r="G17" s="142"/>
      <c r="H17" s="143"/>
      <c r="I17" s="144"/>
      <c r="J17" s="145"/>
      <c r="K17" s="145"/>
      <c r="L17" s="145"/>
      <c r="M17" s="145"/>
      <c r="N17" s="146"/>
      <c r="O17" s="144"/>
      <c r="P17" s="145"/>
      <c r="Q17" s="145"/>
      <c r="R17" s="145"/>
      <c r="S17" s="145"/>
      <c r="T17" s="145"/>
      <c r="U17" s="145"/>
      <c r="V17" s="145"/>
      <c r="W17" s="145"/>
      <c r="X17" s="145"/>
      <c r="Y17" s="145"/>
      <c r="Z17" s="146"/>
      <c r="AA17" s="144"/>
      <c r="AB17" s="145"/>
      <c r="AC17" s="145"/>
      <c r="AD17" s="145"/>
      <c r="AE17" s="145"/>
      <c r="AF17" s="145"/>
      <c r="AG17" s="145"/>
      <c r="AH17" s="146"/>
    </row>
    <row r="18" spans="6:34" x14ac:dyDescent="0.2">
      <c r="F18" s="147">
        <v>45751</v>
      </c>
      <c r="G18" s="148"/>
      <c r="H18" s="149"/>
      <c r="I18" s="150" t="s">
        <v>93</v>
      </c>
      <c r="J18" s="137"/>
      <c r="K18" s="137"/>
      <c r="L18" s="137"/>
      <c r="M18" s="137"/>
      <c r="N18" s="151"/>
      <c r="O18" s="150"/>
      <c r="P18" s="137" t="s">
        <v>78</v>
      </c>
      <c r="Q18" s="137"/>
      <c r="R18" s="137"/>
      <c r="S18" s="137"/>
      <c r="T18" s="137"/>
      <c r="U18" s="137"/>
      <c r="V18" s="137"/>
      <c r="W18" s="137"/>
      <c r="X18" s="137"/>
      <c r="Y18" s="137"/>
      <c r="Z18" s="151"/>
      <c r="AA18" s="150" t="s">
        <v>77</v>
      </c>
      <c r="AB18" s="137"/>
      <c r="AC18" s="137"/>
      <c r="AD18" s="137"/>
      <c r="AE18" s="137"/>
      <c r="AF18" s="137"/>
      <c r="AG18" s="137"/>
      <c r="AH18" s="151"/>
    </row>
    <row r="19" spans="6:34" x14ac:dyDescent="0.2">
      <c r="F19" s="152"/>
      <c r="G19" s="153"/>
      <c r="H19" s="154"/>
      <c r="I19" s="155"/>
      <c r="J19" s="156"/>
      <c r="K19" s="156"/>
      <c r="L19" s="156"/>
      <c r="M19" s="156"/>
      <c r="N19" s="157"/>
      <c r="O19" s="155"/>
      <c r="P19" s="156" t="s">
        <v>85</v>
      </c>
      <c r="Q19" s="156"/>
      <c r="R19" s="156"/>
      <c r="S19" s="156"/>
      <c r="T19" s="156"/>
      <c r="U19" s="156"/>
      <c r="V19" s="156"/>
      <c r="W19" s="156"/>
      <c r="X19" s="156"/>
      <c r="Y19" s="156"/>
      <c r="Z19" s="157"/>
      <c r="AA19" s="155" t="s">
        <v>79</v>
      </c>
      <c r="AB19" s="156"/>
      <c r="AC19" s="156"/>
      <c r="AD19" s="156"/>
      <c r="AE19" s="156"/>
      <c r="AF19" s="156"/>
      <c r="AG19" s="156"/>
      <c r="AH19" s="157"/>
    </row>
    <row r="20" spans="6:34" x14ac:dyDescent="0.2">
      <c r="F20" s="141"/>
      <c r="G20" s="142"/>
      <c r="H20" s="143"/>
      <c r="I20" s="144"/>
      <c r="J20" s="145"/>
      <c r="K20" s="145"/>
      <c r="L20" s="145"/>
      <c r="M20" s="145"/>
      <c r="N20" s="146"/>
      <c r="O20" s="144"/>
      <c r="P20" s="145"/>
      <c r="Q20" s="145"/>
      <c r="R20" s="145"/>
      <c r="S20" s="145"/>
      <c r="T20" s="145"/>
      <c r="U20" s="145"/>
      <c r="V20" s="145"/>
      <c r="W20" s="145"/>
      <c r="X20" s="145"/>
      <c r="Y20" s="145"/>
      <c r="Z20" s="146"/>
      <c r="AA20" s="144"/>
      <c r="AB20" s="145"/>
      <c r="AC20" s="145"/>
      <c r="AD20" s="145"/>
      <c r="AE20" s="145"/>
      <c r="AF20" s="145"/>
      <c r="AG20" s="145"/>
      <c r="AH20" s="146"/>
    </row>
    <row r="21" spans="6:34" x14ac:dyDescent="0.2">
      <c r="F21" s="147">
        <v>45754</v>
      </c>
      <c r="G21" s="148"/>
      <c r="H21" s="149"/>
      <c r="I21" s="150" t="s">
        <v>81</v>
      </c>
      <c r="J21" s="137"/>
      <c r="K21" s="137"/>
      <c r="L21" s="137"/>
      <c r="M21" s="137"/>
      <c r="N21" s="151"/>
      <c r="O21" s="150"/>
      <c r="P21" s="137" t="s">
        <v>86</v>
      </c>
      <c r="Q21" s="137"/>
      <c r="R21" s="137"/>
      <c r="S21" s="137"/>
      <c r="T21" s="137"/>
      <c r="U21" s="137"/>
      <c r="V21" s="137"/>
      <c r="W21" s="137"/>
      <c r="X21" s="137"/>
      <c r="Y21" s="137"/>
      <c r="Z21" s="151"/>
      <c r="AA21" s="150"/>
      <c r="AB21" s="137"/>
      <c r="AC21" s="137"/>
      <c r="AD21" s="137"/>
      <c r="AE21" s="137"/>
      <c r="AF21" s="137"/>
      <c r="AG21" s="137"/>
      <c r="AH21" s="151"/>
    </row>
    <row r="22" spans="6:34" x14ac:dyDescent="0.2">
      <c r="F22" s="152"/>
      <c r="G22" s="153"/>
      <c r="H22" s="154"/>
      <c r="I22" s="155"/>
      <c r="J22" s="156"/>
      <c r="K22" s="156"/>
      <c r="L22" s="156"/>
      <c r="M22" s="156"/>
      <c r="N22" s="157"/>
      <c r="O22" s="155"/>
      <c r="P22" s="156" t="s">
        <v>80</v>
      </c>
      <c r="Q22" s="156"/>
      <c r="R22" s="156"/>
      <c r="S22" s="156"/>
      <c r="T22" s="156"/>
      <c r="U22" s="156"/>
      <c r="V22" s="156"/>
      <c r="W22" s="156"/>
      <c r="X22" s="156"/>
      <c r="Y22" s="156"/>
      <c r="Z22" s="157"/>
      <c r="AA22" s="155"/>
      <c r="AB22" s="156"/>
      <c r="AC22" s="156"/>
      <c r="AD22" s="156"/>
      <c r="AE22" s="156"/>
      <c r="AF22" s="156"/>
      <c r="AG22" s="156"/>
      <c r="AH22" s="157"/>
    </row>
    <row r="23" spans="6:34" x14ac:dyDescent="0.2">
      <c r="F23" s="141"/>
      <c r="G23" s="142"/>
      <c r="H23" s="143"/>
      <c r="I23" s="144"/>
      <c r="J23" s="145"/>
      <c r="K23" s="145"/>
      <c r="L23" s="145"/>
      <c r="M23" s="145"/>
      <c r="N23" s="146"/>
      <c r="O23" s="144"/>
      <c r="P23" s="145"/>
      <c r="Q23" s="145"/>
      <c r="R23" s="145"/>
      <c r="S23" s="145"/>
      <c r="T23" s="145"/>
      <c r="U23" s="145"/>
      <c r="V23" s="145"/>
      <c r="W23" s="145"/>
      <c r="X23" s="145"/>
      <c r="Y23" s="145"/>
      <c r="Z23" s="146"/>
      <c r="AA23" s="144"/>
      <c r="AB23" s="145"/>
      <c r="AC23" s="145"/>
      <c r="AD23" s="145"/>
      <c r="AE23" s="145"/>
      <c r="AF23" s="145"/>
      <c r="AG23" s="145"/>
      <c r="AH23" s="146"/>
    </row>
    <row r="24" spans="6:34" x14ac:dyDescent="0.2">
      <c r="F24" s="147">
        <v>45755</v>
      </c>
      <c r="G24" s="148"/>
      <c r="H24" s="149"/>
      <c r="I24" s="150" t="s">
        <v>82</v>
      </c>
      <c r="J24" s="137"/>
      <c r="K24" s="137"/>
      <c r="L24" s="137"/>
      <c r="M24" s="137"/>
      <c r="N24" s="151"/>
      <c r="O24" s="150"/>
      <c r="P24" s="137" t="s">
        <v>87</v>
      </c>
      <c r="Q24" s="137"/>
      <c r="R24" s="137"/>
      <c r="S24" s="137"/>
      <c r="T24" s="137"/>
      <c r="U24" s="137"/>
      <c r="V24" s="137"/>
      <c r="W24" s="137"/>
      <c r="X24" s="137"/>
      <c r="Y24" s="137"/>
      <c r="Z24" s="151"/>
      <c r="AA24" s="150"/>
      <c r="AB24" s="137"/>
      <c r="AC24" s="137"/>
      <c r="AD24" s="137"/>
      <c r="AE24" s="137"/>
      <c r="AF24" s="137"/>
      <c r="AG24" s="137"/>
      <c r="AH24" s="151"/>
    </row>
    <row r="25" spans="6:34" x14ac:dyDescent="0.2">
      <c r="F25" s="152"/>
      <c r="G25" s="153"/>
      <c r="H25" s="154"/>
      <c r="I25" s="155"/>
      <c r="J25" s="156"/>
      <c r="K25" s="156"/>
      <c r="L25" s="156"/>
      <c r="M25" s="156"/>
      <c r="N25" s="157"/>
      <c r="O25" s="155"/>
      <c r="P25" s="156" t="s">
        <v>88</v>
      </c>
      <c r="Q25" s="156"/>
      <c r="R25" s="156"/>
      <c r="S25" s="156"/>
      <c r="T25" s="156"/>
      <c r="U25" s="156"/>
      <c r="V25" s="156"/>
      <c r="W25" s="156"/>
      <c r="X25" s="156"/>
      <c r="Y25" s="156"/>
      <c r="Z25" s="157"/>
      <c r="AA25" s="155"/>
      <c r="AB25" s="156"/>
      <c r="AC25" s="156"/>
      <c r="AD25" s="156"/>
      <c r="AE25" s="156"/>
      <c r="AF25" s="156"/>
      <c r="AG25" s="156"/>
      <c r="AH25" s="157"/>
    </row>
    <row r="27" spans="6:34" x14ac:dyDescent="0.2">
      <c r="G27" s="137" t="s">
        <v>89</v>
      </c>
    </row>
    <row r="29" spans="6:34" x14ac:dyDescent="0.2">
      <c r="G29" s="137" t="s">
        <v>98</v>
      </c>
    </row>
    <row r="30" spans="6:34" x14ac:dyDescent="0.2">
      <c r="G30" s="137" t="s">
        <v>194</v>
      </c>
    </row>
    <row r="31" spans="6:34" x14ac:dyDescent="0.2">
      <c r="G31" s="137"/>
    </row>
    <row r="32" spans="6:34" x14ac:dyDescent="0.2">
      <c r="AD32" s="137" t="s">
        <v>150</v>
      </c>
    </row>
    <row r="36" spans="6:34" x14ac:dyDescent="0.2">
      <c r="F36" s="133" t="s">
        <v>67</v>
      </c>
    </row>
    <row r="38" spans="6:34" ht="16.5" x14ac:dyDescent="0.2">
      <c r="F38" s="135" t="s">
        <v>68</v>
      </c>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row>
    <row r="40" spans="6:34" x14ac:dyDescent="0.2">
      <c r="H40" s="137" t="s">
        <v>69</v>
      </c>
    </row>
    <row r="41" spans="6:34" x14ac:dyDescent="0.2">
      <c r="H41" s="137" t="s">
        <v>70</v>
      </c>
    </row>
    <row r="42" spans="6:34" x14ac:dyDescent="0.2">
      <c r="H42" s="137" t="s">
        <v>91</v>
      </c>
    </row>
    <row r="44" spans="6:34" x14ac:dyDescent="0.2">
      <c r="F44" s="138"/>
      <c r="G44" s="139"/>
      <c r="H44" s="140"/>
      <c r="I44" s="138"/>
      <c r="J44" s="139" t="s">
        <v>71</v>
      </c>
      <c r="K44" s="139"/>
      <c r="L44" s="139"/>
      <c r="M44" s="139"/>
      <c r="N44" s="140"/>
      <c r="O44" s="138"/>
      <c r="P44" s="139" t="s">
        <v>72</v>
      </c>
      <c r="Q44" s="139"/>
      <c r="R44" s="139"/>
      <c r="S44" s="139"/>
      <c r="T44" s="139"/>
      <c r="U44" s="139"/>
      <c r="V44" s="139"/>
      <c r="W44" s="139"/>
      <c r="X44" s="139"/>
      <c r="Y44" s="139"/>
      <c r="Z44" s="140"/>
      <c r="AA44" s="138" t="s">
        <v>73</v>
      </c>
      <c r="AB44" s="139"/>
      <c r="AC44" s="139"/>
      <c r="AD44" s="139"/>
      <c r="AE44" s="139"/>
      <c r="AF44" s="139"/>
      <c r="AG44" s="139"/>
      <c r="AH44" s="140"/>
    </row>
    <row r="45" spans="6:34" x14ac:dyDescent="0.2">
      <c r="F45" s="141"/>
      <c r="G45" s="142"/>
      <c r="H45" s="143"/>
      <c r="I45" s="144"/>
      <c r="J45" s="145"/>
      <c r="K45" s="145"/>
      <c r="L45" s="145"/>
      <c r="M45" s="145"/>
      <c r="N45" s="146"/>
      <c r="O45" s="144"/>
      <c r="P45" s="145"/>
      <c r="Q45" s="145"/>
      <c r="R45" s="145"/>
      <c r="S45" s="145"/>
      <c r="T45" s="145"/>
      <c r="U45" s="145"/>
      <c r="V45" s="145"/>
      <c r="W45" s="145"/>
      <c r="X45" s="145"/>
      <c r="Y45" s="145"/>
      <c r="Z45" s="146"/>
      <c r="AA45" s="144" t="s">
        <v>74</v>
      </c>
      <c r="AB45" s="145"/>
      <c r="AC45" s="145"/>
      <c r="AD45" s="145"/>
      <c r="AE45" s="145"/>
      <c r="AF45" s="145"/>
      <c r="AG45" s="145"/>
      <c r="AH45" s="146"/>
    </row>
    <row r="46" spans="6:34" x14ac:dyDescent="0.2">
      <c r="F46" s="147">
        <v>45749</v>
      </c>
      <c r="G46" s="148"/>
      <c r="H46" s="149"/>
      <c r="I46" s="150" t="s">
        <v>90</v>
      </c>
      <c r="J46" s="137"/>
      <c r="K46" s="137"/>
      <c r="L46" s="137"/>
      <c r="M46" s="137"/>
      <c r="N46" s="151"/>
      <c r="O46" s="150"/>
      <c r="P46" s="137" t="s">
        <v>94</v>
      </c>
      <c r="Q46" s="137"/>
      <c r="R46" s="137"/>
      <c r="S46" s="137"/>
      <c r="T46" s="137"/>
      <c r="U46" s="137"/>
      <c r="V46" s="137"/>
      <c r="W46" s="137"/>
      <c r="X46" s="137"/>
      <c r="Y46" s="137"/>
      <c r="Z46" s="151"/>
      <c r="AA46" s="150" t="s">
        <v>75</v>
      </c>
      <c r="AB46" s="137"/>
      <c r="AC46" s="137"/>
      <c r="AD46" s="137"/>
      <c r="AE46" s="137"/>
      <c r="AF46" s="137"/>
      <c r="AG46" s="137"/>
      <c r="AH46" s="151"/>
    </row>
    <row r="47" spans="6:34" x14ac:dyDescent="0.2">
      <c r="F47" s="152"/>
      <c r="G47" s="153"/>
      <c r="H47" s="154"/>
      <c r="I47" s="155"/>
      <c r="J47" s="156"/>
      <c r="K47" s="156"/>
      <c r="L47" s="156"/>
      <c r="M47" s="156"/>
      <c r="N47" s="157"/>
      <c r="O47" s="155"/>
      <c r="P47" s="156" t="s">
        <v>95</v>
      </c>
      <c r="Q47" s="156"/>
      <c r="R47" s="156"/>
      <c r="S47" s="156"/>
      <c r="T47" s="156"/>
      <c r="U47" s="156"/>
      <c r="V47" s="156"/>
      <c r="W47" s="156"/>
      <c r="X47" s="156"/>
      <c r="Y47" s="156"/>
      <c r="Z47" s="157"/>
      <c r="AA47" s="155" t="s">
        <v>76</v>
      </c>
      <c r="AB47" s="156"/>
      <c r="AC47" s="156"/>
      <c r="AD47" s="156"/>
      <c r="AE47" s="156"/>
      <c r="AF47" s="156"/>
      <c r="AG47" s="156"/>
      <c r="AH47" s="157"/>
    </row>
    <row r="48" spans="6:34" x14ac:dyDescent="0.2">
      <c r="F48" s="141"/>
      <c r="G48" s="142"/>
      <c r="H48" s="143"/>
      <c r="I48" s="144"/>
      <c r="J48" s="145"/>
      <c r="K48" s="145"/>
      <c r="L48" s="145"/>
      <c r="M48" s="145"/>
      <c r="N48" s="146"/>
      <c r="O48" s="144"/>
      <c r="P48" s="145"/>
      <c r="Q48" s="145"/>
      <c r="R48" s="145"/>
      <c r="S48" s="145"/>
      <c r="T48" s="145"/>
      <c r="U48" s="145"/>
      <c r="V48" s="145"/>
      <c r="W48" s="145"/>
      <c r="X48" s="145"/>
      <c r="Y48" s="145"/>
      <c r="Z48" s="146"/>
      <c r="AA48" s="144"/>
      <c r="AB48" s="145"/>
      <c r="AC48" s="145"/>
      <c r="AD48" s="145"/>
      <c r="AE48" s="145"/>
      <c r="AF48" s="145"/>
      <c r="AG48" s="145"/>
      <c r="AH48" s="146"/>
    </row>
    <row r="49" spans="6:34" x14ac:dyDescent="0.2">
      <c r="F49" s="147">
        <v>45750</v>
      </c>
      <c r="G49" s="148"/>
      <c r="H49" s="149"/>
      <c r="I49" s="150" t="s">
        <v>92</v>
      </c>
      <c r="J49" s="137"/>
      <c r="K49" s="137"/>
      <c r="L49" s="137"/>
      <c r="M49" s="137"/>
      <c r="N49" s="151"/>
      <c r="O49" s="150"/>
      <c r="P49" s="137" t="s">
        <v>83</v>
      </c>
      <c r="Q49" s="137"/>
      <c r="R49" s="137"/>
      <c r="S49" s="137"/>
      <c r="T49" s="137"/>
      <c r="U49" s="137"/>
      <c r="V49" s="137"/>
      <c r="W49" s="137"/>
      <c r="X49" s="137"/>
      <c r="Y49" s="137"/>
      <c r="Z49" s="151"/>
      <c r="AA49" s="150" t="s">
        <v>96</v>
      </c>
      <c r="AB49" s="137"/>
      <c r="AC49" s="137"/>
      <c r="AD49" s="137"/>
      <c r="AE49" s="137"/>
      <c r="AF49" s="137"/>
      <c r="AG49" s="137"/>
      <c r="AH49" s="151"/>
    </row>
    <row r="50" spans="6:34" x14ac:dyDescent="0.2">
      <c r="F50" s="152"/>
      <c r="G50" s="153"/>
      <c r="H50" s="154"/>
      <c r="I50" s="155"/>
      <c r="J50" s="156"/>
      <c r="K50" s="156"/>
      <c r="L50" s="156"/>
      <c r="M50" s="156"/>
      <c r="N50" s="157"/>
      <c r="O50" s="155"/>
      <c r="P50" s="156" t="s">
        <v>84</v>
      </c>
      <c r="Q50" s="156"/>
      <c r="R50" s="156"/>
      <c r="S50" s="156"/>
      <c r="T50" s="156"/>
      <c r="U50" s="156"/>
      <c r="V50" s="156"/>
      <c r="W50" s="156"/>
      <c r="X50" s="156"/>
      <c r="Y50" s="156"/>
      <c r="Z50" s="157"/>
      <c r="AA50" s="155"/>
      <c r="AB50" s="156" t="s">
        <v>97</v>
      </c>
      <c r="AC50" s="156"/>
      <c r="AD50" s="156"/>
      <c r="AE50" s="156"/>
      <c r="AF50" s="156"/>
      <c r="AG50" s="156"/>
      <c r="AH50" s="157"/>
    </row>
    <row r="51" spans="6:34" x14ac:dyDescent="0.2">
      <c r="F51" s="141"/>
      <c r="G51" s="142"/>
      <c r="H51" s="143"/>
      <c r="I51" s="144"/>
      <c r="J51" s="145"/>
      <c r="K51" s="145"/>
      <c r="L51" s="145"/>
      <c r="M51" s="145"/>
      <c r="N51" s="146"/>
      <c r="O51" s="144"/>
      <c r="P51" s="145"/>
      <c r="Q51" s="145"/>
      <c r="R51" s="145"/>
      <c r="S51" s="145"/>
      <c r="T51" s="145"/>
      <c r="U51" s="145"/>
      <c r="V51" s="145"/>
      <c r="W51" s="145"/>
      <c r="X51" s="145"/>
      <c r="Y51" s="145"/>
      <c r="Z51" s="146"/>
      <c r="AA51" s="144"/>
      <c r="AB51" s="145"/>
      <c r="AC51" s="145"/>
      <c r="AD51" s="145"/>
      <c r="AE51" s="145"/>
      <c r="AF51" s="145"/>
      <c r="AG51" s="145"/>
      <c r="AH51" s="146"/>
    </row>
    <row r="52" spans="6:34" x14ac:dyDescent="0.2">
      <c r="F52" s="147">
        <v>45751</v>
      </c>
      <c r="G52" s="148"/>
      <c r="H52" s="149"/>
      <c r="I52" s="150" t="s">
        <v>93</v>
      </c>
      <c r="J52" s="137"/>
      <c r="K52" s="137"/>
      <c r="L52" s="137"/>
      <c r="M52" s="137"/>
      <c r="N52" s="151"/>
      <c r="O52" s="150"/>
      <c r="P52" s="137" t="s">
        <v>78</v>
      </c>
      <c r="Q52" s="137"/>
      <c r="R52" s="137"/>
      <c r="S52" s="137"/>
      <c r="T52" s="137"/>
      <c r="U52" s="137"/>
      <c r="V52" s="137"/>
      <c r="W52" s="137"/>
      <c r="X52" s="137"/>
      <c r="Y52" s="137"/>
      <c r="Z52" s="151"/>
      <c r="AA52" s="150" t="s">
        <v>77</v>
      </c>
      <c r="AB52" s="137"/>
      <c r="AC52" s="137"/>
      <c r="AD52" s="137"/>
      <c r="AE52" s="137"/>
      <c r="AF52" s="137"/>
      <c r="AG52" s="137"/>
      <c r="AH52" s="151"/>
    </row>
    <row r="53" spans="6:34" x14ac:dyDescent="0.2">
      <c r="F53" s="152"/>
      <c r="G53" s="153"/>
      <c r="H53" s="154"/>
      <c r="I53" s="155"/>
      <c r="J53" s="156"/>
      <c r="K53" s="156"/>
      <c r="L53" s="156"/>
      <c r="M53" s="156"/>
      <c r="N53" s="157"/>
      <c r="O53" s="155"/>
      <c r="P53" s="156" t="s">
        <v>85</v>
      </c>
      <c r="Q53" s="156"/>
      <c r="R53" s="156"/>
      <c r="S53" s="156"/>
      <c r="T53" s="156"/>
      <c r="U53" s="156"/>
      <c r="V53" s="156"/>
      <c r="W53" s="156"/>
      <c r="X53" s="156"/>
      <c r="Y53" s="156"/>
      <c r="Z53" s="157"/>
      <c r="AA53" s="155" t="s">
        <v>79</v>
      </c>
      <c r="AB53" s="156"/>
      <c r="AC53" s="156"/>
      <c r="AD53" s="156"/>
      <c r="AE53" s="156"/>
      <c r="AF53" s="156"/>
      <c r="AG53" s="156"/>
      <c r="AH53" s="157"/>
    </row>
    <row r="54" spans="6:34" x14ac:dyDescent="0.2">
      <c r="F54" s="141"/>
      <c r="G54" s="142"/>
      <c r="H54" s="143"/>
      <c r="I54" s="144"/>
      <c r="J54" s="145"/>
      <c r="K54" s="145"/>
      <c r="L54" s="145"/>
      <c r="M54" s="145"/>
      <c r="N54" s="146"/>
      <c r="O54" s="144"/>
      <c r="P54" s="145"/>
      <c r="Q54" s="145"/>
      <c r="R54" s="145"/>
      <c r="S54" s="145"/>
      <c r="T54" s="145"/>
      <c r="U54" s="145"/>
      <c r="V54" s="145"/>
      <c r="W54" s="145"/>
      <c r="X54" s="145"/>
      <c r="Y54" s="145"/>
      <c r="Z54" s="146"/>
      <c r="AA54" s="144"/>
      <c r="AB54" s="145"/>
      <c r="AC54" s="145"/>
      <c r="AD54" s="145"/>
      <c r="AE54" s="145"/>
      <c r="AF54" s="145"/>
      <c r="AG54" s="145"/>
      <c r="AH54" s="146"/>
    </row>
    <row r="55" spans="6:34" x14ac:dyDescent="0.2">
      <c r="F55" s="147">
        <v>45754</v>
      </c>
      <c r="G55" s="148"/>
      <c r="H55" s="149"/>
      <c r="I55" s="150" t="s">
        <v>81</v>
      </c>
      <c r="J55" s="137"/>
      <c r="K55" s="137"/>
      <c r="L55" s="137"/>
      <c r="M55" s="137"/>
      <c r="N55" s="151"/>
      <c r="O55" s="150"/>
      <c r="P55" s="137" t="s">
        <v>86</v>
      </c>
      <c r="Q55" s="137"/>
      <c r="R55" s="137"/>
      <c r="S55" s="137"/>
      <c r="T55" s="137"/>
      <c r="U55" s="137"/>
      <c r="V55" s="137"/>
      <c r="W55" s="137"/>
      <c r="X55" s="137"/>
      <c r="Y55" s="137"/>
      <c r="Z55" s="151"/>
      <c r="AA55" s="150"/>
      <c r="AB55" s="137"/>
      <c r="AC55" s="137"/>
      <c r="AD55" s="137"/>
      <c r="AE55" s="137"/>
      <c r="AF55" s="137"/>
      <c r="AG55" s="137"/>
      <c r="AH55" s="151"/>
    </row>
    <row r="56" spans="6:34" x14ac:dyDescent="0.2">
      <c r="F56" s="152"/>
      <c r="G56" s="153"/>
      <c r="H56" s="154"/>
      <c r="I56" s="155"/>
      <c r="J56" s="156"/>
      <c r="K56" s="156"/>
      <c r="L56" s="156"/>
      <c r="M56" s="156"/>
      <c r="N56" s="157"/>
      <c r="O56" s="155"/>
      <c r="P56" s="156" t="s">
        <v>80</v>
      </c>
      <c r="Q56" s="156"/>
      <c r="R56" s="156"/>
      <c r="S56" s="156"/>
      <c r="T56" s="156"/>
      <c r="U56" s="156"/>
      <c r="V56" s="156"/>
      <c r="W56" s="156"/>
      <c r="X56" s="156"/>
      <c r="Y56" s="156"/>
      <c r="Z56" s="157"/>
      <c r="AA56" s="155"/>
      <c r="AB56" s="156"/>
      <c r="AC56" s="156"/>
      <c r="AD56" s="156"/>
      <c r="AE56" s="156"/>
      <c r="AF56" s="156"/>
      <c r="AG56" s="156"/>
      <c r="AH56" s="157"/>
    </row>
    <row r="57" spans="6:34" x14ac:dyDescent="0.2">
      <c r="F57" s="141"/>
      <c r="G57" s="142"/>
      <c r="H57" s="143"/>
      <c r="I57" s="144"/>
      <c r="J57" s="145"/>
      <c r="K57" s="145"/>
      <c r="L57" s="145"/>
      <c r="M57" s="145"/>
      <c r="N57" s="146"/>
      <c r="O57" s="144"/>
      <c r="P57" s="145"/>
      <c r="Q57" s="145"/>
      <c r="R57" s="145"/>
      <c r="S57" s="145"/>
      <c r="T57" s="145"/>
      <c r="U57" s="145"/>
      <c r="V57" s="145"/>
      <c r="W57" s="145"/>
      <c r="X57" s="145"/>
      <c r="Y57" s="145"/>
      <c r="Z57" s="146"/>
      <c r="AA57" s="144"/>
      <c r="AB57" s="145"/>
      <c r="AC57" s="145"/>
      <c r="AD57" s="145"/>
      <c r="AE57" s="145"/>
      <c r="AF57" s="145"/>
      <c r="AG57" s="145"/>
      <c r="AH57" s="146"/>
    </row>
    <row r="58" spans="6:34" x14ac:dyDescent="0.2">
      <c r="F58" s="147">
        <v>45755</v>
      </c>
      <c r="G58" s="148"/>
      <c r="H58" s="149"/>
      <c r="I58" s="150" t="s">
        <v>82</v>
      </c>
      <c r="J58" s="137"/>
      <c r="K58" s="137"/>
      <c r="L58" s="137"/>
      <c r="M58" s="137"/>
      <c r="N58" s="151"/>
      <c r="O58" s="150"/>
      <c r="P58" s="137" t="s">
        <v>87</v>
      </c>
      <c r="Q58" s="137"/>
      <c r="R58" s="137"/>
      <c r="S58" s="137"/>
      <c r="T58" s="137"/>
      <c r="U58" s="137"/>
      <c r="V58" s="137"/>
      <c r="W58" s="137"/>
      <c r="X58" s="137"/>
      <c r="Y58" s="137"/>
      <c r="Z58" s="151"/>
      <c r="AA58" s="150"/>
      <c r="AB58" s="137"/>
      <c r="AC58" s="137"/>
      <c r="AD58" s="137"/>
      <c r="AE58" s="137"/>
      <c r="AF58" s="137"/>
      <c r="AG58" s="137"/>
      <c r="AH58" s="151"/>
    </row>
    <row r="59" spans="6:34" x14ac:dyDescent="0.2">
      <c r="F59" s="152"/>
      <c r="G59" s="153"/>
      <c r="H59" s="154"/>
      <c r="I59" s="155"/>
      <c r="J59" s="156"/>
      <c r="K59" s="156"/>
      <c r="L59" s="156"/>
      <c r="M59" s="156"/>
      <c r="N59" s="157"/>
      <c r="O59" s="155"/>
      <c r="P59" s="156" t="s">
        <v>88</v>
      </c>
      <c r="Q59" s="156"/>
      <c r="R59" s="156"/>
      <c r="S59" s="156"/>
      <c r="T59" s="156"/>
      <c r="U59" s="156"/>
      <c r="V59" s="156"/>
      <c r="W59" s="156"/>
      <c r="X59" s="156"/>
      <c r="Y59" s="156"/>
      <c r="Z59" s="157"/>
      <c r="AA59" s="155"/>
      <c r="AB59" s="156"/>
      <c r="AC59" s="156"/>
      <c r="AD59" s="156"/>
      <c r="AE59" s="156"/>
      <c r="AF59" s="156"/>
      <c r="AG59" s="156"/>
      <c r="AH59" s="157"/>
    </row>
    <row r="61" spans="6:34" x14ac:dyDescent="0.2">
      <c r="G61" s="137" t="s">
        <v>89</v>
      </c>
    </row>
    <row r="63" spans="6:34" x14ac:dyDescent="0.2">
      <c r="G63" s="137" t="s">
        <v>98</v>
      </c>
    </row>
    <row r="64" spans="6:34" x14ac:dyDescent="0.2">
      <c r="G64" s="137" t="s">
        <v>194</v>
      </c>
    </row>
    <row r="65" spans="7:30" x14ac:dyDescent="0.2">
      <c r="G65" s="137"/>
    </row>
    <row r="66" spans="7:30" x14ac:dyDescent="0.2">
      <c r="AD66" s="137" t="s">
        <v>150</v>
      </c>
    </row>
  </sheetData>
  <customSheetViews>
    <customSheetView guid="{588B52CB-128D-4476-A8D0-8A203A5F17F0}">
      <selection activeCell="AN32" sqref="AN32"/>
      <pageMargins left="0.70866141732283472" right="0.70866141732283472" top="0.31496062992125984" bottom="0.19685039370078741" header="0.15748031496062992" footer="0.15748031496062992"/>
      <printOptions horizontalCentered="1"/>
      <pageSetup paperSize="9" orientation="portrait" r:id="rId1"/>
    </customSheetView>
  </customSheetViews>
  <phoneticPr fontId="7"/>
  <printOptions horizontalCentered="1"/>
  <pageMargins left="0.70866141732283472" right="0.70866141732283472" top="0.31496062992125984" bottom="0.19685039370078741" header="0.15748031496062992" footer="0.15748031496062992"/>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E7"/>
  <sheetViews>
    <sheetView workbookViewId="0">
      <selection activeCell="J22" sqref="J22"/>
    </sheetView>
  </sheetViews>
  <sheetFormatPr defaultRowHeight="13" x14ac:dyDescent="0.2"/>
  <sheetData>
    <row r="3" spans="2:5" x14ac:dyDescent="0.2">
      <c r="B3" t="s">
        <v>52</v>
      </c>
    </row>
    <row r="5" spans="2:5" x14ac:dyDescent="0.2">
      <c r="C5" t="s">
        <v>57</v>
      </c>
      <c r="D5" t="s">
        <v>58</v>
      </c>
      <c r="E5" t="s">
        <v>59</v>
      </c>
    </row>
    <row r="7" spans="2:5" x14ac:dyDescent="0.2">
      <c r="B7" t="s">
        <v>60</v>
      </c>
    </row>
  </sheetData>
  <customSheetViews>
    <customSheetView guid="{588B52CB-128D-4476-A8D0-8A203A5F17F0}">
      <selection activeCell="J22" sqref="J22"/>
      <pageMargins left="0.7" right="0.7" top="0.75" bottom="0.75" header="0.3" footer="0.3"/>
    </customSheetView>
  </customSheetViews>
  <phoneticPr fontId="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5119-8380-42F7-BDAC-DBD3E571938F}">
  <dimension ref="B2:AD13"/>
  <sheetViews>
    <sheetView showGridLines="0" topLeftCell="A13" workbookViewId="0">
      <selection activeCell="AN13" sqref="AN13"/>
    </sheetView>
  </sheetViews>
  <sheetFormatPr defaultColWidth="2.6328125" defaultRowHeight="21" customHeight="1" x14ac:dyDescent="0.25"/>
  <cols>
    <col min="1" max="16384" width="2.6328125" style="263"/>
  </cols>
  <sheetData>
    <row r="2" spans="2:30" ht="21" customHeight="1" x14ac:dyDescent="0.25">
      <c r="AD2" s="264" t="s">
        <v>135</v>
      </c>
    </row>
    <row r="3" spans="2:30" ht="21" customHeight="1" x14ac:dyDescent="0.25">
      <c r="B3" s="263" t="s">
        <v>109</v>
      </c>
    </row>
    <row r="4" spans="2:30" ht="21" customHeight="1" x14ac:dyDescent="0.25">
      <c r="AD4" s="264" t="s">
        <v>113</v>
      </c>
    </row>
    <row r="7" spans="2:30" ht="21" customHeight="1" x14ac:dyDescent="0.3">
      <c r="I7" s="265" t="s">
        <v>136</v>
      </c>
    </row>
    <row r="10" spans="2:30" ht="21" customHeight="1" x14ac:dyDescent="0.25">
      <c r="F10" s="263" t="s">
        <v>144</v>
      </c>
    </row>
    <row r="11" spans="2:30" ht="21" customHeight="1" x14ac:dyDescent="0.25">
      <c r="F11" s="263" t="s">
        <v>137</v>
      </c>
    </row>
    <row r="12" spans="2:30" ht="21" customHeight="1" x14ac:dyDescent="0.25">
      <c r="F12" s="263" t="s">
        <v>145</v>
      </c>
    </row>
    <row r="13" spans="2:30" ht="21" customHeight="1" x14ac:dyDescent="0.25">
      <c r="F13" s="263" t="s">
        <v>146</v>
      </c>
    </row>
  </sheetData>
  <customSheetViews>
    <customSheetView guid="{588B52CB-128D-4476-A8D0-8A203A5F17F0}" showGridLines="0" topLeftCell="A13">
      <selection activeCell="AN13" sqref="AN13"/>
      <pageMargins left="0.70866141732283472" right="0.70866141732283472" top="0.74803149606299213" bottom="0.74803149606299213" header="0.31496062992125984" footer="0.31496062992125984"/>
      <printOptions horizontalCentered="1"/>
      <pageSetup paperSize="9" orientation="portrait" r:id="rId1"/>
    </customSheetView>
  </customSheetViews>
  <phoneticPr fontId="7"/>
  <printOptions horizontalCentered="1"/>
  <pageMargins left="0.70866141732283472" right="0.70866141732283472" top="0.74803149606299213" bottom="0.74803149606299213" header="0.31496062992125984" footer="0.31496062992125984"/>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3EF97-5674-4B40-A294-F99AEC89C75B}">
  <dimension ref="B2:AD14"/>
  <sheetViews>
    <sheetView showGridLines="0" workbookViewId="0">
      <selection activeCell="AB13" sqref="AB13"/>
    </sheetView>
  </sheetViews>
  <sheetFormatPr defaultColWidth="2.6328125" defaultRowHeight="21" customHeight="1" x14ac:dyDescent="0.25"/>
  <cols>
    <col min="1" max="16384" width="2.6328125" style="263"/>
  </cols>
  <sheetData>
    <row r="2" spans="2:30" ht="21" customHeight="1" x14ac:dyDescent="0.25">
      <c r="AD2" s="264" t="s">
        <v>112</v>
      </c>
    </row>
    <row r="3" spans="2:30" ht="21" customHeight="1" x14ac:dyDescent="0.25">
      <c r="B3" s="263" t="s">
        <v>109</v>
      </c>
    </row>
    <row r="4" spans="2:30" ht="21" customHeight="1" x14ac:dyDescent="0.25">
      <c r="AD4" s="264" t="s">
        <v>113</v>
      </c>
    </row>
    <row r="7" spans="2:30" ht="21" customHeight="1" x14ac:dyDescent="0.3">
      <c r="I7" s="265" t="s">
        <v>110</v>
      </c>
    </row>
    <row r="10" spans="2:30" ht="21" customHeight="1" x14ac:dyDescent="0.25">
      <c r="F10" s="263" t="s">
        <v>114</v>
      </c>
    </row>
    <row r="11" spans="2:30" ht="21" customHeight="1" x14ac:dyDescent="0.25">
      <c r="F11" s="263" t="s">
        <v>111</v>
      </c>
    </row>
    <row r="12" spans="2:30" ht="21" customHeight="1" x14ac:dyDescent="0.25">
      <c r="F12" s="263" t="s">
        <v>115</v>
      </c>
    </row>
    <row r="14" spans="2:30" ht="21" customHeight="1" x14ac:dyDescent="0.3">
      <c r="I14" s="266" t="s">
        <v>119</v>
      </c>
    </row>
  </sheetData>
  <customSheetViews>
    <customSheetView guid="{588B52CB-128D-4476-A8D0-8A203A5F17F0}" showGridLines="0">
      <selection activeCell="AB13" sqref="AB13"/>
      <pageMargins left="0.70866141732283472" right="0.70866141732283472" top="0.74803149606299213" bottom="0.74803149606299213" header="0.31496062992125984" footer="0.31496062992125984"/>
      <printOptions horizontalCentered="1"/>
      <pageSetup paperSize="9" orientation="portrait" r:id="rId1"/>
    </customSheetView>
  </customSheetViews>
  <phoneticPr fontId="7"/>
  <printOptions horizontalCentered="1"/>
  <pageMargins left="0.70866141732283472" right="0.70866141732283472" top="0.74803149606299213" bottom="0.74803149606299213" header="0.31496062992125984" footer="0.31496062992125984"/>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CC4C-339A-4539-B934-CDD6C56B9006}">
  <dimension ref="B2:AD15"/>
  <sheetViews>
    <sheetView showGridLines="0" workbookViewId="0">
      <selection activeCell="AL13" sqref="AL13"/>
    </sheetView>
  </sheetViews>
  <sheetFormatPr defaultColWidth="2.6328125" defaultRowHeight="21" customHeight="1" x14ac:dyDescent="0.25"/>
  <cols>
    <col min="1" max="16384" width="2.6328125" style="263"/>
  </cols>
  <sheetData>
    <row r="2" spans="2:30" ht="21" customHeight="1" x14ac:dyDescent="0.25">
      <c r="AD2" s="264" t="s">
        <v>135</v>
      </c>
    </row>
    <row r="3" spans="2:30" ht="21" customHeight="1" x14ac:dyDescent="0.25">
      <c r="B3" s="263" t="s">
        <v>109</v>
      </c>
    </row>
    <row r="4" spans="2:30" ht="21" customHeight="1" x14ac:dyDescent="0.25">
      <c r="AD4" s="264" t="s">
        <v>113</v>
      </c>
    </row>
    <row r="7" spans="2:30" ht="21" customHeight="1" x14ac:dyDescent="0.3">
      <c r="I7" s="265" t="s">
        <v>138</v>
      </c>
    </row>
    <row r="10" spans="2:30" ht="21" customHeight="1" x14ac:dyDescent="0.25">
      <c r="F10" s="263" t="s">
        <v>140</v>
      </c>
    </row>
    <row r="11" spans="2:30" ht="21" customHeight="1" x14ac:dyDescent="0.25">
      <c r="F11" s="263" t="s">
        <v>139</v>
      </c>
    </row>
    <row r="12" spans="2:30" ht="21" customHeight="1" x14ac:dyDescent="0.25">
      <c r="F12" s="272"/>
    </row>
    <row r="13" spans="2:30" ht="21" customHeight="1" x14ac:dyDescent="0.25">
      <c r="F13" s="272" t="s">
        <v>142</v>
      </c>
      <c r="G13" s="272"/>
      <c r="H13" s="272"/>
      <c r="I13" s="272"/>
      <c r="J13" s="272"/>
      <c r="K13" s="272"/>
      <c r="L13" s="272"/>
      <c r="M13" s="272"/>
      <c r="N13" s="272"/>
      <c r="O13" s="272"/>
      <c r="P13" s="272"/>
      <c r="Q13" s="272"/>
      <c r="R13" s="272"/>
      <c r="S13" s="272"/>
      <c r="T13" s="272"/>
      <c r="U13" s="272"/>
      <c r="V13" s="272"/>
      <c r="W13" s="272"/>
      <c r="X13" s="272"/>
      <c r="Y13" s="272"/>
    </row>
    <row r="14" spans="2:30" ht="21" customHeight="1" x14ac:dyDescent="0.25">
      <c r="E14" s="263" t="s">
        <v>141</v>
      </c>
      <c r="F14" s="272"/>
      <c r="G14" s="272"/>
      <c r="H14" s="272"/>
      <c r="I14" s="272"/>
      <c r="J14" s="272"/>
      <c r="K14" s="272"/>
      <c r="L14" s="272"/>
      <c r="M14" s="272"/>
      <c r="N14" s="272"/>
      <c r="O14" s="272"/>
      <c r="P14" s="272"/>
      <c r="Q14" s="272"/>
      <c r="R14" s="272"/>
      <c r="S14" s="272"/>
      <c r="T14" s="272"/>
      <c r="U14" s="272"/>
      <c r="V14" s="272"/>
      <c r="W14" s="272"/>
      <c r="X14" s="272"/>
      <c r="Y14" s="272"/>
    </row>
    <row r="15" spans="2:30" ht="21" customHeight="1" x14ac:dyDescent="0.25">
      <c r="E15" s="351" t="s">
        <v>143</v>
      </c>
      <c r="F15" s="351"/>
      <c r="G15" s="351"/>
      <c r="H15" s="351"/>
      <c r="I15" s="351"/>
      <c r="J15" s="351"/>
      <c r="K15" s="351"/>
      <c r="L15" s="351"/>
      <c r="M15" s="351"/>
      <c r="N15" s="351"/>
      <c r="O15" s="351"/>
      <c r="P15" s="351"/>
      <c r="Q15" s="351"/>
      <c r="R15" s="351"/>
      <c r="S15" s="351"/>
      <c r="T15" s="351"/>
      <c r="U15" s="351"/>
      <c r="V15" s="351"/>
      <c r="W15" s="351"/>
      <c r="X15" s="272"/>
      <c r="Y15" s="272"/>
    </row>
  </sheetData>
  <customSheetViews>
    <customSheetView guid="{588B52CB-128D-4476-A8D0-8A203A5F17F0}" showGridLines="0">
      <selection activeCell="AL13" sqref="AL13"/>
      <pageMargins left="0.70866141732283472" right="0.70866141732283472" top="0.74803149606299213" bottom="0.74803149606299213" header="0.31496062992125984" footer="0.31496062992125984"/>
      <printOptions horizontalCentered="1"/>
      <pageSetup paperSize="9" orientation="portrait" r:id="rId1"/>
    </customSheetView>
  </customSheetViews>
  <mergeCells count="1">
    <mergeCell ref="E15:W15"/>
  </mergeCells>
  <phoneticPr fontId="7"/>
  <printOptions horizontalCentered="1"/>
  <pageMargins left="0.70866141732283472" right="0.70866141732283472" top="0.74803149606299213" bottom="0.74803149606299213" header="0.31496062992125984" footer="0.31496062992125984"/>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E319-BDBF-40D9-A307-E9B6FD4ABF73}">
  <sheetPr>
    <pageSetUpPr fitToPage="1"/>
  </sheetPr>
  <dimension ref="A1:CE57"/>
  <sheetViews>
    <sheetView zoomScale="90" zoomScaleNormal="90" workbookViewId="0">
      <selection sqref="A1:XFD1048576"/>
    </sheetView>
  </sheetViews>
  <sheetFormatPr defaultRowHeight="14" x14ac:dyDescent="0.2"/>
  <cols>
    <col min="1" max="1" width="3.6328125" customWidth="1"/>
    <col min="2" max="2" width="4.6328125" style="1" customWidth="1"/>
    <col min="3" max="3" width="7.6328125" style="1" customWidth="1"/>
    <col min="4" max="9" width="5.08984375" style="1" customWidth="1"/>
    <col min="10" max="10" width="1.6328125" style="1" customWidth="1"/>
    <col min="11" max="16" width="5.08984375" style="1" customWidth="1"/>
    <col min="17" max="17" width="1.6328125" style="1" customWidth="1"/>
    <col min="18" max="23" width="5.08984375" style="1" customWidth="1"/>
    <col min="24" max="24" width="1.6328125" style="1" customWidth="1"/>
    <col min="25" max="28" width="5.08984375" style="1" customWidth="1"/>
    <col min="29" max="29" width="5.08984375" style="33" customWidth="1"/>
    <col min="30" max="30" width="5.08984375" style="1" customWidth="1"/>
    <col min="31" max="31" width="1.6328125" style="1" customWidth="1"/>
    <col min="32" max="37" width="5.08984375" style="1" customWidth="1"/>
    <col min="38" max="38" width="7.6328125" style="1" customWidth="1"/>
    <col min="43" max="68" width="4.6328125" customWidth="1"/>
  </cols>
  <sheetData>
    <row r="1" spans="1:83" x14ac:dyDescent="0.2">
      <c r="A1" s="4"/>
      <c r="B1" s="5"/>
      <c r="C1" s="5"/>
      <c r="D1" s="5"/>
      <c r="E1" s="5"/>
      <c r="F1" s="5"/>
      <c r="G1" s="5"/>
      <c r="H1" s="5"/>
      <c r="I1" s="5"/>
      <c r="J1" s="5"/>
      <c r="K1" s="5"/>
      <c r="L1" s="5"/>
      <c r="M1" s="5"/>
      <c r="N1" s="5"/>
      <c r="O1" s="5"/>
      <c r="P1" s="5"/>
      <c r="Q1" s="5"/>
      <c r="R1" s="5"/>
      <c r="S1" s="5"/>
      <c r="T1" s="5"/>
      <c r="U1" s="5"/>
      <c r="V1" s="5"/>
      <c r="W1" s="5"/>
      <c r="X1" s="5"/>
      <c r="Y1" s="5"/>
      <c r="Z1" s="5"/>
      <c r="AA1" s="5"/>
      <c r="AB1" s="5"/>
      <c r="AC1" s="31"/>
      <c r="AD1" s="5"/>
      <c r="AE1" s="5"/>
      <c r="AF1" s="5"/>
      <c r="AG1" s="5"/>
      <c r="AH1" s="5"/>
      <c r="AI1" s="5"/>
      <c r="AJ1" s="5"/>
      <c r="AK1" s="5"/>
      <c r="AL1" s="5"/>
      <c r="AM1" s="4"/>
    </row>
    <row r="2" spans="1:83" ht="14.5" thickBot="1" x14ac:dyDescent="0.25">
      <c r="A2" s="3">
        <v>1</v>
      </c>
      <c r="B2" s="41">
        <v>2</v>
      </c>
      <c r="C2" s="3">
        <v>3</v>
      </c>
      <c r="D2" s="3">
        <v>4</v>
      </c>
      <c r="E2" s="3">
        <v>5</v>
      </c>
      <c r="F2" s="3">
        <v>6</v>
      </c>
      <c r="G2" s="3">
        <v>7</v>
      </c>
      <c r="H2" s="3">
        <v>8</v>
      </c>
      <c r="I2" s="3">
        <v>9</v>
      </c>
      <c r="J2" s="3">
        <v>10</v>
      </c>
      <c r="K2" s="3">
        <v>11</v>
      </c>
      <c r="L2" s="3">
        <v>12</v>
      </c>
      <c r="M2" s="3">
        <v>13</v>
      </c>
      <c r="N2" s="3">
        <v>14</v>
      </c>
      <c r="O2" s="3">
        <v>15</v>
      </c>
      <c r="P2" s="3">
        <v>16</v>
      </c>
      <c r="Q2" s="3">
        <v>17</v>
      </c>
      <c r="R2" s="3">
        <v>18</v>
      </c>
      <c r="S2" s="3">
        <v>19</v>
      </c>
      <c r="T2" s="3">
        <v>20</v>
      </c>
      <c r="U2" s="3">
        <v>21</v>
      </c>
      <c r="V2" s="3">
        <v>22</v>
      </c>
      <c r="W2" s="3">
        <v>23</v>
      </c>
      <c r="X2" s="3">
        <v>24</v>
      </c>
      <c r="Y2" s="3">
        <v>25</v>
      </c>
      <c r="Z2" s="3">
        <v>26</v>
      </c>
      <c r="AA2" s="3">
        <v>27</v>
      </c>
      <c r="AB2" s="3">
        <v>28</v>
      </c>
      <c r="AC2" s="32">
        <v>29</v>
      </c>
      <c r="AD2" s="3">
        <v>30</v>
      </c>
      <c r="AE2" s="3">
        <v>31</v>
      </c>
      <c r="AF2" s="3">
        <v>32</v>
      </c>
      <c r="AG2" s="3">
        <v>33</v>
      </c>
      <c r="AH2" s="3">
        <v>34</v>
      </c>
      <c r="AI2" s="3">
        <v>35</v>
      </c>
      <c r="AJ2" s="3">
        <v>36</v>
      </c>
      <c r="AK2" s="3">
        <v>37</v>
      </c>
      <c r="AL2" s="3"/>
      <c r="AM2" s="4"/>
    </row>
    <row r="3" spans="1:83" ht="19.5" thickBot="1" x14ac:dyDescent="0.35">
      <c r="A3" s="3"/>
      <c r="B3" s="50" t="s">
        <v>201</v>
      </c>
      <c r="E3" s="50" t="s">
        <v>276</v>
      </c>
      <c r="O3" s="278"/>
      <c r="W3" s="101"/>
      <c r="X3" s="101"/>
      <c r="Y3" s="101"/>
      <c r="Z3" s="101"/>
      <c r="AA3" s="101"/>
      <c r="AB3" s="101"/>
      <c r="AC3" s="101"/>
      <c r="AD3" s="327">
        <f ca="1">TODAY()</f>
        <v>46253</v>
      </c>
      <c r="AE3" s="328"/>
      <c r="AF3" s="328"/>
      <c r="AG3" s="160" t="s">
        <v>120</v>
      </c>
      <c r="AH3" s="161"/>
      <c r="AI3" s="101"/>
      <c r="AJ3" s="101"/>
      <c r="AK3" s="101"/>
      <c r="AM3" s="4"/>
    </row>
    <row r="4" spans="1:83" ht="20.25" customHeight="1" thickBot="1" x14ac:dyDescent="0.3">
      <c r="A4" s="3"/>
      <c r="C4" s="68"/>
      <c r="D4" s="6"/>
      <c r="E4" s="6"/>
      <c r="F4" s="6"/>
      <c r="G4" s="6"/>
      <c r="K4" s="329"/>
      <c r="L4" s="329"/>
      <c r="N4" s="280"/>
      <c r="V4" s="100"/>
      <c r="W4" s="100"/>
      <c r="X4" s="100"/>
      <c r="Y4" s="100"/>
      <c r="Z4" s="100"/>
      <c r="AA4" s="100"/>
      <c r="AB4" s="100"/>
      <c r="AC4" s="100"/>
      <c r="AD4" s="100"/>
      <c r="AE4" s="100"/>
      <c r="AF4" s="100"/>
      <c r="AG4" s="100"/>
      <c r="AH4" s="100"/>
      <c r="AI4" s="100"/>
      <c r="AJ4" s="100"/>
      <c r="AK4" s="100"/>
      <c r="AM4" s="4"/>
    </row>
    <row r="5" spans="1:83" ht="15" customHeight="1" x14ac:dyDescent="0.2">
      <c r="A5" s="3"/>
      <c r="B5" s="330" t="s">
        <v>0</v>
      </c>
      <c r="C5" s="332"/>
      <c r="D5" s="334" t="s">
        <v>2</v>
      </c>
      <c r="E5" s="334"/>
      <c r="F5" s="334"/>
      <c r="G5" s="334"/>
      <c r="H5" s="334"/>
      <c r="I5" s="335"/>
      <c r="J5" s="53"/>
      <c r="K5" s="336" t="s">
        <v>4</v>
      </c>
      <c r="L5" s="336"/>
      <c r="M5" s="336"/>
      <c r="N5" s="336"/>
      <c r="O5" s="336"/>
      <c r="P5" s="336"/>
      <c r="Q5" s="53"/>
      <c r="R5" s="336" t="s">
        <v>6</v>
      </c>
      <c r="S5" s="336"/>
      <c r="T5" s="336"/>
      <c r="U5" s="336"/>
      <c r="V5" s="336"/>
      <c r="W5" s="336"/>
      <c r="X5" s="53"/>
      <c r="Y5" s="336" t="s">
        <v>8</v>
      </c>
      <c r="Z5" s="336"/>
      <c r="AA5" s="336"/>
      <c r="AB5" s="336"/>
      <c r="AC5" s="336"/>
      <c r="AD5" s="336"/>
      <c r="AE5" s="53"/>
      <c r="AF5" s="336" t="s">
        <v>10</v>
      </c>
      <c r="AG5" s="336"/>
      <c r="AH5" s="336"/>
      <c r="AI5" s="336"/>
      <c r="AJ5" s="336"/>
      <c r="AK5" s="337"/>
      <c r="AL5" s="54"/>
      <c r="AM5" s="4"/>
    </row>
    <row r="6" spans="1:83" ht="15" customHeight="1" thickBot="1" x14ac:dyDescent="0.25">
      <c r="A6" s="3"/>
      <c r="B6" s="331"/>
      <c r="C6" s="333"/>
      <c r="D6" s="321">
        <v>1</v>
      </c>
      <c r="E6" s="279">
        <v>2</v>
      </c>
      <c r="F6" s="279">
        <v>3</v>
      </c>
      <c r="G6" s="279">
        <v>4</v>
      </c>
      <c r="H6" s="279">
        <v>5</v>
      </c>
      <c r="I6" s="279">
        <v>6</v>
      </c>
      <c r="J6" s="22"/>
      <c r="K6" s="279">
        <v>1</v>
      </c>
      <c r="L6" s="279">
        <v>2</v>
      </c>
      <c r="M6" s="279">
        <v>3</v>
      </c>
      <c r="N6" s="279">
        <v>4</v>
      </c>
      <c r="O6" s="279">
        <v>5</v>
      </c>
      <c r="P6" s="279">
        <v>6</v>
      </c>
      <c r="Q6" s="22"/>
      <c r="R6" s="279">
        <v>1</v>
      </c>
      <c r="S6" s="279">
        <v>2</v>
      </c>
      <c r="T6" s="279">
        <v>3</v>
      </c>
      <c r="U6" s="279">
        <v>4</v>
      </c>
      <c r="V6" s="279">
        <v>5</v>
      </c>
      <c r="W6" s="279">
        <v>6</v>
      </c>
      <c r="X6" s="22"/>
      <c r="Y6" s="279">
        <v>1</v>
      </c>
      <c r="Z6" s="279">
        <v>2</v>
      </c>
      <c r="AA6" s="279">
        <v>3</v>
      </c>
      <c r="AB6" s="279">
        <v>4</v>
      </c>
      <c r="AC6" s="279">
        <v>5</v>
      </c>
      <c r="AD6" s="293">
        <v>6</v>
      </c>
      <c r="AE6" s="22"/>
      <c r="AF6" s="279">
        <v>1</v>
      </c>
      <c r="AG6" s="279">
        <v>2</v>
      </c>
      <c r="AH6" s="279">
        <v>3</v>
      </c>
      <c r="AI6" s="279">
        <v>4</v>
      </c>
      <c r="AJ6" s="279">
        <v>5</v>
      </c>
      <c r="AK6" s="285">
        <v>6</v>
      </c>
      <c r="AL6" s="55" t="s">
        <v>1</v>
      </c>
      <c r="AM6" s="4"/>
    </row>
    <row r="7" spans="1:83" ht="16.5" customHeight="1" x14ac:dyDescent="0.2">
      <c r="A7" s="3">
        <v>1</v>
      </c>
      <c r="B7" s="59" t="s">
        <v>152</v>
      </c>
      <c r="C7" s="56" t="s">
        <v>210</v>
      </c>
      <c r="D7" s="72"/>
      <c r="E7" s="69" t="s">
        <v>166</v>
      </c>
      <c r="F7" s="69" t="s">
        <v>231</v>
      </c>
      <c r="G7" s="69"/>
      <c r="H7" s="69" t="s">
        <v>152</v>
      </c>
      <c r="I7" s="69" t="s">
        <v>103</v>
      </c>
      <c r="J7" s="273"/>
      <c r="K7" s="69"/>
      <c r="L7" s="69" t="s">
        <v>275</v>
      </c>
      <c r="M7" s="69" t="s">
        <v>166</v>
      </c>
      <c r="N7" s="69"/>
      <c r="O7" s="69"/>
      <c r="P7" s="69" t="s">
        <v>154</v>
      </c>
      <c r="Q7" s="273" t="s">
        <v>101</v>
      </c>
      <c r="R7" s="69" t="s">
        <v>152</v>
      </c>
      <c r="S7" s="69"/>
      <c r="T7" s="69" t="s">
        <v>156</v>
      </c>
      <c r="U7" s="69"/>
      <c r="V7" s="69" t="s">
        <v>154</v>
      </c>
      <c r="W7" s="69" t="s">
        <v>104</v>
      </c>
      <c r="X7" s="273"/>
      <c r="Y7" s="69" t="s">
        <v>154</v>
      </c>
      <c r="Z7" s="69"/>
      <c r="AA7" s="69" t="s">
        <v>235</v>
      </c>
      <c r="AB7" s="69" t="s">
        <v>156</v>
      </c>
      <c r="AC7" s="69" t="s">
        <v>166</v>
      </c>
      <c r="AD7" s="273" t="s">
        <v>101</v>
      </c>
      <c r="AE7" s="273" t="s">
        <v>101</v>
      </c>
      <c r="AF7" s="69" t="s">
        <v>152</v>
      </c>
      <c r="AG7" s="69"/>
      <c r="AH7" s="69"/>
      <c r="AI7" s="69" t="s">
        <v>166</v>
      </c>
      <c r="AJ7" s="69" t="s">
        <v>156</v>
      </c>
      <c r="AK7" s="289" t="s">
        <v>30</v>
      </c>
      <c r="AL7" s="63" t="str">
        <f t="shared" ref="AL7:AL50" si="0">IF(C7="","",C7)</f>
        <v>柿家</v>
      </c>
      <c r="AM7" s="4"/>
      <c r="CE7" t="str">
        <f>ASC(AR7)</f>
        <v/>
      </c>
    </row>
    <row r="8" spans="1:83" ht="16.5" customHeight="1" x14ac:dyDescent="0.2">
      <c r="A8" s="3">
        <v>2</v>
      </c>
      <c r="B8" s="60" t="s">
        <v>154</v>
      </c>
      <c r="C8" s="56" t="s">
        <v>177</v>
      </c>
      <c r="D8" s="72"/>
      <c r="E8" s="69"/>
      <c r="F8" s="69" t="s">
        <v>170</v>
      </c>
      <c r="G8" s="69" t="s">
        <v>169</v>
      </c>
      <c r="H8" s="69" t="s">
        <v>166</v>
      </c>
      <c r="I8" s="69" t="s">
        <v>103</v>
      </c>
      <c r="J8" s="273"/>
      <c r="K8" s="69"/>
      <c r="L8" s="69" t="s">
        <v>227</v>
      </c>
      <c r="M8" s="69"/>
      <c r="N8" s="69"/>
      <c r="O8" s="69" t="s">
        <v>156</v>
      </c>
      <c r="P8" s="69" t="s">
        <v>158</v>
      </c>
      <c r="Q8" s="273" t="s">
        <v>101</v>
      </c>
      <c r="R8" s="69" t="s">
        <v>229</v>
      </c>
      <c r="S8" s="69" t="s">
        <v>228</v>
      </c>
      <c r="T8" s="69"/>
      <c r="U8" s="69" t="s">
        <v>167</v>
      </c>
      <c r="V8" s="69" t="s">
        <v>168</v>
      </c>
      <c r="W8" s="69" t="s">
        <v>104</v>
      </c>
      <c r="X8" s="273"/>
      <c r="Y8" s="69"/>
      <c r="Z8" s="69" t="s">
        <v>152</v>
      </c>
      <c r="AA8" s="69" t="s">
        <v>154</v>
      </c>
      <c r="AB8" s="69" t="s">
        <v>147</v>
      </c>
      <c r="AC8" s="69"/>
      <c r="AD8" s="273" t="s">
        <v>101</v>
      </c>
      <c r="AE8" s="273" t="s">
        <v>101</v>
      </c>
      <c r="AF8" s="69" t="s">
        <v>275</v>
      </c>
      <c r="AG8" s="69" t="s">
        <v>275</v>
      </c>
      <c r="AH8" s="69" t="s">
        <v>275</v>
      </c>
      <c r="AI8" s="69"/>
      <c r="AJ8" s="69" t="s">
        <v>212</v>
      </c>
      <c r="AK8" s="289" t="s">
        <v>30</v>
      </c>
      <c r="AL8" s="64" t="str">
        <f t="shared" si="0"/>
        <v>石垣</v>
      </c>
      <c r="AM8" s="4"/>
    </row>
    <row r="9" spans="1:83" ht="16.5" customHeight="1" x14ac:dyDescent="0.2">
      <c r="A9" s="3">
        <v>3</v>
      </c>
      <c r="B9" s="60" t="s">
        <v>156</v>
      </c>
      <c r="C9" s="56" t="s">
        <v>181</v>
      </c>
      <c r="D9" s="72" t="s">
        <v>156</v>
      </c>
      <c r="E9" s="69" t="s">
        <v>212</v>
      </c>
      <c r="F9" s="69" t="s">
        <v>231</v>
      </c>
      <c r="G9" s="69"/>
      <c r="H9" s="69" t="s">
        <v>154</v>
      </c>
      <c r="I9" s="69" t="s">
        <v>103</v>
      </c>
      <c r="J9" s="273"/>
      <c r="K9" s="69" t="s">
        <v>212</v>
      </c>
      <c r="L9" s="69"/>
      <c r="M9" s="69" t="s">
        <v>240</v>
      </c>
      <c r="N9" s="69"/>
      <c r="O9" s="69" t="s">
        <v>248</v>
      </c>
      <c r="P9" s="69"/>
      <c r="Q9" s="273" t="s">
        <v>101</v>
      </c>
      <c r="R9" s="69"/>
      <c r="S9" s="69"/>
      <c r="T9" s="69" t="s">
        <v>272</v>
      </c>
      <c r="U9" s="69" t="s">
        <v>156</v>
      </c>
      <c r="V9" s="69"/>
      <c r="W9" s="69" t="s">
        <v>104</v>
      </c>
      <c r="X9" s="273"/>
      <c r="Y9" s="69" t="s">
        <v>155</v>
      </c>
      <c r="Z9" s="69" t="s">
        <v>153</v>
      </c>
      <c r="AA9" s="69" t="s">
        <v>159</v>
      </c>
      <c r="AB9" s="69"/>
      <c r="AC9" s="69"/>
      <c r="AD9" s="273" t="s">
        <v>101</v>
      </c>
      <c r="AE9" s="273" t="s">
        <v>101</v>
      </c>
      <c r="AF9" s="69" t="s">
        <v>154</v>
      </c>
      <c r="AG9" s="69" t="s">
        <v>242</v>
      </c>
      <c r="AH9" s="69"/>
      <c r="AI9" s="69" t="s">
        <v>244</v>
      </c>
      <c r="AJ9" s="69" t="s">
        <v>245</v>
      </c>
      <c r="AK9" s="289" t="s">
        <v>30</v>
      </c>
      <c r="AL9" s="64" t="str">
        <f t="shared" si="0"/>
        <v>石飛</v>
      </c>
      <c r="AM9" s="4"/>
    </row>
    <row r="10" spans="1:83" ht="16.5" customHeight="1" x14ac:dyDescent="0.2">
      <c r="A10" s="3">
        <v>4</v>
      </c>
      <c r="B10" s="60" t="s">
        <v>156</v>
      </c>
      <c r="C10" s="56" t="s">
        <v>211</v>
      </c>
      <c r="D10" s="72" t="s">
        <v>152</v>
      </c>
      <c r="E10" s="69"/>
      <c r="F10" s="69" t="s">
        <v>156</v>
      </c>
      <c r="G10" s="69"/>
      <c r="H10" s="69" t="s">
        <v>147</v>
      </c>
      <c r="I10" s="69" t="s">
        <v>103</v>
      </c>
      <c r="J10" s="273"/>
      <c r="K10" s="69"/>
      <c r="L10" s="69" t="s">
        <v>117</v>
      </c>
      <c r="M10" s="69" t="s">
        <v>147</v>
      </c>
      <c r="N10" s="69"/>
      <c r="O10" s="69"/>
      <c r="P10" s="69" t="s">
        <v>156</v>
      </c>
      <c r="Q10" s="273" t="s">
        <v>101</v>
      </c>
      <c r="R10" s="69" t="s">
        <v>147</v>
      </c>
      <c r="S10" s="69" t="s">
        <v>156</v>
      </c>
      <c r="T10" s="69" t="s">
        <v>152</v>
      </c>
      <c r="U10" s="69"/>
      <c r="V10" s="69"/>
      <c r="W10" s="69" t="s">
        <v>104</v>
      </c>
      <c r="X10" s="273"/>
      <c r="Y10" s="69" t="s">
        <v>117</v>
      </c>
      <c r="Z10" s="69" t="s">
        <v>156</v>
      </c>
      <c r="AA10" s="69"/>
      <c r="AB10" s="69"/>
      <c r="AC10" s="69" t="s">
        <v>152</v>
      </c>
      <c r="AD10" s="273" t="s">
        <v>101</v>
      </c>
      <c r="AE10" s="273" t="s">
        <v>101</v>
      </c>
      <c r="AF10" s="69" t="s">
        <v>147</v>
      </c>
      <c r="AG10" s="69" t="s">
        <v>152</v>
      </c>
      <c r="AH10" s="69" t="s">
        <v>274</v>
      </c>
      <c r="AI10" s="69" t="s">
        <v>274</v>
      </c>
      <c r="AJ10" s="69"/>
      <c r="AK10" s="289" t="s">
        <v>30</v>
      </c>
      <c r="AL10" s="64" t="str">
        <f t="shared" si="0"/>
        <v>高橋咲</v>
      </c>
      <c r="AM10" s="4"/>
    </row>
    <row r="11" spans="1:83" ht="16.5" customHeight="1" x14ac:dyDescent="0.2">
      <c r="A11" s="3">
        <v>5</v>
      </c>
      <c r="B11" s="60" t="s">
        <v>158</v>
      </c>
      <c r="C11" s="56" t="s">
        <v>179</v>
      </c>
      <c r="D11" s="72" t="s">
        <v>212</v>
      </c>
      <c r="E11" s="69"/>
      <c r="F11" s="69" t="s">
        <v>158</v>
      </c>
      <c r="G11" s="69" t="s">
        <v>147</v>
      </c>
      <c r="H11" s="69"/>
      <c r="I11" s="69" t="s">
        <v>103</v>
      </c>
      <c r="J11" s="273"/>
      <c r="K11" s="69" t="s">
        <v>158</v>
      </c>
      <c r="L11" s="69"/>
      <c r="M11" s="69" t="s">
        <v>212</v>
      </c>
      <c r="N11" s="69" t="s">
        <v>152</v>
      </c>
      <c r="O11" s="69"/>
      <c r="P11" s="69" t="s">
        <v>147</v>
      </c>
      <c r="Q11" s="273" t="s">
        <v>101</v>
      </c>
      <c r="R11" s="69" t="s">
        <v>212</v>
      </c>
      <c r="S11" s="69" t="s">
        <v>158</v>
      </c>
      <c r="T11" s="69"/>
      <c r="U11" s="69" t="s">
        <v>152</v>
      </c>
      <c r="V11" s="69" t="s">
        <v>117</v>
      </c>
      <c r="W11" s="69" t="s">
        <v>104</v>
      </c>
      <c r="X11" s="273"/>
      <c r="Y11" s="69" t="s">
        <v>152</v>
      </c>
      <c r="Z11" s="69"/>
      <c r="AA11" s="69" t="s">
        <v>158</v>
      </c>
      <c r="AB11" s="69" t="s">
        <v>212</v>
      </c>
      <c r="AC11" s="69" t="s">
        <v>147</v>
      </c>
      <c r="AD11" s="273" t="s">
        <v>101</v>
      </c>
      <c r="AE11" s="273" t="s">
        <v>101</v>
      </c>
      <c r="AF11" s="69"/>
      <c r="AG11" s="69"/>
      <c r="AH11" s="69" t="s">
        <v>147</v>
      </c>
      <c r="AI11" s="69"/>
      <c r="AJ11" s="69" t="s">
        <v>152</v>
      </c>
      <c r="AK11" s="289" t="s">
        <v>30</v>
      </c>
      <c r="AL11" s="64" t="str">
        <f t="shared" si="0"/>
        <v>馬場</v>
      </c>
      <c r="AM11" s="4"/>
    </row>
    <row r="12" spans="1:83" ht="16.5" customHeight="1" x14ac:dyDescent="0.2">
      <c r="A12" s="3">
        <v>6</v>
      </c>
      <c r="B12" s="60" t="s">
        <v>147</v>
      </c>
      <c r="C12" s="323" t="s">
        <v>172</v>
      </c>
      <c r="D12" s="72" t="s">
        <v>117</v>
      </c>
      <c r="E12" s="69" t="s">
        <v>117</v>
      </c>
      <c r="F12" s="69"/>
      <c r="G12" s="69" t="s">
        <v>149</v>
      </c>
      <c r="H12" s="69" t="s">
        <v>161</v>
      </c>
      <c r="I12" s="69" t="s">
        <v>103</v>
      </c>
      <c r="J12" s="273"/>
      <c r="K12" s="69" t="s">
        <v>154</v>
      </c>
      <c r="L12" s="69" t="s">
        <v>152</v>
      </c>
      <c r="M12" s="69"/>
      <c r="N12" s="69" t="s">
        <v>236</v>
      </c>
      <c r="O12" s="69" t="s">
        <v>234</v>
      </c>
      <c r="P12" s="69"/>
      <c r="Q12" s="273" t="s">
        <v>101</v>
      </c>
      <c r="R12" s="69" t="s">
        <v>275</v>
      </c>
      <c r="S12" s="69"/>
      <c r="T12" s="69" t="s">
        <v>131</v>
      </c>
      <c r="U12" s="69" t="s">
        <v>159</v>
      </c>
      <c r="V12" s="69"/>
      <c r="W12" s="69" t="s">
        <v>104</v>
      </c>
      <c r="X12" s="273"/>
      <c r="Y12" s="69" t="s">
        <v>148</v>
      </c>
      <c r="Z12" s="69" t="s">
        <v>160</v>
      </c>
      <c r="AA12" s="69" t="s">
        <v>163</v>
      </c>
      <c r="AB12" s="69"/>
      <c r="AC12" s="69" t="s">
        <v>168</v>
      </c>
      <c r="AD12" s="273" t="s">
        <v>101</v>
      </c>
      <c r="AE12" s="273" t="s">
        <v>101</v>
      </c>
      <c r="AF12" s="69" t="s">
        <v>156</v>
      </c>
      <c r="AG12" s="69" t="s">
        <v>158</v>
      </c>
      <c r="AH12" s="69"/>
      <c r="AI12" s="314" t="s">
        <v>255</v>
      </c>
      <c r="AJ12" s="69"/>
      <c r="AK12" s="289" t="s">
        <v>30</v>
      </c>
      <c r="AL12" s="64" t="str">
        <f t="shared" si="0"/>
        <v>谷口</v>
      </c>
      <c r="AM12" s="4"/>
    </row>
    <row r="13" spans="1:83" ht="16.5" customHeight="1" x14ac:dyDescent="0.2">
      <c r="A13" s="3">
        <v>7</v>
      </c>
      <c r="B13" s="60" t="s">
        <v>212</v>
      </c>
      <c r="C13" s="56" t="s">
        <v>180</v>
      </c>
      <c r="D13" s="72"/>
      <c r="E13" s="69" t="s">
        <v>226</v>
      </c>
      <c r="F13" s="69" t="s">
        <v>224</v>
      </c>
      <c r="G13" s="69" t="s">
        <v>225</v>
      </c>
      <c r="H13" s="69"/>
      <c r="I13" s="69" t="s">
        <v>103</v>
      </c>
      <c r="J13" s="273"/>
      <c r="K13" s="69" t="s">
        <v>234</v>
      </c>
      <c r="L13" s="69" t="s">
        <v>166</v>
      </c>
      <c r="M13" s="69"/>
      <c r="N13" s="69" t="s">
        <v>226</v>
      </c>
      <c r="O13" s="69" t="s">
        <v>225</v>
      </c>
      <c r="P13" s="69"/>
      <c r="Q13" s="273" t="s">
        <v>101</v>
      </c>
      <c r="R13" s="69"/>
      <c r="S13" s="69"/>
      <c r="T13" s="69" t="s">
        <v>166</v>
      </c>
      <c r="U13" s="69" t="s">
        <v>234</v>
      </c>
      <c r="V13" s="69" t="s">
        <v>224</v>
      </c>
      <c r="W13" s="69" t="s">
        <v>104</v>
      </c>
      <c r="X13" s="273"/>
      <c r="Y13" s="69" t="s">
        <v>275</v>
      </c>
      <c r="Z13" s="69" t="s">
        <v>234</v>
      </c>
      <c r="AA13" s="69" t="s">
        <v>235</v>
      </c>
      <c r="AB13" s="69"/>
      <c r="AC13" s="69" t="s">
        <v>226</v>
      </c>
      <c r="AD13" s="273" t="s">
        <v>101</v>
      </c>
      <c r="AE13" s="273" t="s">
        <v>101</v>
      </c>
      <c r="AF13" s="69" t="s">
        <v>166</v>
      </c>
      <c r="AG13" s="69"/>
      <c r="AH13" s="69" t="s">
        <v>225</v>
      </c>
      <c r="AI13" s="69" t="s">
        <v>224</v>
      </c>
      <c r="AJ13" s="69"/>
      <c r="AK13" s="289" t="s">
        <v>30</v>
      </c>
      <c r="AL13" s="64" t="str">
        <f t="shared" si="0"/>
        <v>西脇</v>
      </c>
      <c r="AM13" s="4"/>
    </row>
    <row r="14" spans="1:83" ht="16.5" customHeight="1" x14ac:dyDescent="0.2">
      <c r="A14" s="3">
        <v>8</v>
      </c>
      <c r="B14" s="60"/>
      <c r="C14" s="56" t="s">
        <v>197</v>
      </c>
      <c r="D14" s="72"/>
      <c r="E14" s="69" t="s">
        <v>147</v>
      </c>
      <c r="F14" s="69" t="s">
        <v>152</v>
      </c>
      <c r="G14" s="69"/>
      <c r="H14" s="69" t="s">
        <v>212</v>
      </c>
      <c r="I14" s="69" t="s">
        <v>103</v>
      </c>
      <c r="J14" s="273"/>
      <c r="K14" s="69"/>
      <c r="L14" s="69" t="s">
        <v>158</v>
      </c>
      <c r="M14" s="69" t="s">
        <v>152</v>
      </c>
      <c r="N14" s="69" t="s">
        <v>154</v>
      </c>
      <c r="O14" s="69" t="s">
        <v>147</v>
      </c>
      <c r="P14" s="69" t="s">
        <v>212</v>
      </c>
      <c r="Q14" s="273" t="s">
        <v>101</v>
      </c>
      <c r="R14" s="69"/>
      <c r="S14" s="69" t="s">
        <v>212</v>
      </c>
      <c r="T14" s="69" t="s">
        <v>158</v>
      </c>
      <c r="U14" s="69" t="s">
        <v>154</v>
      </c>
      <c r="V14" s="69"/>
      <c r="W14" s="69"/>
      <c r="X14" s="273"/>
      <c r="Y14" s="69"/>
      <c r="Z14" s="69"/>
      <c r="AA14" s="69" t="s">
        <v>147</v>
      </c>
      <c r="AB14" s="69" t="s">
        <v>152</v>
      </c>
      <c r="AC14" s="69"/>
      <c r="AD14" s="273" t="s">
        <v>101</v>
      </c>
      <c r="AE14" s="273" t="s">
        <v>101</v>
      </c>
      <c r="AF14" s="69"/>
      <c r="AG14" s="69"/>
      <c r="AH14" s="69"/>
      <c r="AI14" s="69" t="s">
        <v>154</v>
      </c>
      <c r="AJ14" s="69" t="s">
        <v>158</v>
      </c>
      <c r="AK14" s="289" t="s">
        <v>30</v>
      </c>
      <c r="AL14" s="64" t="str">
        <f t="shared" si="0"/>
        <v>安井</v>
      </c>
      <c r="AM14" s="4"/>
    </row>
    <row r="15" spans="1:83" ht="16.5" customHeight="1" x14ac:dyDescent="0.2">
      <c r="A15" s="3">
        <v>9</v>
      </c>
      <c r="B15" s="60"/>
      <c r="C15" s="56" t="s">
        <v>213</v>
      </c>
      <c r="D15" s="72" t="s">
        <v>154</v>
      </c>
      <c r="E15" s="69" t="s">
        <v>152</v>
      </c>
      <c r="F15" s="69"/>
      <c r="G15" s="69" t="s">
        <v>158</v>
      </c>
      <c r="H15" s="69" t="s">
        <v>156</v>
      </c>
      <c r="I15" s="69"/>
      <c r="J15" s="273"/>
      <c r="K15" s="69"/>
      <c r="L15" s="69" t="s">
        <v>224</v>
      </c>
      <c r="M15" s="69"/>
      <c r="N15" s="69" t="s">
        <v>168</v>
      </c>
      <c r="O15" s="69" t="s">
        <v>167</v>
      </c>
      <c r="P15" s="69"/>
      <c r="Q15" s="273" t="s">
        <v>101</v>
      </c>
      <c r="R15" s="69" t="s">
        <v>226</v>
      </c>
      <c r="S15" s="69" t="s">
        <v>225</v>
      </c>
      <c r="T15" s="69"/>
      <c r="U15" s="69" t="s">
        <v>149</v>
      </c>
      <c r="V15" s="69" t="s">
        <v>148</v>
      </c>
      <c r="W15" s="69"/>
      <c r="X15" s="273"/>
      <c r="Y15" s="69" t="s">
        <v>147</v>
      </c>
      <c r="Z15" s="69" t="s">
        <v>212</v>
      </c>
      <c r="AA15" s="69"/>
      <c r="AB15" s="69" t="s">
        <v>166</v>
      </c>
      <c r="AC15" s="69" t="s">
        <v>163</v>
      </c>
      <c r="AD15" s="273" t="s">
        <v>101</v>
      </c>
      <c r="AE15" s="273" t="s">
        <v>101</v>
      </c>
      <c r="AF15" s="69"/>
      <c r="AG15" s="69" t="s">
        <v>161</v>
      </c>
      <c r="AH15" s="69" t="s">
        <v>160</v>
      </c>
      <c r="AI15" s="69" t="s">
        <v>170</v>
      </c>
      <c r="AJ15" s="69" t="s">
        <v>169</v>
      </c>
      <c r="AK15" s="289"/>
      <c r="AL15" s="64" t="str">
        <f t="shared" si="0"/>
        <v>浅田</v>
      </c>
      <c r="AM15" s="4"/>
    </row>
    <row r="16" spans="1:83" ht="16.5" customHeight="1" x14ac:dyDescent="0.2">
      <c r="A16" s="3">
        <v>10</v>
      </c>
      <c r="B16" s="60"/>
      <c r="C16" s="56" t="s">
        <v>214</v>
      </c>
      <c r="D16" s="72" t="s">
        <v>158</v>
      </c>
      <c r="E16" s="69" t="s">
        <v>154</v>
      </c>
      <c r="F16" s="69" t="s">
        <v>231</v>
      </c>
      <c r="G16" s="69" t="s">
        <v>212</v>
      </c>
      <c r="H16" s="69"/>
      <c r="I16" s="69"/>
      <c r="J16" s="273"/>
      <c r="K16" s="69" t="s">
        <v>167</v>
      </c>
      <c r="L16" s="69"/>
      <c r="M16" s="69" t="s">
        <v>158</v>
      </c>
      <c r="N16" s="69" t="s">
        <v>212</v>
      </c>
      <c r="O16" s="69"/>
      <c r="P16" s="69"/>
      <c r="Q16" s="273" t="s">
        <v>101</v>
      </c>
      <c r="R16" s="69" t="s">
        <v>154</v>
      </c>
      <c r="S16" s="69"/>
      <c r="T16" s="69" t="s">
        <v>167</v>
      </c>
      <c r="U16" s="69"/>
      <c r="V16" s="69" t="s">
        <v>158</v>
      </c>
      <c r="W16" s="69"/>
      <c r="X16" s="273"/>
      <c r="Y16" s="69" t="s">
        <v>212</v>
      </c>
      <c r="Z16" s="69" t="s">
        <v>158</v>
      </c>
      <c r="AA16" s="69" t="s">
        <v>167</v>
      </c>
      <c r="AB16" s="69"/>
      <c r="AC16" s="69" t="s">
        <v>154</v>
      </c>
      <c r="AD16" s="273" t="s">
        <v>101</v>
      </c>
      <c r="AE16" s="273" t="s">
        <v>101</v>
      </c>
      <c r="AF16" s="69" t="s">
        <v>167</v>
      </c>
      <c r="AG16" s="69" t="s">
        <v>274</v>
      </c>
      <c r="AH16" s="69" t="s">
        <v>212</v>
      </c>
      <c r="AI16" s="69" t="s">
        <v>274</v>
      </c>
      <c r="AJ16" s="69" t="s">
        <v>154</v>
      </c>
      <c r="AK16" s="289"/>
      <c r="AL16" s="64" t="str">
        <f t="shared" si="0"/>
        <v>渡邉</v>
      </c>
      <c r="AM16" s="4"/>
    </row>
    <row r="17" spans="1:39" ht="15.9" customHeight="1" x14ac:dyDescent="0.2">
      <c r="A17" s="3">
        <v>11</v>
      </c>
      <c r="B17" s="60"/>
      <c r="C17" s="56" t="s">
        <v>219</v>
      </c>
      <c r="D17" s="72"/>
      <c r="E17" s="69" t="s">
        <v>238</v>
      </c>
      <c r="F17" s="69" t="s">
        <v>238</v>
      </c>
      <c r="G17" s="69" t="s">
        <v>238</v>
      </c>
      <c r="H17" s="69"/>
      <c r="I17" s="69"/>
      <c r="J17" s="273"/>
      <c r="K17" s="69"/>
      <c r="L17" s="69"/>
      <c r="M17" s="69" t="s">
        <v>239</v>
      </c>
      <c r="N17" s="69" t="s">
        <v>147</v>
      </c>
      <c r="O17" s="69" t="s">
        <v>249</v>
      </c>
      <c r="P17" s="69" t="s">
        <v>152</v>
      </c>
      <c r="Q17" s="273" t="s">
        <v>101</v>
      </c>
      <c r="R17" s="69"/>
      <c r="S17" s="69" t="s">
        <v>147</v>
      </c>
      <c r="T17" s="69" t="s">
        <v>241</v>
      </c>
      <c r="U17" s="69" t="s">
        <v>158</v>
      </c>
      <c r="V17" s="69" t="s">
        <v>152</v>
      </c>
      <c r="W17" s="69"/>
      <c r="X17" s="273"/>
      <c r="Y17" s="69"/>
      <c r="Z17" s="69" t="s">
        <v>147</v>
      </c>
      <c r="AA17" s="69" t="s">
        <v>152</v>
      </c>
      <c r="AB17" s="69" t="s">
        <v>158</v>
      </c>
      <c r="AC17" s="69" t="s">
        <v>117</v>
      </c>
      <c r="AD17" s="273" t="s">
        <v>101</v>
      </c>
      <c r="AE17" s="273" t="s">
        <v>101</v>
      </c>
      <c r="AF17" s="69"/>
      <c r="AG17" s="69" t="s">
        <v>243</v>
      </c>
      <c r="AH17" s="69" t="s">
        <v>158</v>
      </c>
      <c r="AI17" s="69" t="s">
        <v>246</v>
      </c>
      <c r="AJ17" s="69" t="s">
        <v>247</v>
      </c>
      <c r="AK17" s="289"/>
      <c r="AL17" s="64" t="str">
        <f t="shared" si="0"/>
        <v>高橋美</v>
      </c>
      <c r="AM17" s="4"/>
    </row>
    <row r="18" spans="1:39" ht="15.9" customHeight="1" x14ac:dyDescent="0.2">
      <c r="A18" s="3"/>
      <c r="B18" s="60"/>
      <c r="C18" s="56" t="s">
        <v>220</v>
      </c>
      <c r="D18" s="72"/>
      <c r="E18" s="69" t="s">
        <v>161</v>
      </c>
      <c r="F18" s="69" t="s">
        <v>154</v>
      </c>
      <c r="G18" s="69" t="s">
        <v>156</v>
      </c>
      <c r="H18" s="69" t="s">
        <v>163</v>
      </c>
      <c r="I18" s="69"/>
      <c r="J18" s="273"/>
      <c r="K18" s="69"/>
      <c r="L18" s="69" t="s">
        <v>156</v>
      </c>
      <c r="M18" s="69" t="s">
        <v>154</v>
      </c>
      <c r="N18" s="69" t="s">
        <v>148</v>
      </c>
      <c r="O18" s="69" t="s">
        <v>160</v>
      </c>
      <c r="P18" s="69"/>
      <c r="Q18" s="273"/>
      <c r="R18" s="69"/>
      <c r="S18" s="69"/>
      <c r="T18" s="69"/>
      <c r="U18" s="69"/>
      <c r="V18" s="69"/>
      <c r="W18" s="69"/>
      <c r="X18" s="273"/>
      <c r="Y18" s="69"/>
      <c r="Z18" s="69"/>
      <c r="AA18" s="69" t="s">
        <v>156</v>
      </c>
      <c r="AB18" s="69" t="s">
        <v>154</v>
      </c>
      <c r="AC18" s="69"/>
      <c r="AD18" s="273"/>
      <c r="AE18" s="273"/>
      <c r="AF18" s="69"/>
      <c r="AG18" s="69" t="s">
        <v>154</v>
      </c>
      <c r="AH18" s="69"/>
      <c r="AI18" s="69" t="s">
        <v>156</v>
      </c>
      <c r="AJ18" s="69" t="s">
        <v>149</v>
      </c>
      <c r="AK18" s="289"/>
      <c r="AL18" s="64" t="str">
        <f t="shared" si="0"/>
        <v>丹羽</v>
      </c>
      <c r="AM18" s="4"/>
    </row>
    <row r="19" spans="1:39" ht="15.9" customHeight="1" x14ac:dyDescent="0.2">
      <c r="A19" s="3">
        <v>12</v>
      </c>
      <c r="B19" s="60"/>
      <c r="C19" s="56" t="s">
        <v>200</v>
      </c>
      <c r="D19" s="322" t="s">
        <v>255</v>
      </c>
      <c r="E19" s="314" t="s">
        <v>255</v>
      </c>
      <c r="F19" s="69" t="s">
        <v>231</v>
      </c>
      <c r="G19" s="69"/>
      <c r="H19" s="69" t="s">
        <v>275</v>
      </c>
      <c r="I19" s="69"/>
      <c r="J19" s="273"/>
      <c r="K19" s="69" t="s">
        <v>156</v>
      </c>
      <c r="L19" s="69"/>
      <c r="M19" s="314" t="s">
        <v>255</v>
      </c>
      <c r="N19" s="69"/>
      <c r="O19" s="69"/>
      <c r="P19" s="69"/>
      <c r="Q19" s="273" t="s">
        <v>101</v>
      </c>
      <c r="R19" s="314" t="s">
        <v>255</v>
      </c>
      <c r="S19" s="69"/>
      <c r="T19" s="69"/>
      <c r="U19" s="69"/>
      <c r="V19" s="69" t="s">
        <v>156</v>
      </c>
      <c r="W19" s="69"/>
      <c r="X19" s="273"/>
      <c r="Y19" s="69"/>
      <c r="Z19" s="69"/>
      <c r="AA19" s="69" t="s">
        <v>235</v>
      </c>
      <c r="AB19" s="69" t="s">
        <v>275</v>
      </c>
      <c r="AC19" s="69" t="s">
        <v>275</v>
      </c>
      <c r="AD19" s="273" t="s">
        <v>101</v>
      </c>
      <c r="AE19" s="273" t="s">
        <v>101</v>
      </c>
      <c r="AF19" s="314" t="s">
        <v>255</v>
      </c>
      <c r="AG19" s="69"/>
      <c r="AH19" s="69" t="s">
        <v>156</v>
      </c>
      <c r="AI19" s="69"/>
      <c r="AJ19" s="69"/>
      <c r="AK19" s="289" t="s">
        <v>101</v>
      </c>
      <c r="AL19" s="64" t="str">
        <f t="shared" si="0"/>
        <v>佐野</v>
      </c>
      <c r="AM19" s="4"/>
    </row>
    <row r="20" spans="1:39" ht="9.9" customHeight="1" x14ac:dyDescent="0.2">
      <c r="A20" s="3"/>
      <c r="B20" s="61"/>
      <c r="C20" s="57"/>
      <c r="D20" s="286"/>
      <c r="E20" s="273"/>
      <c r="F20" s="273"/>
      <c r="G20" s="273"/>
      <c r="H20" s="273"/>
      <c r="I20" s="273"/>
      <c r="J20" s="273"/>
      <c r="K20" s="273"/>
      <c r="L20" s="273"/>
      <c r="M20" s="273"/>
      <c r="N20" s="273"/>
      <c r="O20" s="273"/>
      <c r="P20" s="273"/>
      <c r="Q20" s="273" t="s">
        <v>101</v>
      </c>
      <c r="R20" s="273"/>
      <c r="S20" s="273"/>
      <c r="T20" s="273"/>
      <c r="U20" s="273"/>
      <c r="V20" s="273"/>
      <c r="W20" s="273"/>
      <c r="X20" s="273"/>
      <c r="Y20" s="273"/>
      <c r="Z20" s="273"/>
      <c r="AA20" s="273"/>
      <c r="AB20" s="273"/>
      <c r="AC20" s="273" t="s">
        <v>101</v>
      </c>
      <c r="AD20" s="273" t="s">
        <v>101</v>
      </c>
      <c r="AE20" s="273" t="s">
        <v>101</v>
      </c>
      <c r="AF20" s="273"/>
      <c r="AG20" s="273"/>
      <c r="AH20" s="273"/>
      <c r="AI20" s="273"/>
      <c r="AJ20" s="273"/>
      <c r="AK20" s="290" t="s">
        <v>101</v>
      </c>
      <c r="AL20" s="65" t="str">
        <f t="shared" si="0"/>
        <v/>
      </c>
      <c r="AM20" s="4"/>
    </row>
    <row r="21" spans="1:39" ht="16.5" customHeight="1" x14ac:dyDescent="0.2">
      <c r="A21" s="3">
        <v>13</v>
      </c>
      <c r="B21" s="60" t="s">
        <v>160</v>
      </c>
      <c r="C21" s="56" t="s">
        <v>182</v>
      </c>
      <c r="D21" s="72"/>
      <c r="E21" s="69"/>
      <c r="F21" s="69" t="s">
        <v>149</v>
      </c>
      <c r="G21" s="69" t="s">
        <v>148</v>
      </c>
      <c r="H21" s="69" t="s">
        <v>160</v>
      </c>
      <c r="I21" s="69" t="s">
        <v>103</v>
      </c>
      <c r="J21" s="273"/>
      <c r="K21" s="69" t="s">
        <v>163</v>
      </c>
      <c r="L21" s="69"/>
      <c r="M21" s="69"/>
      <c r="N21" s="69" t="s">
        <v>149</v>
      </c>
      <c r="O21" s="69" t="s">
        <v>161</v>
      </c>
      <c r="P21" s="69" t="s">
        <v>30</v>
      </c>
      <c r="Q21" s="273" t="s">
        <v>101</v>
      </c>
      <c r="R21" s="69" t="s">
        <v>148</v>
      </c>
      <c r="S21" s="69" t="s">
        <v>161</v>
      </c>
      <c r="T21" s="69"/>
      <c r="U21" s="69" t="s">
        <v>163</v>
      </c>
      <c r="V21" s="69" t="s">
        <v>149</v>
      </c>
      <c r="W21" s="69" t="s">
        <v>104</v>
      </c>
      <c r="X21" s="273"/>
      <c r="Y21" s="69"/>
      <c r="Z21" s="69" t="s">
        <v>148</v>
      </c>
      <c r="AA21" s="69" t="s">
        <v>160</v>
      </c>
      <c r="AB21" s="69" t="s">
        <v>117</v>
      </c>
      <c r="AC21" s="69"/>
      <c r="AD21" s="273" t="s">
        <v>101</v>
      </c>
      <c r="AE21" s="273" t="s">
        <v>101</v>
      </c>
      <c r="AF21" s="69" t="s">
        <v>163</v>
      </c>
      <c r="AG21" s="69" t="s">
        <v>160</v>
      </c>
      <c r="AH21" s="69"/>
      <c r="AI21" s="69"/>
      <c r="AJ21" s="69" t="s">
        <v>161</v>
      </c>
      <c r="AK21" s="312" t="s">
        <v>30</v>
      </c>
      <c r="AL21" s="64" t="str">
        <f t="shared" si="0"/>
        <v>大島</v>
      </c>
      <c r="AM21" s="4"/>
    </row>
    <row r="22" spans="1:39" ht="16.5" customHeight="1" x14ac:dyDescent="0.2">
      <c r="A22" s="3">
        <v>14</v>
      </c>
      <c r="B22" s="60" t="s">
        <v>161</v>
      </c>
      <c r="C22" s="56" t="s">
        <v>195</v>
      </c>
      <c r="D22" s="72" t="s">
        <v>147</v>
      </c>
      <c r="E22" s="69"/>
      <c r="F22" s="69" t="s">
        <v>160</v>
      </c>
      <c r="G22" s="69" t="s">
        <v>161</v>
      </c>
      <c r="H22" s="69" t="s">
        <v>158</v>
      </c>
      <c r="I22" s="69" t="s">
        <v>103</v>
      </c>
      <c r="J22" s="273"/>
      <c r="K22" s="69" t="s">
        <v>147</v>
      </c>
      <c r="L22" s="69"/>
      <c r="M22" s="69"/>
      <c r="N22" s="69" t="s">
        <v>161</v>
      </c>
      <c r="O22" s="69" t="s">
        <v>212</v>
      </c>
      <c r="P22" s="69" t="s">
        <v>30</v>
      </c>
      <c r="Q22" s="273" t="s">
        <v>101</v>
      </c>
      <c r="R22" s="69"/>
      <c r="S22" s="69" t="s">
        <v>160</v>
      </c>
      <c r="T22" s="69" t="s">
        <v>161</v>
      </c>
      <c r="U22" s="69"/>
      <c r="V22" s="69"/>
      <c r="W22" s="69" t="s">
        <v>104</v>
      </c>
      <c r="X22" s="273"/>
      <c r="Y22" s="69" t="s">
        <v>158</v>
      </c>
      <c r="Z22" s="69" t="s">
        <v>275</v>
      </c>
      <c r="AA22" s="69"/>
      <c r="AB22" s="69"/>
      <c r="AC22" s="69" t="s">
        <v>212</v>
      </c>
      <c r="AD22" s="273" t="s">
        <v>101</v>
      </c>
      <c r="AE22" s="273" t="s">
        <v>101</v>
      </c>
      <c r="AF22" s="69" t="s">
        <v>212</v>
      </c>
      <c r="AG22" s="69" t="s">
        <v>147</v>
      </c>
      <c r="AH22" s="69"/>
      <c r="AI22" s="69" t="s">
        <v>158</v>
      </c>
      <c r="AJ22" s="69" t="s">
        <v>160</v>
      </c>
      <c r="AK22" s="312" t="s">
        <v>30</v>
      </c>
      <c r="AL22" s="64" t="str">
        <f t="shared" si="0"/>
        <v>名倉</v>
      </c>
      <c r="AM22" s="4"/>
    </row>
    <row r="23" spans="1:39" ht="16.5" customHeight="1" x14ac:dyDescent="0.2">
      <c r="A23" s="3">
        <v>15</v>
      </c>
      <c r="B23" s="60" t="s">
        <v>163</v>
      </c>
      <c r="C23" s="56" t="s">
        <v>215</v>
      </c>
      <c r="D23" s="72" t="s">
        <v>117</v>
      </c>
      <c r="E23" s="69" t="s">
        <v>117</v>
      </c>
      <c r="F23" s="69"/>
      <c r="G23" s="69" t="s">
        <v>163</v>
      </c>
      <c r="H23" s="69" t="s">
        <v>148</v>
      </c>
      <c r="I23" s="69" t="s">
        <v>103</v>
      </c>
      <c r="J23" s="273"/>
      <c r="K23" s="69" t="s">
        <v>152</v>
      </c>
      <c r="L23" s="69" t="s">
        <v>154</v>
      </c>
      <c r="M23" s="69"/>
      <c r="N23" s="69" t="s">
        <v>236</v>
      </c>
      <c r="O23" s="69" t="s">
        <v>234</v>
      </c>
      <c r="P23" s="69" t="s">
        <v>30</v>
      </c>
      <c r="Q23" s="273" t="s">
        <v>101</v>
      </c>
      <c r="R23" s="69"/>
      <c r="S23" s="69"/>
      <c r="T23" s="69" t="s">
        <v>212</v>
      </c>
      <c r="U23" s="69" t="s">
        <v>147</v>
      </c>
      <c r="V23" s="69" t="s">
        <v>160</v>
      </c>
      <c r="W23" s="69" t="s">
        <v>104</v>
      </c>
      <c r="X23" s="273"/>
      <c r="Y23" s="69" t="s">
        <v>149</v>
      </c>
      <c r="Z23" s="69" t="s">
        <v>161</v>
      </c>
      <c r="AA23" s="69"/>
      <c r="AB23" s="69"/>
      <c r="AC23" s="69" t="s">
        <v>168</v>
      </c>
      <c r="AD23" s="273" t="s">
        <v>101</v>
      </c>
      <c r="AE23" s="273" t="s">
        <v>101</v>
      </c>
      <c r="AF23" s="69" t="s">
        <v>158</v>
      </c>
      <c r="AG23" s="69" t="s">
        <v>156</v>
      </c>
      <c r="AH23" s="69"/>
      <c r="AI23" s="69" t="s">
        <v>275</v>
      </c>
      <c r="AJ23" s="69"/>
      <c r="AK23" s="312" t="s">
        <v>30</v>
      </c>
      <c r="AL23" s="64" t="str">
        <f t="shared" si="0"/>
        <v>浅野</v>
      </c>
      <c r="AM23" s="4"/>
    </row>
    <row r="24" spans="1:39" ht="16.5" customHeight="1" x14ac:dyDescent="0.2">
      <c r="A24" s="3">
        <v>16</v>
      </c>
      <c r="B24" s="60" t="s">
        <v>163</v>
      </c>
      <c r="C24" s="56" t="s">
        <v>216</v>
      </c>
      <c r="D24" s="72"/>
      <c r="E24" s="69" t="s">
        <v>148</v>
      </c>
      <c r="F24" s="69" t="s">
        <v>163</v>
      </c>
      <c r="G24" s="69" t="s">
        <v>117</v>
      </c>
      <c r="H24" s="69"/>
      <c r="I24" s="69" t="s">
        <v>103</v>
      </c>
      <c r="J24" s="273"/>
      <c r="K24" s="69" t="s">
        <v>149</v>
      </c>
      <c r="L24" s="69" t="s">
        <v>148</v>
      </c>
      <c r="M24" s="69" t="s">
        <v>274</v>
      </c>
      <c r="N24" s="69" t="s">
        <v>274</v>
      </c>
      <c r="O24" s="69"/>
      <c r="P24" s="69" t="s">
        <v>30</v>
      </c>
      <c r="Q24" s="273" t="s">
        <v>101</v>
      </c>
      <c r="R24" s="69" t="s">
        <v>163</v>
      </c>
      <c r="S24" s="69" t="s">
        <v>275</v>
      </c>
      <c r="T24" s="69"/>
      <c r="U24" s="69"/>
      <c r="V24" s="69"/>
      <c r="W24" s="69" t="s">
        <v>104</v>
      </c>
      <c r="X24" s="273"/>
      <c r="Y24" s="69"/>
      <c r="Z24" s="69" t="s">
        <v>163</v>
      </c>
      <c r="AA24" s="69" t="s">
        <v>117</v>
      </c>
      <c r="AB24" s="69" t="s">
        <v>149</v>
      </c>
      <c r="AC24" s="69"/>
      <c r="AD24" s="273" t="s">
        <v>101</v>
      </c>
      <c r="AE24" s="273" t="s">
        <v>101</v>
      </c>
      <c r="AF24" s="69" t="s">
        <v>148</v>
      </c>
      <c r="AG24" s="69"/>
      <c r="AH24" s="69" t="s">
        <v>149</v>
      </c>
      <c r="AI24" s="69"/>
      <c r="AJ24" s="69"/>
      <c r="AK24" s="312" t="s">
        <v>30</v>
      </c>
      <c r="AL24" s="64" t="str">
        <f t="shared" si="0"/>
        <v>酒井</v>
      </c>
      <c r="AM24" s="4"/>
    </row>
    <row r="25" spans="1:39" ht="16.5" customHeight="1" x14ac:dyDescent="0.2">
      <c r="A25" s="3">
        <v>17</v>
      </c>
      <c r="B25" s="60" t="s">
        <v>148</v>
      </c>
      <c r="C25" s="56" t="s">
        <v>217</v>
      </c>
      <c r="D25" s="72" t="s">
        <v>163</v>
      </c>
      <c r="E25" s="69" t="s">
        <v>149</v>
      </c>
      <c r="F25" s="69" t="s">
        <v>148</v>
      </c>
      <c r="G25" s="69"/>
      <c r="H25" s="69"/>
      <c r="I25" s="69" t="s">
        <v>103</v>
      </c>
      <c r="J25" s="273"/>
      <c r="K25" s="69" t="s">
        <v>161</v>
      </c>
      <c r="L25" s="69"/>
      <c r="M25" s="69"/>
      <c r="N25" s="69" t="s">
        <v>163</v>
      </c>
      <c r="O25" s="69" t="s">
        <v>149</v>
      </c>
      <c r="P25" s="69" t="s">
        <v>30</v>
      </c>
      <c r="Q25" s="273" t="s">
        <v>101</v>
      </c>
      <c r="R25" s="69" t="s">
        <v>149</v>
      </c>
      <c r="S25" s="69"/>
      <c r="T25" s="69" t="s">
        <v>148</v>
      </c>
      <c r="U25" s="69" t="s">
        <v>161</v>
      </c>
      <c r="V25" s="69" t="s">
        <v>163</v>
      </c>
      <c r="W25" s="69" t="s">
        <v>104</v>
      </c>
      <c r="X25" s="273"/>
      <c r="Y25" s="69"/>
      <c r="Z25" s="69" t="s">
        <v>149</v>
      </c>
      <c r="AA25" s="69" t="s">
        <v>161</v>
      </c>
      <c r="AB25" s="69"/>
      <c r="AC25" s="69" t="s">
        <v>148</v>
      </c>
      <c r="AD25" s="273" t="s">
        <v>101</v>
      </c>
      <c r="AE25" s="273" t="s">
        <v>101</v>
      </c>
      <c r="AF25" s="69"/>
      <c r="AG25" s="69" t="s">
        <v>163</v>
      </c>
      <c r="AH25" s="69" t="s">
        <v>148</v>
      </c>
      <c r="AI25" s="69" t="s">
        <v>161</v>
      </c>
      <c r="AJ25" s="69"/>
      <c r="AK25" s="312" t="s">
        <v>30</v>
      </c>
      <c r="AL25" s="64" t="str">
        <f t="shared" si="0"/>
        <v>樽見</v>
      </c>
      <c r="AM25" s="4"/>
    </row>
    <row r="26" spans="1:39" ht="16.5" customHeight="1" x14ac:dyDescent="0.2">
      <c r="A26" s="3">
        <v>18</v>
      </c>
      <c r="B26" s="60" t="s">
        <v>149</v>
      </c>
      <c r="C26" s="56" t="s">
        <v>218</v>
      </c>
      <c r="D26" s="72" t="s">
        <v>149</v>
      </c>
      <c r="E26" s="69" t="s">
        <v>160</v>
      </c>
      <c r="F26" s="69" t="s">
        <v>161</v>
      </c>
      <c r="G26" s="69"/>
      <c r="H26" s="314" t="s">
        <v>255</v>
      </c>
      <c r="I26" s="69" t="s">
        <v>103</v>
      </c>
      <c r="J26" s="273"/>
      <c r="K26" s="69" t="s">
        <v>148</v>
      </c>
      <c r="L26" s="69" t="s">
        <v>149</v>
      </c>
      <c r="M26" s="69"/>
      <c r="N26" s="69" t="s">
        <v>160</v>
      </c>
      <c r="O26" s="69" t="s">
        <v>163</v>
      </c>
      <c r="P26" s="69" t="s">
        <v>30</v>
      </c>
      <c r="Q26" s="273" t="s">
        <v>101</v>
      </c>
      <c r="R26" s="69"/>
      <c r="S26" s="69" t="s">
        <v>163</v>
      </c>
      <c r="T26" s="69" t="s">
        <v>160</v>
      </c>
      <c r="U26" s="69" t="s">
        <v>148</v>
      </c>
      <c r="V26" s="69"/>
      <c r="W26" s="69" t="s">
        <v>104</v>
      </c>
      <c r="X26" s="273"/>
      <c r="Y26" s="69" t="s">
        <v>163</v>
      </c>
      <c r="Z26" s="69"/>
      <c r="AA26" s="69"/>
      <c r="AB26" s="69"/>
      <c r="AC26" s="69" t="s">
        <v>161</v>
      </c>
      <c r="AD26" s="273" t="s">
        <v>101</v>
      </c>
      <c r="AE26" s="273" t="s">
        <v>101</v>
      </c>
      <c r="AF26" s="69" t="s">
        <v>161</v>
      </c>
      <c r="AG26" s="69" t="s">
        <v>149</v>
      </c>
      <c r="AH26" s="69"/>
      <c r="AI26" s="69" t="s">
        <v>148</v>
      </c>
      <c r="AJ26" s="69"/>
      <c r="AK26" s="312" t="s">
        <v>30</v>
      </c>
      <c r="AL26" s="64" t="str">
        <f t="shared" si="0"/>
        <v>高田</v>
      </c>
      <c r="AM26" s="4"/>
    </row>
    <row r="27" spans="1:39" ht="16.5" customHeight="1" x14ac:dyDescent="0.2">
      <c r="A27" s="3">
        <v>19</v>
      </c>
      <c r="B27" s="60"/>
      <c r="C27" s="56" t="s">
        <v>183</v>
      </c>
      <c r="D27" s="72" t="s">
        <v>230</v>
      </c>
      <c r="E27" s="69" t="s">
        <v>275</v>
      </c>
      <c r="F27" s="69" t="s">
        <v>231</v>
      </c>
      <c r="G27" s="69"/>
      <c r="H27" s="69" t="s">
        <v>232</v>
      </c>
      <c r="I27" s="69" t="s">
        <v>103</v>
      </c>
      <c r="J27" s="273"/>
      <c r="K27" s="69"/>
      <c r="L27" s="69" t="s">
        <v>163</v>
      </c>
      <c r="M27" s="69" t="s">
        <v>233</v>
      </c>
      <c r="N27" s="69"/>
      <c r="O27" s="69"/>
      <c r="P27" s="69" t="s">
        <v>30</v>
      </c>
      <c r="Q27" s="273" t="s">
        <v>101</v>
      </c>
      <c r="R27" s="69" t="s">
        <v>230</v>
      </c>
      <c r="S27" s="69" t="s">
        <v>233</v>
      </c>
      <c r="T27" s="69" t="s">
        <v>163</v>
      </c>
      <c r="U27" s="69"/>
      <c r="V27" s="69"/>
      <c r="W27" s="69"/>
      <c r="X27" s="273"/>
      <c r="Y27" s="69" t="s">
        <v>232</v>
      </c>
      <c r="Z27" s="69"/>
      <c r="AA27" s="69" t="s">
        <v>233</v>
      </c>
      <c r="AB27" s="69" t="s">
        <v>230</v>
      </c>
      <c r="AC27" s="69"/>
      <c r="AD27" s="273" t="s">
        <v>101</v>
      </c>
      <c r="AE27" s="273" t="s">
        <v>101</v>
      </c>
      <c r="AF27" s="69"/>
      <c r="AG27" s="69" t="s">
        <v>232</v>
      </c>
      <c r="AH27" s="69"/>
      <c r="AI27" s="69"/>
      <c r="AJ27" s="69" t="s">
        <v>163</v>
      </c>
      <c r="AK27" s="312" t="s">
        <v>30</v>
      </c>
      <c r="AL27" s="64" t="str">
        <f t="shared" si="0"/>
        <v>鈴木</v>
      </c>
      <c r="AM27" s="4"/>
    </row>
    <row r="28" spans="1:39" ht="16.5" customHeight="1" x14ac:dyDescent="0.2">
      <c r="A28" s="3">
        <v>20</v>
      </c>
      <c r="B28" s="60"/>
      <c r="C28" s="56" t="s">
        <v>196</v>
      </c>
      <c r="D28" s="72" t="s">
        <v>148</v>
      </c>
      <c r="E28" s="69" t="s">
        <v>163</v>
      </c>
      <c r="F28" s="69" t="s">
        <v>231</v>
      </c>
      <c r="G28" s="69"/>
      <c r="H28" s="69" t="s">
        <v>149</v>
      </c>
      <c r="I28" s="69" t="s">
        <v>103</v>
      </c>
      <c r="J28" s="273"/>
      <c r="K28" s="69" t="s">
        <v>160</v>
      </c>
      <c r="L28" s="69" t="s">
        <v>161</v>
      </c>
      <c r="M28" s="69" t="s">
        <v>163</v>
      </c>
      <c r="N28" s="69"/>
      <c r="O28" s="69" t="s">
        <v>148</v>
      </c>
      <c r="P28" s="69" t="s">
        <v>30</v>
      </c>
      <c r="Q28" s="273" t="s">
        <v>101</v>
      </c>
      <c r="R28" s="69"/>
      <c r="S28" s="69"/>
      <c r="T28" s="69" t="s">
        <v>149</v>
      </c>
      <c r="U28" s="69" t="s">
        <v>160</v>
      </c>
      <c r="V28" s="69" t="s">
        <v>161</v>
      </c>
      <c r="W28" s="69"/>
      <c r="X28" s="273"/>
      <c r="Y28" s="69" t="s">
        <v>161</v>
      </c>
      <c r="Z28" s="69"/>
      <c r="AA28" s="69" t="s">
        <v>235</v>
      </c>
      <c r="AB28" s="69" t="s">
        <v>148</v>
      </c>
      <c r="AC28" s="69" t="s">
        <v>160</v>
      </c>
      <c r="AD28" s="273" t="s">
        <v>101</v>
      </c>
      <c r="AE28" s="273" t="s">
        <v>101</v>
      </c>
      <c r="AF28" s="69" t="s">
        <v>149</v>
      </c>
      <c r="AG28" s="69"/>
      <c r="AH28" s="69"/>
      <c r="AI28" s="69" t="s">
        <v>163</v>
      </c>
      <c r="AJ28" s="69"/>
      <c r="AK28" s="312" t="s">
        <v>30</v>
      </c>
      <c r="AL28" s="64" t="str">
        <f t="shared" si="0"/>
        <v>藤井</v>
      </c>
      <c r="AM28" s="4"/>
    </row>
    <row r="29" spans="1:39" ht="16.5" customHeight="1" x14ac:dyDescent="0.2">
      <c r="A29" s="3">
        <v>21</v>
      </c>
      <c r="B29" s="60"/>
      <c r="C29" s="56" t="s">
        <v>222</v>
      </c>
      <c r="D29" s="72"/>
      <c r="E29" s="69" t="s">
        <v>226</v>
      </c>
      <c r="F29" s="69" t="s">
        <v>224</v>
      </c>
      <c r="G29" s="69" t="s">
        <v>225</v>
      </c>
      <c r="H29" s="69"/>
      <c r="I29" s="69"/>
      <c r="J29" s="273"/>
      <c r="K29" s="69"/>
      <c r="L29" s="69" t="s">
        <v>163</v>
      </c>
      <c r="M29" s="69" t="s">
        <v>233</v>
      </c>
      <c r="N29" s="69" t="s">
        <v>226</v>
      </c>
      <c r="O29" s="69" t="s">
        <v>225</v>
      </c>
      <c r="P29" s="69"/>
      <c r="Q29" s="273" t="s">
        <v>101</v>
      </c>
      <c r="R29" s="69"/>
      <c r="S29" s="69" t="s">
        <v>233</v>
      </c>
      <c r="T29" s="69" t="s">
        <v>163</v>
      </c>
      <c r="U29" s="314" t="s">
        <v>255</v>
      </c>
      <c r="V29" s="69" t="s">
        <v>224</v>
      </c>
      <c r="W29" s="69"/>
      <c r="X29" s="273"/>
      <c r="Y29" s="69"/>
      <c r="Z29" s="69" t="s">
        <v>117</v>
      </c>
      <c r="AA29" s="69" t="s">
        <v>233</v>
      </c>
      <c r="AB29" s="69"/>
      <c r="AC29" s="69" t="s">
        <v>226</v>
      </c>
      <c r="AD29" s="273" t="s">
        <v>101</v>
      </c>
      <c r="AE29" s="273" t="s">
        <v>101</v>
      </c>
      <c r="AF29" s="69"/>
      <c r="AG29" s="314" t="s">
        <v>255</v>
      </c>
      <c r="AH29" s="69" t="s">
        <v>225</v>
      </c>
      <c r="AI29" s="69" t="s">
        <v>224</v>
      </c>
      <c r="AJ29" s="69" t="s">
        <v>163</v>
      </c>
      <c r="AK29" s="312"/>
      <c r="AL29" s="64" t="str">
        <f t="shared" si="0"/>
        <v>長谷川麻</v>
      </c>
      <c r="AM29" s="4"/>
    </row>
    <row r="30" spans="1:39" ht="16.5" customHeight="1" x14ac:dyDescent="0.2">
      <c r="A30" s="3">
        <v>22</v>
      </c>
      <c r="B30" s="60"/>
      <c r="C30" s="56" t="s">
        <v>184</v>
      </c>
      <c r="D30" s="72"/>
      <c r="E30" s="69"/>
      <c r="F30" s="69"/>
      <c r="G30" s="69"/>
      <c r="H30" s="69"/>
      <c r="I30" s="69"/>
      <c r="J30" s="273"/>
      <c r="K30" s="69"/>
      <c r="L30" s="69" t="s">
        <v>160</v>
      </c>
      <c r="M30" s="69" t="s">
        <v>161</v>
      </c>
      <c r="N30" s="69" t="s">
        <v>238</v>
      </c>
      <c r="O30" s="69"/>
      <c r="P30" s="69"/>
      <c r="Q30" s="273" t="s">
        <v>101</v>
      </c>
      <c r="R30" s="69"/>
      <c r="S30" s="69"/>
      <c r="T30" s="69" t="s">
        <v>238</v>
      </c>
      <c r="U30" s="69"/>
      <c r="V30" s="69"/>
      <c r="W30" s="69"/>
      <c r="X30" s="273"/>
      <c r="Y30" s="69"/>
      <c r="Z30" s="69"/>
      <c r="AA30" s="69" t="s">
        <v>238</v>
      </c>
      <c r="AB30" s="69"/>
      <c r="AC30" s="69"/>
      <c r="AD30" s="273" t="s">
        <v>101</v>
      </c>
      <c r="AE30" s="273" t="s">
        <v>101</v>
      </c>
      <c r="AF30" s="69"/>
      <c r="AG30" s="69" t="s">
        <v>148</v>
      </c>
      <c r="AH30" s="69" t="s">
        <v>163</v>
      </c>
      <c r="AI30" s="69" t="s">
        <v>149</v>
      </c>
      <c r="AJ30" s="69" t="s">
        <v>238</v>
      </c>
      <c r="AK30" s="312"/>
      <c r="AL30" s="64" t="str">
        <f t="shared" si="0"/>
        <v>篠田</v>
      </c>
      <c r="AM30" s="4"/>
    </row>
    <row r="31" spans="1:39" ht="15.9" hidden="1" customHeight="1" x14ac:dyDescent="0.2">
      <c r="A31" s="3">
        <v>23</v>
      </c>
      <c r="B31" s="60"/>
      <c r="C31" s="56"/>
      <c r="D31" s="72"/>
      <c r="E31" s="69"/>
      <c r="F31" s="69"/>
      <c r="G31" s="69"/>
      <c r="H31" s="69"/>
      <c r="I31" s="69"/>
      <c r="J31" s="273"/>
      <c r="K31" s="69"/>
      <c r="L31" s="69"/>
      <c r="M31" s="69"/>
      <c r="N31" s="69"/>
      <c r="O31" s="69"/>
      <c r="P31" s="69"/>
      <c r="Q31" s="273" t="s">
        <v>101</v>
      </c>
      <c r="R31" s="69"/>
      <c r="S31" s="69"/>
      <c r="T31" s="69"/>
      <c r="U31" s="69"/>
      <c r="V31" s="69"/>
      <c r="W31" s="69"/>
      <c r="X31" s="273"/>
      <c r="Y31" s="69"/>
      <c r="Z31" s="69"/>
      <c r="AA31" s="69"/>
      <c r="AB31" s="69"/>
      <c r="AC31" s="69"/>
      <c r="AD31" s="273" t="s">
        <v>101</v>
      </c>
      <c r="AE31" s="273" t="s">
        <v>101</v>
      </c>
      <c r="AF31" s="69"/>
      <c r="AG31" s="69"/>
      <c r="AH31" s="69"/>
      <c r="AI31" s="69"/>
      <c r="AJ31" s="69"/>
      <c r="AK31" s="312"/>
      <c r="AL31" s="64" t="str">
        <f t="shared" si="0"/>
        <v/>
      </c>
      <c r="AM31" s="4"/>
    </row>
    <row r="32" spans="1:39" ht="15.9" customHeight="1" x14ac:dyDescent="0.2">
      <c r="A32" s="3">
        <v>24</v>
      </c>
      <c r="B32" s="60"/>
      <c r="C32" s="56"/>
      <c r="D32" s="72"/>
      <c r="E32" s="69"/>
      <c r="F32" s="69"/>
      <c r="G32" s="69"/>
      <c r="H32" s="69"/>
      <c r="I32" s="69"/>
      <c r="J32" s="273"/>
      <c r="K32" s="69"/>
      <c r="L32" s="69"/>
      <c r="M32" s="69"/>
      <c r="N32" s="69"/>
      <c r="O32" s="69"/>
      <c r="P32" s="69"/>
      <c r="Q32" s="273" t="s">
        <v>101</v>
      </c>
      <c r="R32" s="69"/>
      <c r="S32" s="69"/>
      <c r="T32" s="69"/>
      <c r="U32" s="69"/>
      <c r="V32" s="69"/>
      <c r="W32" s="69"/>
      <c r="X32" s="273"/>
      <c r="Y32" s="69"/>
      <c r="Z32" s="69"/>
      <c r="AA32" s="69"/>
      <c r="AB32" s="69"/>
      <c r="AC32" s="69" t="s">
        <v>101</v>
      </c>
      <c r="AD32" s="273" t="s">
        <v>101</v>
      </c>
      <c r="AE32" s="273" t="s">
        <v>101</v>
      </c>
      <c r="AF32" s="69"/>
      <c r="AG32" s="69"/>
      <c r="AH32" s="69"/>
      <c r="AI32" s="69"/>
      <c r="AJ32" s="69"/>
      <c r="AK32" s="312" t="s">
        <v>101</v>
      </c>
      <c r="AL32" s="64" t="str">
        <f t="shared" si="0"/>
        <v/>
      </c>
      <c r="AM32" s="4"/>
    </row>
    <row r="33" spans="1:39" ht="9.9" customHeight="1" x14ac:dyDescent="0.2">
      <c r="A33" s="3"/>
      <c r="B33" s="61"/>
      <c r="C33" s="57"/>
      <c r="D33" s="286"/>
      <c r="E33" s="273"/>
      <c r="F33" s="273"/>
      <c r="G33" s="273"/>
      <c r="H33" s="273"/>
      <c r="I33" s="273"/>
      <c r="J33" s="273"/>
      <c r="K33" s="273"/>
      <c r="L33" s="273"/>
      <c r="M33" s="273"/>
      <c r="N33" s="273"/>
      <c r="O33" s="273"/>
      <c r="P33" s="273"/>
      <c r="Q33" s="273" t="s">
        <v>101</v>
      </c>
      <c r="R33" s="273"/>
      <c r="S33" s="273"/>
      <c r="T33" s="273"/>
      <c r="U33" s="273"/>
      <c r="V33" s="273"/>
      <c r="W33" s="273"/>
      <c r="X33" s="273"/>
      <c r="Y33" s="273"/>
      <c r="Z33" s="273"/>
      <c r="AA33" s="273"/>
      <c r="AB33" s="273"/>
      <c r="AC33" s="273" t="s">
        <v>101</v>
      </c>
      <c r="AD33" s="273" t="s">
        <v>101</v>
      </c>
      <c r="AE33" s="273" t="s">
        <v>101</v>
      </c>
      <c r="AF33" s="273"/>
      <c r="AG33" s="273"/>
      <c r="AH33" s="273"/>
      <c r="AI33" s="273"/>
      <c r="AJ33" s="273"/>
      <c r="AK33" s="290" t="s">
        <v>101</v>
      </c>
      <c r="AL33" s="65" t="str">
        <f t="shared" si="0"/>
        <v/>
      </c>
      <c r="AM33" s="4"/>
    </row>
    <row r="34" spans="1:39" ht="16.5" customHeight="1" x14ac:dyDescent="0.2">
      <c r="A34" s="3">
        <v>25</v>
      </c>
      <c r="B34" s="60" t="s">
        <v>166</v>
      </c>
      <c r="C34" s="56" t="s">
        <v>221</v>
      </c>
      <c r="D34" s="72"/>
      <c r="E34" s="69" t="s">
        <v>169</v>
      </c>
      <c r="F34" s="69" t="s">
        <v>168</v>
      </c>
      <c r="G34" s="69" t="s">
        <v>170</v>
      </c>
      <c r="H34" s="69"/>
      <c r="I34" s="69" t="s">
        <v>103</v>
      </c>
      <c r="J34" s="273"/>
      <c r="K34" s="69"/>
      <c r="L34" s="69" t="s">
        <v>168</v>
      </c>
      <c r="M34" s="69" t="s">
        <v>170</v>
      </c>
      <c r="N34" s="69"/>
      <c r="O34" s="69" t="s">
        <v>166</v>
      </c>
      <c r="P34" s="69" t="s">
        <v>30</v>
      </c>
      <c r="Q34" s="273" t="s">
        <v>101</v>
      </c>
      <c r="R34" s="69" t="s">
        <v>169</v>
      </c>
      <c r="S34" s="69"/>
      <c r="T34" s="69" t="s">
        <v>168</v>
      </c>
      <c r="U34" s="69"/>
      <c r="V34" s="69" t="s">
        <v>166</v>
      </c>
      <c r="W34" s="69" t="s">
        <v>175</v>
      </c>
      <c r="X34" s="273"/>
      <c r="Y34" s="69"/>
      <c r="Z34" s="69"/>
      <c r="AA34" s="69" t="s">
        <v>166</v>
      </c>
      <c r="AB34" s="69" t="s">
        <v>170</v>
      </c>
      <c r="AC34" s="69" t="s">
        <v>169</v>
      </c>
      <c r="AD34" s="273" t="s">
        <v>101</v>
      </c>
      <c r="AE34" s="273" t="s">
        <v>101</v>
      </c>
      <c r="AF34" s="69"/>
      <c r="AG34" s="69" t="s">
        <v>169</v>
      </c>
      <c r="AH34" s="69" t="s">
        <v>166</v>
      </c>
      <c r="AI34" s="69" t="s">
        <v>168</v>
      </c>
      <c r="AJ34" s="69" t="s">
        <v>170</v>
      </c>
      <c r="AK34" s="69" t="s">
        <v>30</v>
      </c>
      <c r="AL34" s="64" t="str">
        <f t="shared" si="0"/>
        <v>城</v>
      </c>
      <c r="AM34" s="4"/>
    </row>
    <row r="35" spans="1:39" ht="16.5" customHeight="1" x14ac:dyDescent="0.2">
      <c r="A35" s="3">
        <v>26</v>
      </c>
      <c r="B35" s="60" t="s">
        <v>167</v>
      </c>
      <c r="C35" s="56" t="s">
        <v>198</v>
      </c>
      <c r="D35" s="72" t="s">
        <v>168</v>
      </c>
      <c r="E35" s="69" t="s">
        <v>170</v>
      </c>
      <c r="F35" s="69" t="s">
        <v>167</v>
      </c>
      <c r="G35" s="69"/>
      <c r="H35" s="69" t="s">
        <v>169</v>
      </c>
      <c r="I35" s="69" t="s">
        <v>103</v>
      </c>
      <c r="J35" s="273"/>
      <c r="K35" s="69" t="s">
        <v>168</v>
      </c>
      <c r="L35" s="69"/>
      <c r="M35" s="69" t="s">
        <v>167</v>
      </c>
      <c r="N35" s="69" t="s">
        <v>170</v>
      </c>
      <c r="O35" s="69"/>
      <c r="P35" s="69" t="s">
        <v>30</v>
      </c>
      <c r="Q35" s="273" t="s">
        <v>101</v>
      </c>
      <c r="R35" s="69" t="s">
        <v>167</v>
      </c>
      <c r="S35" s="69" t="s">
        <v>169</v>
      </c>
      <c r="T35" s="69"/>
      <c r="U35" s="69"/>
      <c r="V35" s="69" t="s">
        <v>170</v>
      </c>
      <c r="W35" s="69" t="s">
        <v>175</v>
      </c>
      <c r="X35" s="273"/>
      <c r="Y35" s="69"/>
      <c r="Z35" s="69"/>
      <c r="AA35" s="69" t="s">
        <v>168</v>
      </c>
      <c r="AB35" s="69" t="s">
        <v>169</v>
      </c>
      <c r="AC35" s="69" t="s">
        <v>167</v>
      </c>
      <c r="AD35" s="273" t="s">
        <v>101</v>
      </c>
      <c r="AE35" s="273" t="s">
        <v>101</v>
      </c>
      <c r="AF35" s="69" t="s">
        <v>170</v>
      </c>
      <c r="AG35" s="69"/>
      <c r="AH35" s="69" t="s">
        <v>168</v>
      </c>
      <c r="AI35" s="69" t="s">
        <v>169</v>
      </c>
      <c r="AJ35" s="69"/>
      <c r="AK35" s="69" t="s">
        <v>30</v>
      </c>
      <c r="AL35" s="64" t="str">
        <f t="shared" si="0"/>
        <v>幸島</v>
      </c>
      <c r="AM35" s="4"/>
    </row>
    <row r="36" spans="1:39" ht="16.5" customHeight="1" x14ac:dyDescent="0.2">
      <c r="A36" s="3">
        <v>27</v>
      </c>
      <c r="B36" s="60" t="s">
        <v>168</v>
      </c>
      <c r="C36" s="56" t="s">
        <v>105</v>
      </c>
      <c r="D36" s="72" t="s">
        <v>166</v>
      </c>
      <c r="E36" s="69"/>
      <c r="F36" s="69" t="s">
        <v>169</v>
      </c>
      <c r="G36" s="69" t="s">
        <v>167</v>
      </c>
      <c r="H36" s="69"/>
      <c r="I36" s="69" t="s">
        <v>103</v>
      </c>
      <c r="J36" s="273"/>
      <c r="K36" s="69"/>
      <c r="L36" s="69" t="s">
        <v>167</v>
      </c>
      <c r="M36" s="69" t="s">
        <v>168</v>
      </c>
      <c r="N36" s="69" t="s">
        <v>169</v>
      </c>
      <c r="O36" s="69"/>
      <c r="P36" s="69" t="s">
        <v>30</v>
      </c>
      <c r="Q36" s="273" t="s">
        <v>101</v>
      </c>
      <c r="R36" s="69" t="s">
        <v>170</v>
      </c>
      <c r="S36" s="69" t="s">
        <v>166</v>
      </c>
      <c r="T36" s="69"/>
      <c r="U36" s="69" t="s">
        <v>168</v>
      </c>
      <c r="V36" s="69" t="s">
        <v>169</v>
      </c>
      <c r="W36" s="69" t="s">
        <v>175</v>
      </c>
      <c r="X36" s="273"/>
      <c r="Y36" s="69"/>
      <c r="Z36" s="69"/>
      <c r="AA36" s="69" t="s">
        <v>235</v>
      </c>
      <c r="AB36" s="69" t="s">
        <v>168</v>
      </c>
      <c r="AC36" s="69" t="s">
        <v>170</v>
      </c>
      <c r="AD36" s="273" t="s">
        <v>101</v>
      </c>
      <c r="AE36" s="273" t="s">
        <v>101</v>
      </c>
      <c r="AF36" s="69"/>
      <c r="AG36" s="69" t="s">
        <v>166</v>
      </c>
      <c r="AH36" s="69" t="s">
        <v>170</v>
      </c>
      <c r="AI36" s="69"/>
      <c r="AJ36" s="69" t="s">
        <v>167</v>
      </c>
      <c r="AK36" s="69" t="s">
        <v>30</v>
      </c>
      <c r="AL36" s="64" t="str">
        <f t="shared" si="0"/>
        <v>菅田</v>
      </c>
      <c r="AM36" s="4"/>
    </row>
    <row r="37" spans="1:39" ht="16.5" customHeight="1" x14ac:dyDescent="0.2">
      <c r="A37" s="3">
        <v>28</v>
      </c>
      <c r="B37" s="59" t="s">
        <v>169</v>
      </c>
      <c r="C37" s="56" t="s">
        <v>173</v>
      </c>
      <c r="D37" s="72" t="s">
        <v>169</v>
      </c>
      <c r="E37" s="69" t="s">
        <v>167</v>
      </c>
      <c r="F37" s="69" t="s">
        <v>166</v>
      </c>
      <c r="G37" s="69"/>
      <c r="H37" s="69"/>
      <c r="I37" s="69" t="s">
        <v>103</v>
      </c>
      <c r="J37" s="273"/>
      <c r="K37" s="69" t="s">
        <v>275</v>
      </c>
      <c r="L37" s="69"/>
      <c r="M37" s="69" t="s">
        <v>169</v>
      </c>
      <c r="N37" s="69"/>
      <c r="O37" s="69" t="s">
        <v>275</v>
      </c>
      <c r="P37" s="69" t="s">
        <v>30</v>
      </c>
      <c r="Q37" s="273" t="s">
        <v>101</v>
      </c>
      <c r="R37" s="69" t="s">
        <v>166</v>
      </c>
      <c r="S37" s="69" t="s">
        <v>167</v>
      </c>
      <c r="T37" s="69" t="s">
        <v>275</v>
      </c>
      <c r="U37" s="69"/>
      <c r="V37" s="69"/>
      <c r="W37" s="69" t="s">
        <v>175</v>
      </c>
      <c r="X37" s="273"/>
      <c r="Y37" s="69" t="s">
        <v>166</v>
      </c>
      <c r="Z37" s="69" t="s">
        <v>167</v>
      </c>
      <c r="AA37" s="69" t="s">
        <v>169</v>
      </c>
      <c r="AB37" s="69"/>
      <c r="AC37" s="69"/>
      <c r="AD37" s="273" t="s">
        <v>101</v>
      </c>
      <c r="AE37" s="273" t="s">
        <v>101</v>
      </c>
      <c r="AF37" s="69"/>
      <c r="AG37" s="69" t="s">
        <v>117</v>
      </c>
      <c r="AH37" s="69" t="s">
        <v>169</v>
      </c>
      <c r="AI37" s="69" t="s">
        <v>167</v>
      </c>
      <c r="AJ37" s="69" t="s">
        <v>166</v>
      </c>
      <c r="AK37" s="69" t="s">
        <v>30</v>
      </c>
      <c r="AL37" s="64" t="str">
        <f t="shared" si="0"/>
        <v>仲野</v>
      </c>
      <c r="AM37" s="4"/>
    </row>
    <row r="38" spans="1:39" ht="16.5" customHeight="1" x14ac:dyDescent="0.2">
      <c r="A38" s="3">
        <v>29</v>
      </c>
      <c r="B38" s="60" t="s">
        <v>170</v>
      </c>
      <c r="C38" s="56" t="s">
        <v>178</v>
      </c>
      <c r="D38" s="72" t="s">
        <v>167</v>
      </c>
      <c r="E38" s="69" t="s">
        <v>168</v>
      </c>
      <c r="F38" s="69"/>
      <c r="G38" s="69" t="s">
        <v>160</v>
      </c>
      <c r="H38" s="69" t="s">
        <v>170</v>
      </c>
      <c r="I38" s="69" t="s">
        <v>103</v>
      </c>
      <c r="J38" s="273"/>
      <c r="K38" s="69"/>
      <c r="L38" s="69"/>
      <c r="M38" s="69" t="s">
        <v>160</v>
      </c>
      <c r="N38" s="69"/>
      <c r="O38" s="69" t="s">
        <v>168</v>
      </c>
      <c r="P38" s="69" t="s">
        <v>30</v>
      </c>
      <c r="Q38" s="273" t="s">
        <v>101</v>
      </c>
      <c r="R38" s="69" t="s">
        <v>168</v>
      </c>
      <c r="S38" s="69" t="s">
        <v>170</v>
      </c>
      <c r="T38" s="69"/>
      <c r="U38" s="69"/>
      <c r="V38" s="69" t="s">
        <v>167</v>
      </c>
      <c r="W38" s="69" t="s">
        <v>175</v>
      </c>
      <c r="X38" s="273"/>
      <c r="Y38" s="69" t="s">
        <v>160</v>
      </c>
      <c r="Z38" s="69"/>
      <c r="AA38" s="69" t="s">
        <v>170</v>
      </c>
      <c r="AB38" s="69" t="s">
        <v>167</v>
      </c>
      <c r="AC38" s="69"/>
      <c r="AD38" s="273" t="s">
        <v>101</v>
      </c>
      <c r="AE38" s="273" t="s">
        <v>101</v>
      </c>
      <c r="AF38" s="69" t="s">
        <v>160</v>
      </c>
      <c r="AG38" s="69" t="s">
        <v>170</v>
      </c>
      <c r="AH38" s="69" t="s">
        <v>167</v>
      </c>
      <c r="AI38" s="69"/>
      <c r="AJ38" s="69" t="s">
        <v>168</v>
      </c>
      <c r="AK38" s="69" t="s">
        <v>30</v>
      </c>
      <c r="AL38" s="64" t="str">
        <f t="shared" si="0"/>
        <v>朝日</v>
      </c>
      <c r="AM38" s="4"/>
    </row>
    <row r="39" spans="1:39" ht="16.5" customHeight="1" x14ac:dyDescent="0.2">
      <c r="A39" s="3">
        <v>30</v>
      </c>
      <c r="B39" s="59"/>
      <c r="C39" s="56" t="s">
        <v>174</v>
      </c>
      <c r="D39" s="72" t="s">
        <v>275</v>
      </c>
      <c r="E39" s="69"/>
      <c r="F39" s="69" t="s">
        <v>231</v>
      </c>
      <c r="G39" s="69" t="s">
        <v>166</v>
      </c>
      <c r="H39" s="69"/>
      <c r="I39" s="69" t="s">
        <v>103</v>
      </c>
      <c r="J39" s="273"/>
      <c r="K39" s="69" t="s">
        <v>166</v>
      </c>
      <c r="L39" s="69" t="s">
        <v>169</v>
      </c>
      <c r="M39" s="69"/>
      <c r="N39" s="69" t="s">
        <v>117</v>
      </c>
      <c r="O39" s="69"/>
      <c r="P39" s="69" t="s">
        <v>30</v>
      </c>
      <c r="Q39" s="273" t="s">
        <v>101</v>
      </c>
      <c r="R39" s="69"/>
      <c r="S39" s="69"/>
      <c r="T39" s="69" t="s">
        <v>169</v>
      </c>
      <c r="U39" s="69" t="s">
        <v>166</v>
      </c>
      <c r="V39" s="69"/>
      <c r="W39" s="69"/>
      <c r="X39" s="273"/>
      <c r="Y39" s="69" t="s">
        <v>169</v>
      </c>
      <c r="Z39" s="69" t="s">
        <v>166</v>
      </c>
      <c r="AA39" s="69" t="s">
        <v>275</v>
      </c>
      <c r="AB39" s="69"/>
      <c r="AC39" s="69"/>
      <c r="AD39" s="273" t="s">
        <v>101</v>
      </c>
      <c r="AE39" s="273" t="s">
        <v>101</v>
      </c>
      <c r="AF39" s="69" t="s">
        <v>169</v>
      </c>
      <c r="AG39" s="69"/>
      <c r="AH39" s="69" t="s">
        <v>117</v>
      </c>
      <c r="AI39" s="69"/>
      <c r="AJ39" s="69" t="s">
        <v>275</v>
      </c>
      <c r="AK39" s="69" t="s">
        <v>30</v>
      </c>
      <c r="AL39" s="64" t="str">
        <f t="shared" si="0"/>
        <v>松田</v>
      </c>
      <c r="AM39" s="4"/>
    </row>
    <row r="40" spans="1:39" ht="16.5" customHeight="1" x14ac:dyDescent="0.2">
      <c r="A40" s="3">
        <v>31</v>
      </c>
      <c r="B40" s="60"/>
      <c r="C40" s="56" t="s">
        <v>254</v>
      </c>
      <c r="D40" s="72" t="s">
        <v>170</v>
      </c>
      <c r="E40" s="69"/>
      <c r="F40" s="69" t="s">
        <v>275</v>
      </c>
      <c r="G40" s="69" t="s">
        <v>168</v>
      </c>
      <c r="H40" s="69"/>
      <c r="I40" s="69" t="s">
        <v>103</v>
      </c>
      <c r="J40" s="282"/>
      <c r="K40" s="69"/>
      <c r="L40" s="69" t="s">
        <v>170</v>
      </c>
      <c r="M40" s="69" t="s">
        <v>275</v>
      </c>
      <c r="N40" s="69" t="s">
        <v>275</v>
      </c>
      <c r="O40" s="69"/>
      <c r="P40" s="69" t="s">
        <v>30</v>
      </c>
      <c r="Q40" s="282" t="s">
        <v>101</v>
      </c>
      <c r="R40" s="69"/>
      <c r="S40" s="69" t="s">
        <v>168</v>
      </c>
      <c r="T40" s="69" t="s">
        <v>170</v>
      </c>
      <c r="U40" s="69" t="s">
        <v>275</v>
      </c>
      <c r="V40" s="69"/>
      <c r="W40" s="69"/>
      <c r="X40" s="282"/>
      <c r="Y40" s="69" t="s">
        <v>170</v>
      </c>
      <c r="Z40" s="69" t="s">
        <v>168</v>
      </c>
      <c r="AA40" s="69"/>
      <c r="AB40" s="69" t="s">
        <v>163</v>
      </c>
      <c r="AC40" s="69" t="s">
        <v>149</v>
      </c>
      <c r="AD40" s="283" t="s">
        <v>101</v>
      </c>
      <c r="AE40" s="73" t="s">
        <v>101</v>
      </c>
      <c r="AF40" s="69" t="s">
        <v>168</v>
      </c>
      <c r="AG40" s="69"/>
      <c r="AH40" s="69" t="s">
        <v>161</v>
      </c>
      <c r="AI40" s="69" t="s">
        <v>160</v>
      </c>
      <c r="AJ40" s="69" t="s">
        <v>148</v>
      </c>
      <c r="AK40" s="69" t="s">
        <v>30</v>
      </c>
      <c r="AL40" s="64" t="str">
        <f t="shared" si="0"/>
        <v>長谷川俊</v>
      </c>
      <c r="AM40" s="4"/>
    </row>
    <row r="41" spans="1:39" ht="16.5" customHeight="1" x14ac:dyDescent="0.2">
      <c r="A41" s="3">
        <v>32</v>
      </c>
      <c r="B41" s="60"/>
      <c r="C41" s="56" t="s">
        <v>199</v>
      </c>
      <c r="D41" s="72" t="s">
        <v>230</v>
      </c>
      <c r="E41" s="69"/>
      <c r="F41" s="69" t="s">
        <v>117</v>
      </c>
      <c r="G41" s="69" t="s">
        <v>275</v>
      </c>
      <c r="H41" s="69" t="s">
        <v>232</v>
      </c>
      <c r="I41" s="69" t="s">
        <v>103</v>
      </c>
      <c r="J41" s="282"/>
      <c r="K41" s="69" t="s">
        <v>234</v>
      </c>
      <c r="L41" s="69" t="s">
        <v>166</v>
      </c>
      <c r="M41" s="69"/>
      <c r="N41" s="69"/>
      <c r="O41" s="314" t="s">
        <v>255</v>
      </c>
      <c r="P41" s="69" t="s">
        <v>30</v>
      </c>
      <c r="Q41" s="282" t="s">
        <v>101</v>
      </c>
      <c r="R41" s="69" t="s">
        <v>230</v>
      </c>
      <c r="S41" s="69"/>
      <c r="T41" s="69" t="s">
        <v>166</v>
      </c>
      <c r="U41" s="69" t="s">
        <v>234</v>
      </c>
      <c r="V41" s="69" t="s">
        <v>275</v>
      </c>
      <c r="W41" s="69"/>
      <c r="X41" s="282"/>
      <c r="Y41" s="69" t="s">
        <v>232</v>
      </c>
      <c r="Z41" s="69" t="s">
        <v>234</v>
      </c>
      <c r="AA41" s="69"/>
      <c r="AB41" s="69" t="s">
        <v>230</v>
      </c>
      <c r="AC41" s="69"/>
      <c r="AD41" s="283" t="s">
        <v>101</v>
      </c>
      <c r="AE41" s="73" t="s">
        <v>101</v>
      </c>
      <c r="AF41" s="69" t="s">
        <v>166</v>
      </c>
      <c r="AG41" s="69" t="s">
        <v>232</v>
      </c>
      <c r="AH41" s="69"/>
      <c r="AI41" s="69"/>
      <c r="AJ41" s="69" t="s">
        <v>117</v>
      </c>
      <c r="AK41" s="69" t="s">
        <v>30</v>
      </c>
      <c r="AL41" s="64" t="str">
        <f t="shared" si="0"/>
        <v>山田</v>
      </c>
      <c r="AM41" s="4"/>
    </row>
    <row r="42" spans="1:39" ht="16.5" customHeight="1" x14ac:dyDescent="0.2">
      <c r="A42" s="3">
        <v>33</v>
      </c>
      <c r="B42" s="60"/>
      <c r="C42" s="56"/>
      <c r="D42" s="72"/>
      <c r="E42" s="69"/>
      <c r="F42" s="69"/>
      <c r="G42" s="69"/>
      <c r="H42" s="69"/>
      <c r="I42" s="69"/>
      <c r="J42" s="282"/>
      <c r="K42" s="69"/>
      <c r="L42" s="69"/>
      <c r="M42" s="69"/>
      <c r="N42" s="69"/>
      <c r="O42" s="69"/>
      <c r="P42" s="69"/>
      <c r="Q42" s="282" t="s">
        <v>101</v>
      </c>
      <c r="R42" s="69"/>
      <c r="S42" s="69"/>
      <c r="T42" s="69"/>
      <c r="U42" s="69"/>
      <c r="V42" s="69"/>
      <c r="W42" s="69"/>
      <c r="X42" s="282"/>
      <c r="Y42" s="69"/>
      <c r="Z42" s="69"/>
      <c r="AA42" s="69"/>
      <c r="AB42" s="69"/>
      <c r="AC42" s="69"/>
      <c r="AD42" s="283" t="s">
        <v>101</v>
      </c>
      <c r="AE42" s="73" t="s">
        <v>101</v>
      </c>
      <c r="AF42" s="69"/>
      <c r="AG42" s="292"/>
      <c r="AH42" s="69"/>
      <c r="AI42" s="69"/>
      <c r="AJ42" s="69"/>
      <c r="AK42" s="69"/>
      <c r="AL42" s="64" t="str">
        <f t="shared" si="0"/>
        <v/>
      </c>
      <c r="AM42" s="4"/>
    </row>
    <row r="43" spans="1:39" ht="16.5" hidden="1" customHeight="1" x14ac:dyDescent="0.2">
      <c r="A43" s="3">
        <v>34</v>
      </c>
      <c r="B43" s="60"/>
      <c r="C43" s="56"/>
      <c r="D43" s="72" t="s">
        <v>101</v>
      </c>
      <c r="E43" s="69"/>
      <c r="F43" s="69"/>
      <c r="G43" s="69"/>
      <c r="H43" s="69"/>
      <c r="I43" s="69"/>
      <c r="J43" s="282"/>
      <c r="K43" s="69"/>
      <c r="L43" s="69"/>
      <c r="M43" s="69"/>
      <c r="N43" s="69"/>
      <c r="O43" s="69"/>
      <c r="P43" s="69"/>
      <c r="Q43" s="282" t="s">
        <v>101</v>
      </c>
      <c r="R43" s="69"/>
      <c r="S43" s="69"/>
      <c r="T43" s="69"/>
      <c r="U43" s="69"/>
      <c r="V43" s="69"/>
      <c r="W43" s="69"/>
      <c r="X43" s="282"/>
      <c r="Y43" s="69"/>
      <c r="Z43" s="69"/>
      <c r="AA43" s="69"/>
      <c r="AB43" s="69"/>
      <c r="AC43" s="69"/>
      <c r="AD43" s="283" t="s">
        <v>101</v>
      </c>
      <c r="AE43" s="73" t="s">
        <v>101</v>
      </c>
      <c r="AF43" s="69"/>
      <c r="AG43" s="69"/>
      <c r="AH43" s="69"/>
      <c r="AI43" s="69"/>
      <c r="AJ43" s="69"/>
      <c r="AK43" s="69"/>
      <c r="AL43" s="64" t="str">
        <f t="shared" si="0"/>
        <v/>
      </c>
      <c r="AM43" s="4"/>
    </row>
    <row r="44" spans="1:39" ht="15.9" customHeight="1" x14ac:dyDescent="0.2">
      <c r="A44" s="3">
        <v>35</v>
      </c>
      <c r="B44" s="60"/>
      <c r="C44" s="56" t="s">
        <v>185</v>
      </c>
      <c r="D44" s="72" t="s">
        <v>101</v>
      </c>
      <c r="E44" s="69"/>
      <c r="F44" s="69"/>
      <c r="G44" s="69"/>
      <c r="H44" s="69"/>
      <c r="I44" s="69"/>
      <c r="J44" s="282"/>
      <c r="K44" s="69"/>
      <c r="L44" s="69"/>
      <c r="M44" s="69"/>
      <c r="N44" s="69"/>
      <c r="O44" s="69"/>
      <c r="P44" s="69"/>
      <c r="Q44" s="282" t="s">
        <v>101</v>
      </c>
      <c r="R44" s="69"/>
      <c r="S44" s="69"/>
      <c r="T44" s="69"/>
      <c r="U44" s="69"/>
      <c r="V44" s="69"/>
      <c r="W44" s="69"/>
      <c r="X44" s="282"/>
      <c r="Y44" s="69" t="s">
        <v>155</v>
      </c>
      <c r="Z44" s="69" t="s">
        <v>153</v>
      </c>
      <c r="AA44" s="69" t="s">
        <v>159</v>
      </c>
      <c r="AB44" s="69" t="s">
        <v>163</v>
      </c>
      <c r="AC44" s="69" t="s">
        <v>149</v>
      </c>
      <c r="AD44" s="283"/>
      <c r="AE44" s="73"/>
      <c r="AF44" s="69"/>
      <c r="AG44" s="69" t="s">
        <v>117</v>
      </c>
      <c r="AH44" s="69" t="s">
        <v>161</v>
      </c>
      <c r="AI44" s="69" t="s">
        <v>160</v>
      </c>
      <c r="AJ44" s="69" t="s">
        <v>148</v>
      </c>
      <c r="AK44" s="69"/>
      <c r="AL44" s="64" t="str">
        <f t="shared" si="0"/>
        <v>AET１</v>
      </c>
      <c r="AM44" s="4"/>
    </row>
    <row r="45" spans="1:39" ht="15.9" customHeight="1" x14ac:dyDescent="0.2">
      <c r="A45" s="3">
        <v>36</v>
      </c>
      <c r="B45" s="60"/>
      <c r="C45" s="56" t="s">
        <v>186</v>
      </c>
      <c r="D45" s="72" t="s">
        <v>102</v>
      </c>
      <c r="E45" s="69"/>
      <c r="F45" s="69"/>
      <c r="G45" s="69"/>
      <c r="H45" s="69"/>
      <c r="I45" s="69"/>
      <c r="J45" s="282"/>
      <c r="K45" s="69"/>
      <c r="L45" s="69"/>
      <c r="M45" s="69"/>
      <c r="N45" s="69"/>
      <c r="O45" s="69"/>
      <c r="P45" s="69" t="s">
        <v>101</v>
      </c>
      <c r="Q45" s="282" t="s">
        <v>101</v>
      </c>
      <c r="R45" s="69"/>
      <c r="S45" s="69"/>
      <c r="T45" s="69"/>
      <c r="U45" s="69"/>
      <c r="V45" s="69"/>
      <c r="W45" s="69"/>
      <c r="X45" s="282"/>
      <c r="Y45" s="69" t="s">
        <v>170</v>
      </c>
      <c r="Z45" s="69" t="s">
        <v>147</v>
      </c>
      <c r="AA45" s="69" t="s">
        <v>152</v>
      </c>
      <c r="AB45" s="69" t="s">
        <v>158</v>
      </c>
      <c r="AC45" s="69" t="s">
        <v>117</v>
      </c>
      <c r="AD45" s="283" t="s">
        <v>101</v>
      </c>
      <c r="AE45" s="73" t="s">
        <v>101</v>
      </c>
      <c r="AF45" s="69" t="s">
        <v>168</v>
      </c>
      <c r="AG45" s="69"/>
      <c r="AH45" s="69" t="s">
        <v>169</v>
      </c>
      <c r="AI45" s="69" t="s">
        <v>167</v>
      </c>
      <c r="AJ45" s="69" t="s">
        <v>166</v>
      </c>
      <c r="AK45" s="69"/>
      <c r="AL45" s="64" t="str">
        <f t="shared" si="0"/>
        <v>AET２</v>
      </c>
      <c r="AM45" s="4"/>
    </row>
    <row r="46" spans="1:39" ht="9.9" customHeight="1" x14ac:dyDescent="0.2">
      <c r="A46" s="3"/>
      <c r="B46" s="61"/>
      <c r="C46" s="57"/>
      <c r="D46" s="288" t="s">
        <v>101</v>
      </c>
      <c r="E46" s="70"/>
      <c r="F46" s="70"/>
      <c r="G46" s="70"/>
      <c r="H46" s="70"/>
      <c r="I46" s="70"/>
      <c r="J46" s="273"/>
      <c r="K46" s="308"/>
      <c r="L46" s="308"/>
      <c r="M46" s="308"/>
      <c r="N46" s="308"/>
      <c r="O46" s="308"/>
      <c r="P46" s="308" t="s">
        <v>101</v>
      </c>
      <c r="Q46" s="273" t="s">
        <v>101</v>
      </c>
      <c r="R46" s="308"/>
      <c r="S46" s="308"/>
      <c r="T46" s="308"/>
      <c r="U46" s="308"/>
      <c r="V46" s="308"/>
      <c r="W46" s="308"/>
      <c r="X46" s="273"/>
      <c r="Y46" s="309"/>
      <c r="Z46" s="309"/>
      <c r="AA46" s="309"/>
      <c r="AB46" s="309"/>
      <c r="AC46" s="309" t="s">
        <v>101</v>
      </c>
      <c r="AD46" s="310" t="s">
        <v>101</v>
      </c>
      <c r="AE46" s="273" t="s">
        <v>101</v>
      </c>
      <c r="AF46" s="309"/>
      <c r="AG46" s="287"/>
      <c r="AH46" s="287"/>
      <c r="AI46" s="287"/>
      <c r="AJ46" s="287"/>
      <c r="AK46" s="290" t="s">
        <v>101</v>
      </c>
      <c r="AL46" s="65" t="str">
        <f t="shared" si="0"/>
        <v/>
      </c>
      <c r="AM46" s="4"/>
    </row>
    <row r="47" spans="1:39" ht="16.5" customHeight="1" x14ac:dyDescent="0.2">
      <c r="A47" s="3">
        <v>37</v>
      </c>
      <c r="B47" s="60" t="s">
        <v>117</v>
      </c>
      <c r="C47" s="56" t="s">
        <v>106</v>
      </c>
      <c r="D47" s="72"/>
      <c r="E47" s="69" t="s">
        <v>259</v>
      </c>
      <c r="F47" s="69" t="s">
        <v>231</v>
      </c>
      <c r="G47" s="69" t="s">
        <v>265</v>
      </c>
      <c r="H47" s="69" t="s">
        <v>269</v>
      </c>
      <c r="I47" s="69" t="s">
        <v>103</v>
      </c>
      <c r="J47" s="71"/>
      <c r="K47" s="69" t="s">
        <v>262</v>
      </c>
      <c r="L47" s="69" t="s">
        <v>263</v>
      </c>
      <c r="M47" s="69" t="s">
        <v>261</v>
      </c>
      <c r="N47" s="69" t="s">
        <v>264</v>
      </c>
      <c r="O47" s="69"/>
      <c r="P47" s="69" t="s">
        <v>30</v>
      </c>
      <c r="Q47" s="71"/>
      <c r="R47" s="69"/>
      <c r="S47" s="69" t="s">
        <v>267</v>
      </c>
      <c r="T47" s="69" t="s">
        <v>267</v>
      </c>
      <c r="U47" s="69" t="s">
        <v>269</v>
      </c>
      <c r="V47" s="69" t="s">
        <v>268</v>
      </c>
      <c r="W47" s="69" t="s">
        <v>176</v>
      </c>
      <c r="X47" s="73"/>
      <c r="Y47" s="69" t="s">
        <v>263</v>
      </c>
      <c r="Z47" s="69"/>
      <c r="AA47" s="69" t="s">
        <v>265</v>
      </c>
      <c r="AB47" s="69" t="s">
        <v>268</v>
      </c>
      <c r="AC47" s="69" t="s">
        <v>266</v>
      </c>
      <c r="AD47" s="273"/>
      <c r="AE47" s="282"/>
      <c r="AF47" s="69" t="s">
        <v>261</v>
      </c>
      <c r="AG47" s="69" t="s">
        <v>266</v>
      </c>
      <c r="AH47" s="69" t="s">
        <v>264</v>
      </c>
      <c r="AI47" s="69" t="s">
        <v>269</v>
      </c>
      <c r="AJ47" s="69"/>
      <c r="AK47" s="289" t="s">
        <v>30</v>
      </c>
      <c r="AL47" s="64" t="str">
        <f t="shared" si="0"/>
        <v>松村</v>
      </c>
      <c r="AM47" s="4"/>
    </row>
    <row r="48" spans="1:39" ht="16.5" customHeight="1" x14ac:dyDescent="0.2">
      <c r="A48" s="3">
        <v>38</v>
      </c>
      <c r="B48" s="60" t="s">
        <v>117</v>
      </c>
      <c r="C48" s="56" t="s">
        <v>116</v>
      </c>
      <c r="D48" s="72" t="s">
        <v>258</v>
      </c>
      <c r="E48" s="69"/>
      <c r="F48" s="69" t="s">
        <v>260</v>
      </c>
      <c r="G48" s="69" t="s">
        <v>265</v>
      </c>
      <c r="H48" s="69"/>
      <c r="I48" s="69" t="s">
        <v>103</v>
      </c>
      <c r="J48" s="71"/>
      <c r="K48" s="69" t="s">
        <v>262</v>
      </c>
      <c r="L48" s="69" t="s">
        <v>263</v>
      </c>
      <c r="M48" s="69"/>
      <c r="N48" s="69" t="s">
        <v>264</v>
      </c>
      <c r="O48" s="69" t="s">
        <v>269</v>
      </c>
      <c r="P48" s="69" t="s">
        <v>30</v>
      </c>
      <c r="Q48" s="71"/>
      <c r="R48" s="69" t="s">
        <v>262</v>
      </c>
      <c r="S48" s="69" t="s">
        <v>267</v>
      </c>
      <c r="T48" s="69" t="s">
        <v>267</v>
      </c>
      <c r="U48" s="69"/>
      <c r="V48" s="69" t="s">
        <v>268</v>
      </c>
      <c r="W48" s="69" t="s">
        <v>176</v>
      </c>
      <c r="X48" s="73"/>
      <c r="Y48" s="69" t="s">
        <v>263</v>
      </c>
      <c r="Z48" s="69" t="s">
        <v>260</v>
      </c>
      <c r="AA48" s="69" t="s">
        <v>265</v>
      </c>
      <c r="AB48" s="69" t="s">
        <v>268</v>
      </c>
      <c r="AC48" s="69"/>
      <c r="AD48" s="273"/>
      <c r="AE48" s="282"/>
      <c r="AF48" s="69" t="s">
        <v>261</v>
      </c>
      <c r="AG48" s="69"/>
      <c r="AH48" s="69" t="s">
        <v>264</v>
      </c>
      <c r="AI48" s="69" t="s">
        <v>269</v>
      </c>
      <c r="AJ48" s="69" t="s">
        <v>260</v>
      </c>
      <c r="AK48" s="289" t="s">
        <v>30</v>
      </c>
      <c r="AL48" s="64" t="str">
        <f t="shared" si="0"/>
        <v>春日井</v>
      </c>
      <c r="AM48" s="4"/>
    </row>
    <row r="49" spans="1:39" ht="16.5" customHeight="1" x14ac:dyDescent="0.2">
      <c r="A49" s="3">
        <v>39</v>
      </c>
      <c r="B49" s="60" t="s">
        <v>117</v>
      </c>
      <c r="C49" s="56" t="s">
        <v>223</v>
      </c>
      <c r="D49" s="72" t="s">
        <v>258</v>
      </c>
      <c r="E49" s="69" t="s">
        <v>259</v>
      </c>
      <c r="F49" s="69" t="s">
        <v>260</v>
      </c>
      <c r="G49" s="69"/>
      <c r="H49" s="69" t="s">
        <v>269</v>
      </c>
      <c r="I49" s="69" t="s">
        <v>103</v>
      </c>
      <c r="J49" s="71"/>
      <c r="K49" s="69" t="s">
        <v>262</v>
      </c>
      <c r="L49" s="69" t="s">
        <v>263</v>
      </c>
      <c r="M49" s="69" t="s">
        <v>261</v>
      </c>
      <c r="N49" s="69"/>
      <c r="O49" s="69" t="s">
        <v>269</v>
      </c>
      <c r="P49" s="69" t="s">
        <v>30</v>
      </c>
      <c r="Q49" s="71"/>
      <c r="R49" s="69" t="s">
        <v>262</v>
      </c>
      <c r="S49" s="69" t="s">
        <v>267</v>
      </c>
      <c r="T49" s="69" t="s">
        <v>267</v>
      </c>
      <c r="U49" s="69" t="s">
        <v>269</v>
      </c>
      <c r="V49" s="69"/>
      <c r="W49" s="69" t="s">
        <v>176</v>
      </c>
      <c r="X49" s="73"/>
      <c r="Y49" s="69" t="s">
        <v>263</v>
      </c>
      <c r="Z49" s="69" t="s">
        <v>260</v>
      </c>
      <c r="AA49" s="69" t="s">
        <v>235</v>
      </c>
      <c r="AB49" s="69" t="s">
        <v>268</v>
      </c>
      <c r="AC49" s="69" t="s">
        <v>266</v>
      </c>
      <c r="AD49" s="273"/>
      <c r="AE49" s="282"/>
      <c r="AF49" s="69" t="s">
        <v>261</v>
      </c>
      <c r="AG49" s="69"/>
      <c r="AH49" s="69"/>
      <c r="AI49" s="69"/>
      <c r="AJ49" s="69" t="s">
        <v>260</v>
      </c>
      <c r="AK49" s="289" t="s">
        <v>30</v>
      </c>
      <c r="AL49" s="64" t="str">
        <f t="shared" si="0"/>
        <v>野々村</v>
      </c>
      <c r="AM49" s="4"/>
    </row>
    <row r="50" spans="1:39" ht="16.5" customHeight="1" thickBot="1" x14ac:dyDescent="0.25">
      <c r="A50" s="3">
        <v>40</v>
      </c>
      <c r="B50" s="62"/>
      <c r="C50" s="58"/>
      <c r="D50" s="74"/>
      <c r="E50" s="75"/>
      <c r="F50" s="75"/>
      <c r="G50" s="75"/>
      <c r="H50" s="75"/>
      <c r="I50" s="75"/>
      <c r="J50" s="76"/>
      <c r="K50" s="75"/>
      <c r="L50" s="75"/>
      <c r="M50" s="75"/>
      <c r="N50" s="75"/>
      <c r="O50" s="75"/>
      <c r="P50" s="75"/>
      <c r="Q50" s="76"/>
      <c r="R50" s="75"/>
      <c r="S50" s="75"/>
      <c r="T50" s="75"/>
      <c r="U50" s="75"/>
      <c r="V50" s="75"/>
      <c r="W50" s="75"/>
      <c r="X50" s="281"/>
      <c r="Y50" s="75"/>
      <c r="Z50" s="75"/>
      <c r="AA50" s="75"/>
      <c r="AB50" s="75"/>
      <c r="AC50" s="75"/>
      <c r="AD50" s="75"/>
      <c r="AE50" s="284"/>
      <c r="AF50" s="75"/>
      <c r="AG50" s="75"/>
      <c r="AH50" s="75"/>
      <c r="AI50" s="75"/>
      <c r="AJ50" s="75"/>
      <c r="AK50" s="291"/>
      <c r="AL50" s="66" t="str">
        <f t="shared" si="0"/>
        <v/>
      </c>
      <c r="AM50" s="4"/>
    </row>
    <row r="51" spans="1:39" ht="15" customHeight="1" x14ac:dyDescent="0.2">
      <c r="A51" s="3"/>
      <c r="B51" s="51" t="s">
        <v>187</v>
      </c>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D51" s="15"/>
      <c r="AE51" s="15"/>
      <c r="AF51" s="15"/>
      <c r="AG51" s="15"/>
      <c r="AH51" s="15"/>
      <c r="AI51" s="15"/>
      <c r="AJ51" s="15"/>
      <c r="AK51" s="15"/>
      <c r="AL51" s="15"/>
      <c r="AM51" s="4"/>
    </row>
    <row r="52" spans="1:39" x14ac:dyDescent="0.2">
      <c r="A52" s="3"/>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31"/>
      <c r="AD52" s="5"/>
      <c r="AE52" s="5"/>
      <c r="AF52" s="5"/>
      <c r="AG52" s="5"/>
      <c r="AH52" s="5"/>
      <c r="AI52" s="5"/>
      <c r="AJ52" s="5"/>
      <c r="AK52" s="5"/>
      <c r="AL52" s="5"/>
      <c r="AM52" s="4"/>
    </row>
    <row r="53" spans="1:39" x14ac:dyDescent="0.2">
      <c r="A53" s="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31"/>
      <c r="AD53" s="5"/>
      <c r="AE53" s="5"/>
      <c r="AF53" s="5"/>
      <c r="AG53" s="5"/>
      <c r="AH53" s="5"/>
      <c r="AI53" s="5"/>
      <c r="AJ53" s="5"/>
      <c r="AK53" s="5"/>
      <c r="AL53" s="5"/>
      <c r="AM53" s="4"/>
    </row>
    <row r="54" spans="1:39" x14ac:dyDescent="0.2">
      <c r="A54" s="2"/>
    </row>
    <row r="55" spans="1:39" x14ac:dyDescent="0.2">
      <c r="D55" s="1" t="s">
        <v>107</v>
      </c>
      <c r="E55" s="1" t="s">
        <v>121</v>
      </c>
      <c r="G55" s="1" t="s">
        <v>122</v>
      </c>
      <c r="Z55" s="1" t="s">
        <v>125</v>
      </c>
      <c r="AA55" s="1" t="s">
        <v>126</v>
      </c>
      <c r="AB55" s="1" t="s">
        <v>127</v>
      </c>
      <c r="AC55" s="33" t="s">
        <v>104</v>
      </c>
    </row>
    <row r="56" spans="1:39" x14ac:dyDescent="0.2">
      <c r="E56" s="1" t="s">
        <v>123</v>
      </c>
      <c r="G56" s="1" t="s">
        <v>124</v>
      </c>
      <c r="Z56" s="1" t="s">
        <v>128</v>
      </c>
      <c r="AA56" s="1" t="s">
        <v>129</v>
      </c>
      <c r="AB56" s="1" t="s">
        <v>130</v>
      </c>
      <c r="AC56" s="33" t="s">
        <v>31</v>
      </c>
    </row>
    <row r="57" spans="1:39" x14ac:dyDescent="0.2">
      <c r="E57" s="1" t="s">
        <v>108</v>
      </c>
      <c r="G57" s="1" t="s">
        <v>107</v>
      </c>
      <c r="H57" s="1" t="s">
        <v>107</v>
      </c>
      <c r="Y57" s="1" t="s">
        <v>131</v>
      </c>
      <c r="AA57" s="1" t="s">
        <v>132</v>
      </c>
      <c r="AC57" s="33" t="s">
        <v>104</v>
      </c>
    </row>
  </sheetData>
  <mergeCells count="9">
    <mergeCell ref="AD3:AF3"/>
    <mergeCell ref="K4:L4"/>
    <mergeCell ref="B5:B6"/>
    <mergeCell ref="C5:C6"/>
    <mergeCell ref="D5:I5"/>
    <mergeCell ref="K5:P5"/>
    <mergeCell ref="R5:W5"/>
    <mergeCell ref="Y5:AD5"/>
    <mergeCell ref="AF5:AK5"/>
  </mergeCells>
  <phoneticPr fontId="7"/>
  <conditionalFormatting sqref="A9:C19">
    <cfRule type="cellIs" dxfId="123" priority="79" operator="equal">
      <formula>"さくら"</formula>
    </cfRule>
  </conditionalFormatting>
  <conditionalFormatting sqref="A8:L8">
    <cfRule type="cellIs" dxfId="122" priority="103" operator="equal">
      <formula>"さくら"</formula>
    </cfRule>
  </conditionalFormatting>
  <conditionalFormatting sqref="A7:XFD7">
    <cfRule type="cellIs" dxfId="121" priority="108" operator="equal">
      <formula>"さくら"</formula>
    </cfRule>
  </conditionalFormatting>
  <conditionalFormatting sqref="B21:I32">
    <cfRule type="cellIs" dxfId="120" priority="85" operator="between">
      <formula>"1A"</formula>
      <formula>"1Z"</formula>
    </cfRule>
    <cfRule type="cellIs" dxfId="119" priority="84" operator="between">
      <formula>"2A"</formula>
      <formula>"2Z"</formula>
    </cfRule>
    <cfRule type="cellIs" dxfId="118" priority="83" operator="between">
      <formula>"3A"</formula>
      <formula>"3Z"</formula>
    </cfRule>
  </conditionalFormatting>
  <conditionalFormatting sqref="B7:AE7 AG7 AI7:AL7 B8:K8 O8:R8 U8:X8 AA8:AL8 B20:AL20 J21:J32 B9:C19 B47:Y48 AA47:AG48 AI47:AL48 B49:AL50 B5:AL6">
    <cfRule type="cellIs" dxfId="117" priority="122" operator="between">
      <formula>"3A"</formula>
      <formula>"3Z"</formula>
    </cfRule>
  </conditionalFormatting>
  <conditionalFormatting sqref="B7:AK50">
    <cfRule type="containsText" dxfId="116" priority="1" operator="containsText" text="待機">
      <formula>NOT(ISERROR(SEARCH("待機",B7)))</formula>
    </cfRule>
    <cfRule type="cellIs" dxfId="115" priority="2" operator="equal">
      <formula>"IJ"</formula>
    </cfRule>
    <cfRule type="cellIs" dxfId="114" priority="3" operator="equal">
      <formula>"さくら"</formula>
    </cfRule>
    <cfRule type="cellIs" dxfId="113" priority="4" operator="between">
      <formula>"3A"</formula>
      <formula>"3Z"</formula>
    </cfRule>
    <cfRule type="cellIs" dxfId="112" priority="5" operator="between">
      <formula>"2A"</formula>
      <formula>"2Z"</formula>
    </cfRule>
    <cfRule type="cellIs" dxfId="111" priority="6" operator="between">
      <formula>"1A"</formula>
      <formula>"1Z"</formula>
    </cfRule>
  </conditionalFormatting>
  <conditionalFormatting sqref="B5:AL6 B7:AE7 AG7 AI7:AL7 B8:K8 O8:R8 U8:X8 AA8:AL8 B9:C19 B20:AL20 J21:J32 B47:Y48 AA47:AG48 AI47:AL48 B49:AL50 AL9:AL19">
    <cfRule type="cellIs" dxfId="110" priority="123" operator="between">
      <formula>"2A"</formula>
      <formula>"2Z"</formula>
    </cfRule>
  </conditionalFormatting>
  <conditionalFormatting sqref="B5:AL6 B7:AE7 AG7 AI7:AL7 B8:K8 O8:R8 U8:X8 AA8:AL8 B9:C19 AL9:AL19 B20:AL20 J21:J32 B47:Y48 AA47:AG48 AI47:AL48 B49:AL50">
    <cfRule type="cellIs" dxfId="109" priority="124" operator="between">
      <formula>"1A"</formula>
      <formula>"1Z"</formula>
    </cfRule>
  </conditionalFormatting>
  <conditionalFormatting sqref="B40:AL41">
    <cfRule type="cellIs" dxfId="108" priority="13" operator="between">
      <formula>"3A"</formula>
      <formula>"3Z"</formula>
    </cfRule>
    <cfRule type="cellIs" dxfId="107" priority="14" operator="between">
      <formula>"2A"</formula>
      <formula>"2Z"</formula>
    </cfRule>
    <cfRule type="cellIs" dxfId="106" priority="15" operator="between">
      <formula>"1A"</formula>
      <formula>"1Z"</formula>
    </cfRule>
  </conditionalFormatting>
  <conditionalFormatting sqref="B42:AL46">
    <cfRule type="cellIs" dxfId="105" priority="7" operator="between">
      <formula>"3A"</formula>
      <formula>"3Z"</formula>
    </cfRule>
    <cfRule type="cellIs" dxfId="104" priority="8" operator="between">
      <formula>"2A"</formula>
      <formula>"2Z"</formula>
    </cfRule>
    <cfRule type="cellIs" dxfId="103" priority="9" operator="between">
      <formula>"1A"</formula>
      <formula>"1Z"</formula>
    </cfRule>
  </conditionalFormatting>
  <conditionalFormatting sqref="D8:L8">
    <cfRule type="cellIs" dxfId="102" priority="102" operator="equal">
      <formula>"IJ"</formula>
    </cfRule>
  </conditionalFormatting>
  <conditionalFormatting sqref="D7:AK7">
    <cfRule type="cellIs" dxfId="101" priority="107" operator="equal">
      <formula>"IJ"</formula>
    </cfRule>
  </conditionalFormatting>
  <conditionalFormatting sqref="E26">
    <cfRule type="cellIs" dxfId="100" priority="76" operator="between">
      <formula>"3A"</formula>
      <formula>"3Z"</formula>
    </cfRule>
    <cfRule type="cellIs" dxfId="99" priority="77" operator="between">
      <formula>"2A"</formula>
      <formula>"2Z"</formula>
    </cfRule>
    <cfRule type="cellIs" dxfId="98" priority="78" operator="between">
      <formula>"1A"</formula>
      <formula>"1Z"</formula>
    </cfRule>
  </conditionalFormatting>
  <conditionalFormatting sqref="E35">
    <cfRule type="cellIs" dxfId="97" priority="29" operator="between">
      <formula>"2A"</formula>
      <formula>"2Z"</formula>
    </cfRule>
    <cfRule type="cellIs" dxfId="96" priority="26" operator="equal">
      <formula>"IJ"</formula>
    </cfRule>
    <cfRule type="cellIs" dxfId="95" priority="27" operator="equal">
      <formula>"さくら"</formula>
    </cfRule>
    <cfRule type="cellIs" dxfId="94" priority="28" operator="between">
      <formula>"3A"</formula>
      <formula>"3Z"</formula>
    </cfRule>
    <cfRule type="cellIs" dxfId="93" priority="30" operator="between">
      <formula>"1A"</formula>
      <formula>"1Z"</formula>
    </cfRule>
  </conditionalFormatting>
  <conditionalFormatting sqref="E9:F9 H9:AK9 E10:AK12 E13:AG13 AI13:AK13 E14:R14 T14:AK14 E15:AA15 AC15:AK15 E16:AK19">
    <cfRule type="cellIs" dxfId="92" priority="74" operator="between">
      <formula>"2A"</formula>
      <formula>"2Z"</formula>
    </cfRule>
  </conditionalFormatting>
  <conditionalFormatting sqref="E9:F9 H9:AL9 E10:AL12 E13:AG13 AI13:AL13 E14:R14 T14:AL14 E15:AA15 AC15:AL15 E16:AL19">
    <cfRule type="cellIs" dxfId="91" priority="75" operator="between">
      <formula>"3A"</formula>
      <formula>"3Z"</formula>
    </cfRule>
  </conditionalFormatting>
  <conditionalFormatting sqref="E7:AJ8 E20:AJ39">
    <cfRule type="cellIs" dxfId="90" priority="98" operator="between">
      <formula>"1A"</formula>
      <formula>"1Z"</formula>
    </cfRule>
    <cfRule type="cellIs" dxfId="89" priority="97" operator="between">
      <formula>"2A"</formula>
      <formula>"2Z"</formula>
    </cfRule>
  </conditionalFormatting>
  <conditionalFormatting sqref="E7:AJ8">
    <cfRule type="cellIs" dxfId="88" priority="94" operator="equal">
      <formula>"さくら"</formula>
    </cfRule>
    <cfRule type="cellIs" dxfId="87" priority="95" operator="equal">
      <formula>"IJ"</formula>
    </cfRule>
  </conditionalFormatting>
  <conditionalFormatting sqref="E20:AJ39 E7:AJ8">
    <cfRule type="cellIs" dxfId="86" priority="96" operator="between">
      <formula>"3A"</formula>
      <formula>"3Z"</formula>
    </cfRule>
  </conditionalFormatting>
  <conditionalFormatting sqref="E9:AK12">
    <cfRule type="cellIs" dxfId="85" priority="71" operator="between">
      <formula>"1A"</formula>
      <formula>"1Z"</formula>
    </cfRule>
  </conditionalFormatting>
  <conditionalFormatting sqref="E9:AK19">
    <cfRule type="cellIs" dxfId="84" priority="46" operator="equal">
      <formula>"IJ"</formula>
    </cfRule>
  </conditionalFormatting>
  <conditionalFormatting sqref="E13:AK13">
    <cfRule type="cellIs" dxfId="83" priority="65" operator="between">
      <formula>"1A"</formula>
      <formula>"1Z"</formula>
    </cfRule>
  </conditionalFormatting>
  <conditionalFormatting sqref="E14:AK14">
    <cfRule type="cellIs" dxfId="82" priority="59" operator="between">
      <formula>"1A"</formula>
      <formula>"1Z"</formula>
    </cfRule>
  </conditionalFormatting>
  <conditionalFormatting sqref="E15:AK19">
    <cfRule type="cellIs" dxfId="81" priority="53" operator="between">
      <formula>"1A"</formula>
      <formula>"1Z"</formula>
    </cfRule>
  </conditionalFormatting>
  <conditionalFormatting sqref="E9:XFD19">
    <cfRule type="cellIs" dxfId="80" priority="47" operator="equal">
      <formula>"さくら"</formula>
    </cfRule>
  </conditionalFormatting>
  <conditionalFormatting sqref="F21">
    <cfRule type="cellIs" dxfId="79" priority="45" operator="between">
      <formula>"1A"</formula>
      <formula>"1Z"</formula>
    </cfRule>
    <cfRule type="cellIs" dxfId="78" priority="44" operator="between">
      <formula>"2A"</formula>
      <formula>"2Z"</formula>
    </cfRule>
    <cfRule type="cellIs" dxfId="77" priority="43" operator="between">
      <formula>"3A"</formula>
      <formula>"3Z"</formula>
    </cfRule>
    <cfRule type="cellIs" dxfId="76" priority="42" operator="equal">
      <formula>"さくら"</formula>
    </cfRule>
    <cfRule type="cellIs" dxfId="75" priority="41" operator="equal">
      <formula>"IJ"</formula>
    </cfRule>
  </conditionalFormatting>
  <conditionalFormatting sqref="G9">
    <cfRule type="cellIs" dxfId="74" priority="66" operator="between">
      <formula>"3A"</formula>
      <formula>"3Z"</formula>
    </cfRule>
    <cfRule type="cellIs" dxfId="73" priority="67" operator="between">
      <formula>"2A"</formula>
      <formula>"2Z"</formula>
    </cfRule>
    <cfRule type="cellIs" dxfId="72" priority="70" operator="between">
      <formula>"2A"</formula>
      <formula>"2Z"</formula>
    </cfRule>
    <cfRule type="cellIs" dxfId="71" priority="68" operator="between">
      <formula>"1A"</formula>
      <formula>"1Z"</formula>
    </cfRule>
    <cfRule type="cellIs" dxfId="70" priority="69" operator="between">
      <formula>"3A"</formula>
      <formula>"3Z"</formula>
    </cfRule>
  </conditionalFormatting>
  <conditionalFormatting sqref="H7">
    <cfRule type="cellIs" dxfId="69" priority="121" operator="between">
      <formula>"音2A"</formula>
      <formula>"音2D"</formula>
    </cfRule>
  </conditionalFormatting>
  <conditionalFormatting sqref="K21:AL32 B33:AL39">
    <cfRule type="cellIs" dxfId="68" priority="82" operator="between">
      <formula>"1A"</formula>
      <formula>"1Z"</formula>
    </cfRule>
    <cfRule type="cellIs" dxfId="67" priority="81" operator="between">
      <formula>"2A"</formula>
      <formula>"2Z"</formula>
    </cfRule>
    <cfRule type="cellIs" dxfId="66" priority="80" operator="between">
      <formula>"3A"</formula>
      <formula>"3Z"</formula>
    </cfRule>
  </conditionalFormatting>
  <conditionalFormatting sqref="L8">
    <cfRule type="cellIs" dxfId="65" priority="104" operator="between">
      <formula>"3A"</formula>
      <formula>"3Z"</formula>
    </cfRule>
    <cfRule type="cellIs" dxfId="64" priority="106" operator="between">
      <formula>"1A"</formula>
      <formula>"1Z"</formula>
    </cfRule>
    <cfRule type="cellIs" dxfId="63" priority="105" operator="between">
      <formula>"2A"</formula>
      <formula>"2Z"</formula>
    </cfRule>
  </conditionalFormatting>
  <conditionalFormatting sqref="M26">
    <cfRule type="cellIs" dxfId="62" priority="36" operator="equal">
      <formula>"IJ"</formula>
    </cfRule>
    <cfRule type="cellIs" dxfId="61" priority="37" operator="equal">
      <formula>"さくら"</formula>
    </cfRule>
    <cfRule type="cellIs" dxfId="60" priority="40" operator="between">
      <formula>"1A"</formula>
      <formula>"1Z"</formula>
    </cfRule>
    <cfRule type="cellIs" dxfId="59" priority="39" operator="between">
      <formula>"2A"</formula>
      <formula>"2Z"</formula>
    </cfRule>
    <cfRule type="cellIs" dxfId="58" priority="38" operator="between">
      <formula>"3A"</formula>
      <formula>"3Z"</formula>
    </cfRule>
  </conditionalFormatting>
  <conditionalFormatting sqref="N8">
    <cfRule type="cellIs" dxfId="57" priority="99" operator="between">
      <formula>"3A"</formula>
      <formula>"3Z"</formula>
    </cfRule>
    <cfRule type="cellIs" dxfId="56" priority="100" operator="between">
      <formula>"2A"</formula>
      <formula>"2Z"</formula>
    </cfRule>
    <cfRule type="cellIs" dxfId="55" priority="101" operator="between">
      <formula>"1A"</formula>
      <formula>"1Z"</formula>
    </cfRule>
  </conditionalFormatting>
  <conditionalFormatting sqref="N27">
    <cfRule type="cellIs" dxfId="54" priority="33" operator="between">
      <formula>"3A"</formula>
      <formula>"3Z"</formula>
    </cfRule>
    <cfRule type="cellIs" dxfId="53" priority="34" operator="between">
      <formula>"2A"</formula>
      <formula>"2Z"</formula>
    </cfRule>
    <cfRule type="cellIs" dxfId="52" priority="35" operator="between">
      <formula>"1A"</formula>
      <formula>"1Z"</formula>
    </cfRule>
    <cfRule type="cellIs" dxfId="51" priority="31" operator="equal">
      <formula>"IJ"</formula>
    </cfRule>
    <cfRule type="cellIs" dxfId="50" priority="32" operator="equal">
      <formula>"さくら"</formula>
    </cfRule>
  </conditionalFormatting>
  <conditionalFormatting sqref="N8:AK8">
    <cfRule type="cellIs" dxfId="49" priority="72" operator="equal">
      <formula>"IJ"</formula>
    </cfRule>
  </conditionalFormatting>
  <conditionalFormatting sqref="N8:XFD8">
    <cfRule type="cellIs" dxfId="48" priority="73" operator="equal">
      <formula>"さくら"</formula>
    </cfRule>
  </conditionalFormatting>
  <conditionalFormatting sqref="S14">
    <cfRule type="cellIs" dxfId="47" priority="56" operator="between">
      <formula>"1A"</formula>
      <formula>"1Z"</formula>
    </cfRule>
    <cfRule type="cellIs" dxfId="46" priority="58" operator="between">
      <formula>"2A"</formula>
      <formula>"2Z"</formula>
    </cfRule>
    <cfRule type="cellIs" dxfId="45" priority="55" operator="between">
      <formula>"2A"</formula>
      <formula>"2Z"</formula>
    </cfRule>
    <cfRule type="cellIs" dxfId="44" priority="57" operator="between">
      <formula>"3A"</formula>
      <formula>"3Z"</formula>
    </cfRule>
    <cfRule type="cellIs" dxfId="43" priority="54" operator="between">
      <formula>"3A"</formula>
      <formula>"3Z"</formula>
    </cfRule>
  </conditionalFormatting>
  <conditionalFormatting sqref="S8:T8">
    <cfRule type="cellIs" dxfId="42" priority="120" operator="between">
      <formula>"1A"</formula>
      <formula>"1Z"</formula>
    </cfRule>
    <cfRule type="cellIs" dxfId="41" priority="119" operator="between">
      <formula>"2A"</formula>
      <formula>"2Z"</formula>
    </cfRule>
    <cfRule type="cellIs" dxfId="40" priority="118" operator="between">
      <formula>"3A"</formula>
      <formula>"3Z"</formula>
    </cfRule>
  </conditionalFormatting>
  <conditionalFormatting sqref="V39">
    <cfRule type="cellIs" dxfId="39" priority="16" operator="equal">
      <formula>"IJ"</formula>
    </cfRule>
    <cfRule type="cellIs" dxfId="38" priority="20" operator="between">
      <formula>"1A"</formula>
      <formula>"1Z"</formula>
    </cfRule>
    <cfRule type="cellIs" dxfId="37" priority="18" operator="between">
      <formula>"3A"</formula>
      <formula>"3Z"</formula>
    </cfRule>
    <cfRule type="cellIs" dxfId="36" priority="17" operator="equal">
      <formula>"さくら"</formula>
    </cfRule>
    <cfRule type="cellIs" dxfId="35" priority="19" operator="between">
      <formula>"2A"</formula>
      <formula>"2Z"</formula>
    </cfRule>
  </conditionalFormatting>
  <conditionalFormatting sqref="Y8:Z8">
    <cfRule type="cellIs" dxfId="34" priority="117" operator="between">
      <formula>"1A"</formula>
      <formula>"1Z"</formula>
    </cfRule>
    <cfRule type="cellIs" dxfId="33" priority="116" operator="between">
      <formula>"2A"</formula>
      <formula>"2Z"</formula>
    </cfRule>
    <cfRule type="cellIs" dxfId="32" priority="115" operator="between">
      <formula>"3A"</formula>
      <formula>"3Z"</formula>
    </cfRule>
  </conditionalFormatting>
  <conditionalFormatting sqref="Z47:Z48">
    <cfRule type="cellIs" dxfId="31" priority="87" operator="between">
      <formula>"3A"</formula>
      <formula>"3Z"</formula>
    </cfRule>
    <cfRule type="cellIs" dxfId="30" priority="86" operator="equal">
      <formula>"さくら"</formula>
    </cfRule>
    <cfRule type="cellIs" dxfId="29" priority="88" operator="between">
      <formula>"2A"</formula>
      <formula>"2Z"</formula>
    </cfRule>
    <cfRule type="cellIs" dxfId="28" priority="89" operator="between">
      <formula>"1A"</formula>
      <formula>"1Z"</formula>
    </cfRule>
  </conditionalFormatting>
  <conditionalFormatting sqref="AA35">
    <cfRule type="cellIs" dxfId="27" priority="23" operator="between">
      <formula>"3A"</formula>
      <formula>"3Z"</formula>
    </cfRule>
    <cfRule type="cellIs" dxfId="26" priority="22" operator="equal">
      <formula>"さくら"</formula>
    </cfRule>
    <cfRule type="cellIs" dxfId="25" priority="21" operator="equal">
      <formula>"IJ"</formula>
    </cfRule>
    <cfRule type="cellIs" dxfId="24" priority="25" operator="between">
      <formula>"1A"</formula>
      <formula>"1Z"</formula>
    </cfRule>
    <cfRule type="cellIs" dxfId="23" priority="24" operator="between">
      <formula>"2A"</formula>
      <formula>"2Z"</formula>
    </cfRule>
  </conditionalFormatting>
  <conditionalFormatting sqref="AB15">
    <cfRule type="cellIs" dxfId="22" priority="48" operator="between">
      <formula>"3A"</formula>
      <formula>"3Z"</formula>
    </cfRule>
    <cfRule type="cellIs" dxfId="21" priority="52" operator="between">
      <formula>"2A"</formula>
      <formula>"2Z"</formula>
    </cfRule>
    <cfRule type="cellIs" dxfId="20" priority="49" operator="between">
      <formula>"2A"</formula>
      <formula>"2Z"</formula>
    </cfRule>
    <cfRule type="cellIs" dxfId="19" priority="50" operator="between">
      <formula>"1A"</formula>
      <formula>"1Z"</formula>
    </cfRule>
    <cfRule type="cellIs" dxfId="18" priority="51" operator="between">
      <formula>"3A"</formula>
      <formula>"3Z"</formula>
    </cfRule>
  </conditionalFormatting>
  <conditionalFormatting sqref="AF7">
    <cfRule type="cellIs" dxfId="17" priority="113" operator="between">
      <formula>"2A"</formula>
      <formula>"2Z"</formula>
    </cfRule>
    <cfRule type="cellIs" dxfId="16" priority="114" operator="between">
      <formula>"1A"</formula>
      <formula>"1Z"</formula>
    </cfRule>
    <cfRule type="cellIs" dxfId="15" priority="112" operator="between">
      <formula>"3A"</formula>
      <formula>"3Z"</formula>
    </cfRule>
  </conditionalFormatting>
  <conditionalFormatting sqref="AG40">
    <cfRule type="cellIs" dxfId="14" priority="11" operator="between">
      <formula>"2A"</formula>
      <formula>"2Z"</formula>
    </cfRule>
    <cfRule type="cellIs" dxfId="13" priority="10" operator="between">
      <formula>"3A"</formula>
      <formula>"3Z"</formula>
    </cfRule>
    <cfRule type="cellIs" dxfId="12" priority="12" operator="between">
      <formula>"1A"</formula>
      <formula>"1Z"</formula>
    </cfRule>
  </conditionalFormatting>
  <conditionalFormatting sqref="AH7">
    <cfRule type="cellIs" dxfId="11" priority="110" operator="between">
      <formula>"2A"</formula>
      <formula>"2Z"</formula>
    </cfRule>
    <cfRule type="cellIs" dxfId="10" priority="111" operator="between">
      <formula>"1A"</formula>
      <formula>"1Z"</formula>
    </cfRule>
    <cfRule type="cellIs" dxfId="9" priority="109" operator="between">
      <formula>"3A"</formula>
      <formula>"3Z"</formula>
    </cfRule>
  </conditionalFormatting>
  <conditionalFormatting sqref="AH13">
    <cfRule type="cellIs" dxfId="8" priority="62" operator="between">
      <formula>"1A"</formula>
      <formula>"1Z"</formula>
    </cfRule>
    <cfRule type="cellIs" dxfId="7" priority="61" operator="between">
      <formula>"2A"</formula>
      <formula>"2Z"</formula>
    </cfRule>
    <cfRule type="cellIs" dxfId="6" priority="60" operator="between">
      <formula>"3A"</formula>
      <formula>"3Z"</formula>
    </cfRule>
    <cfRule type="cellIs" dxfId="5" priority="63" operator="between">
      <formula>"3A"</formula>
      <formula>"3Z"</formula>
    </cfRule>
    <cfRule type="cellIs" dxfId="4" priority="64" operator="between">
      <formula>"2A"</formula>
      <formula>"2Z"</formula>
    </cfRule>
  </conditionalFormatting>
  <conditionalFormatting sqref="AH47:AH48">
    <cfRule type="cellIs" dxfId="3" priority="93" operator="between">
      <formula>"1A"</formula>
      <formula>"1Z"</formula>
    </cfRule>
    <cfRule type="cellIs" dxfId="2" priority="92" operator="between">
      <formula>"2A"</formula>
      <formula>"2Z"</formula>
    </cfRule>
    <cfRule type="cellIs" dxfId="1" priority="91" operator="between">
      <formula>"3A"</formula>
      <formula>"3Z"</formula>
    </cfRule>
    <cfRule type="cellIs" dxfId="0" priority="90" operator="equal">
      <formula>"さくら"</formula>
    </cfRule>
  </conditionalFormatting>
  <printOptions horizontalCentered="1" verticalCentered="1"/>
  <pageMargins left="0.31496062992125984" right="0.31496062992125984" top="0.35433070866141736" bottom="0.35433070866141736" header="0.31496062992125984" footer="0.31496062992125984"/>
  <pageSetup paperSize="9" scale="74"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10</vt:i4>
      </vt:variant>
    </vt:vector>
  </HeadingPairs>
  <TitlesOfParts>
    <vt:vector size="23" baseType="lpstr">
      <vt:lpstr>教科担任別一覧</vt:lpstr>
      <vt:lpstr>クラス別一覧（入力）</vt:lpstr>
      <vt:lpstr>一覧</vt:lpstr>
      <vt:lpstr>担任別</vt:lpstr>
      <vt:lpstr>クラス別</vt:lpstr>
      <vt:lpstr>クラス別Ａ４印刷</vt:lpstr>
      <vt:lpstr>事前アンケート</vt:lpstr>
      <vt:lpstr>スケジュール</vt:lpstr>
      <vt:lpstr>その他メモ</vt:lpstr>
      <vt:lpstr>仮時間割完成のご案内 </vt:lpstr>
      <vt:lpstr>第①案のご案内 (2)</vt:lpstr>
      <vt:lpstr>第①案のご案内</vt:lpstr>
      <vt:lpstr>Sheet1</vt:lpstr>
      <vt:lpstr>Sheet1!Print_Area</vt:lpstr>
      <vt:lpstr>クラス別Ａ４印刷!Print_Area</vt:lpstr>
      <vt:lpstr>'クラス別一覧（入力）'!Print_Area</vt:lpstr>
      <vt:lpstr>スケジュール!Print_Area</vt:lpstr>
      <vt:lpstr>一覧!Print_Area</vt:lpstr>
      <vt:lpstr>'仮時間割完成のご案内 '!Print_Area</vt:lpstr>
      <vt:lpstr>教科担任別一覧!Print_Area</vt:lpstr>
      <vt:lpstr>事前アンケート!Print_Area</vt:lpstr>
      <vt:lpstr>第①案のご案内!Print_Area</vt:lpstr>
      <vt:lpstr>'第①案のご案内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深見忠司</dc:creator>
  <cp:lastModifiedBy>朝日 啓輔</cp:lastModifiedBy>
  <cp:lastPrinted>2026-05-01T02:36:11Z</cp:lastPrinted>
  <dcterms:created xsi:type="dcterms:W3CDTF">2003-04-10T08:46:59Z</dcterms:created>
  <dcterms:modified xsi:type="dcterms:W3CDTF">2026-08-19T05:54:23Z</dcterms:modified>
</cp:coreProperties>
</file>