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事・テスト一覧" sheetId="1" state="visible" r:id="rId1"/>
    <sheet xmlns:r="http://schemas.openxmlformats.org/officeDocument/2006/relationships" name="R9時数見込み" sheetId="2" state="visible" r:id="rId2"/>
    <sheet xmlns:r="http://schemas.openxmlformats.org/officeDocument/2006/relationships" name="前年度の名残（修正済み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"/>
    <numFmt numFmtId="166" formatCode="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" customWidth="1" min="2" max="2"/>
    <col width="24" customWidth="1" min="3" max="3"/>
    <col width="7" customWidth="1" min="4" max="4"/>
    <col width="6" customWidth="1" min="5" max="5"/>
    <col width="6" customWidth="1" min="6" max="6"/>
    <col width="6" customWidth="1" min="7" max="7"/>
    <col width="50" customWidth="1" min="8" max="8"/>
  </cols>
  <sheetData>
    <row r="1">
      <c r="A1" s="1" t="inlineStr">
        <is>
          <t>日付</t>
        </is>
      </c>
      <c r="B1" s="1" t="inlineStr">
        <is>
          <t>曜</t>
        </is>
      </c>
      <c r="C1" s="1" t="inlineStr">
        <is>
          <t>行事・テスト</t>
        </is>
      </c>
      <c r="D1" s="1" t="inlineStr">
        <is>
          <t>区分</t>
        </is>
      </c>
      <c r="E1" s="1" t="inlineStr">
        <is>
          <t>1年</t>
        </is>
      </c>
      <c r="F1" s="1" t="inlineStr">
        <is>
          <t>2年</t>
        </is>
      </c>
      <c r="G1" s="1" t="inlineStr">
        <is>
          <t>3年</t>
        </is>
      </c>
      <c r="H1" s="1" t="inlineStr">
        <is>
          <t>備考</t>
        </is>
      </c>
    </row>
    <row r="2">
      <c r="A2" s="2" t="n">
        <v>46483</v>
      </c>
      <c r="B2" t="inlineStr">
        <is>
          <t>火</t>
        </is>
      </c>
      <c r="C2" t="inlineStr">
        <is>
          <t>入学式準備</t>
        </is>
      </c>
      <c r="D2" t="inlineStr">
        <is>
          <t>行事</t>
        </is>
      </c>
      <c r="F2" t="n">
        <v>1</v>
      </c>
      <c r="G2" t="n">
        <v>1</v>
      </c>
      <c r="H2" t="inlineStr"/>
    </row>
    <row r="3">
      <c r="A3" s="2" t="n">
        <v>46483</v>
      </c>
      <c r="B3" t="inlineStr">
        <is>
          <t>火</t>
        </is>
      </c>
      <c r="C3" t="inlineStr">
        <is>
          <t>学級活動(授業開始前)</t>
        </is>
      </c>
      <c r="D3" t="inlineStr">
        <is>
          <t>行事</t>
        </is>
      </c>
      <c r="F3" t="n">
        <v>1</v>
      </c>
      <c r="G3" t="n">
        <v>1</v>
      </c>
      <c r="H3" t="inlineStr">
        <is>
          <t>4/14の授業開始前の学級の時間</t>
        </is>
      </c>
    </row>
    <row r="4">
      <c r="A4" s="2" t="n">
        <v>46483</v>
      </c>
      <c r="B4" t="inlineStr">
        <is>
          <t>火</t>
        </is>
      </c>
      <c r="C4" t="inlineStr">
        <is>
          <t>式</t>
        </is>
      </c>
      <c r="D4" t="inlineStr">
        <is>
          <t>行事</t>
        </is>
      </c>
      <c r="F4" t="n">
        <v>1</v>
      </c>
      <c r="G4" t="n">
        <v>1</v>
      </c>
      <c r="H4" t="inlineStr"/>
    </row>
    <row r="5">
      <c r="A5" s="2" t="n">
        <v>46484</v>
      </c>
      <c r="B5" t="inlineStr">
        <is>
          <t>水</t>
        </is>
      </c>
      <c r="C5" t="inlineStr">
        <is>
          <t>学級活動(授業開始前)</t>
        </is>
      </c>
      <c r="D5" t="inlineStr">
        <is>
          <t>行事</t>
        </is>
      </c>
      <c r="E5" t="n">
        <v>1</v>
      </c>
      <c r="F5" t="n">
        <v>4</v>
      </c>
      <c r="G5" t="n">
        <v>4</v>
      </c>
      <c r="H5" t="inlineStr">
        <is>
          <t>4/14の授業開始前の学級の時間</t>
        </is>
      </c>
    </row>
    <row r="6">
      <c r="A6" s="2" t="n">
        <v>46484</v>
      </c>
      <c r="B6" t="inlineStr">
        <is>
          <t>水</t>
        </is>
      </c>
      <c r="C6" t="inlineStr">
        <is>
          <t>式</t>
        </is>
      </c>
      <c r="D6" t="inlineStr">
        <is>
          <t>行事</t>
        </is>
      </c>
      <c r="E6" t="n">
        <v>1</v>
      </c>
      <c r="H6" t="inlineStr"/>
    </row>
    <row r="7">
      <c r="A7" s="2" t="n">
        <v>46485</v>
      </c>
      <c r="B7" t="inlineStr">
        <is>
          <t>木</t>
        </is>
      </c>
      <c r="C7" t="inlineStr">
        <is>
          <t>学力テスト(国)</t>
        </is>
      </c>
      <c r="D7" t="inlineStr">
        <is>
          <t>テスト</t>
        </is>
      </c>
      <c r="F7" t="n">
        <v>1</v>
      </c>
      <c r="H7" t="inlineStr"/>
    </row>
    <row r="8">
      <c r="A8" s="2" t="n">
        <v>46485</v>
      </c>
      <c r="B8" t="inlineStr">
        <is>
          <t>木</t>
        </is>
      </c>
      <c r="C8" t="inlineStr">
        <is>
          <t>学級活動(授業開始前)</t>
        </is>
      </c>
      <c r="D8" t="inlineStr">
        <is>
          <t>行事</t>
        </is>
      </c>
      <c r="E8" t="n">
        <v>2</v>
      </c>
      <c r="F8" t="n">
        <v>2</v>
      </c>
      <c r="G8" t="n">
        <v>1</v>
      </c>
      <c r="H8" t="inlineStr">
        <is>
          <t>4/14の授業開始前の学級の時間</t>
        </is>
      </c>
    </row>
    <row r="9">
      <c r="A9" s="2" t="n">
        <v>46485</v>
      </c>
      <c r="B9" t="inlineStr">
        <is>
          <t>木</t>
        </is>
      </c>
      <c r="C9" t="inlineStr">
        <is>
          <t>式</t>
        </is>
      </c>
      <c r="D9" t="inlineStr">
        <is>
          <t>行事</t>
        </is>
      </c>
      <c r="E9" t="n">
        <v>1</v>
      </c>
      <c r="F9" t="n">
        <v>1</v>
      </c>
      <c r="G9" t="n">
        <v>1</v>
      </c>
      <c r="H9" t="inlineStr"/>
    </row>
    <row r="10">
      <c r="A10" s="2" t="n">
        <v>46485</v>
      </c>
      <c r="B10" t="inlineStr">
        <is>
          <t>木</t>
        </is>
      </c>
      <c r="C10" t="inlineStr">
        <is>
          <t>身体測定</t>
        </is>
      </c>
      <c r="D10" t="inlineStr">
        <is>
          <t>行事</t>
        </is>
      </c>
      <c r="G10" t="n">
        <v>1</v>
      </c>
      <c r="H10" t="inlineStr"/>
    </row>
    <row r="11">
      <c r="A11" s="2" t="n">
        <v>46485</v>
      </c>
      <c r="B11" t="inlineStr">
        <is>
          <t>木</t>
        </is>
      </c>
      <c r="C11" t="inlineStr">
        <is>
          <t>集会</t>
        </is>
      </c>
      <c r="D11" t="inlineStr">
        <is>
          <t>行事</t>
        </is>
      </c>
      <c r="E11" t="n">
        <v>1</v>
      </c>
      <c r="H11" t="inlineStr"/>
    </row>
    <row r="12">
      <c r="A12" s="2" t="n">
        <v>46486</v>
      </c>
      <c r="B12" t="inlineStr">
        <is>
          <t>金</t>
        </is>
      </c>
      <c r="C12" t="inlineStr">
        <is>
          <t>学力テスト(国)</t>
        </is>
      </c>
      <c r="D12" t="inlineStr">
        <is>
          <t>テスト</t>
        </is>
      </c>
      <c r="G12" t="n">
        <v>1</v>
      </c>
      <c r="H12" t="inlineStr"/>
    </row>
    <row r="13">
      <c r="A13" s="2" t="n">
        <v>46486</v>
      </c>
      <c r="B13" t="inlineStr">
        <is>
          <t>金</t>
        </is>
      </c>
      <c r="C13" t="inlineStr">
        <is>
          <t>学力テスト(数)</t>
        </is>
      </c>
      <c r="D13" t="inlineStr">
        <is>
          <t>テスト</t>
        </is>
      </c>
      <c r="E13" t="n">
        <v>1</v>
      </c>
      <c r="H13" t="inlineStr"/>
    </row>
    <row r="14">
      <c r="A14" s="2" t="n">
        <v>46486</v>
      </c>
      <c r="B14" t="inlineStr">
        <is>
          <t>金</t>
        </is>
      </c>
      <c r="C14" t="inlineStr">
        <is>
          <t>学力テスト(英)</t>
        </is>
      </c>
      <c r="D14" t="inlineStr">
        <is>
          <t>テスト</t>
        </is>
      </c>
      <c r="F14" t="n">
        <v>1</v>
      </c>
      <c r="H14" t="inlineStr"/>
    </row>
    <row r="15">
      <c r="A15" s="2" t="n">
        <v>46486</v>
      </c>
      <c r="B15" t="inlineStr">
        <is>
          <t>金</t>
        </is>
      </c>
      <c r="C15" t="inlineStr">
        <is>
          <t>学級活動(授業開始前)</t>
        </is>
      </c>
      <c r="D15" t="inlineStr">
        <is>
          <t>行事</t>
        </is>
      </c>
      <c r="E15" t="n">
        <v>1</v>
      </c>
      <c r="F15" t="n">
        <v>2</v>
      </c>
      <c r="G15" t="n">
        <v>2</v>
      </c>
      <c r="H15" t="inlineStr">
        <is>
          <t>4/14の授業開始前の学級の時間</t>
        </is>
      </c>
    </row>
    <row r="16">
      <c r="A16" s="2" t="n">
        <v>46486</v>
      </c>
      <c r="B16" t="inlineStr">
        <is>
          <t>金</t>
        </is>
      </c>
      <c r="C16" t="inlineStr">
        <is>
          <t>身体測定</t>
        </is>
      </c>
      <c r="D16" t="inlineStr">
        <is>
          <t>行事</t>
        </is>
      </c>
      <c r="E16" t="n">
        <v>1</v>
      </c>
      <c r="H16" t="inlineStr"/>
    </row>
    <row r="17">
      <c r="A17" s="2" t="n">
        <v>46486</v>
      </c>
      <c r="B17" t="inlineStr">
        <is>
          <t>金</t>
        </is>
      </c>
      <c r="C17" t="inlineStr">
        <is>
          <t>集会</t>
        </is>
      </c>
      <c r="D17" t="inlineStr">
        <is>
          <t>行事</t>
        </is>
      </c>
      <c r="F17" t="n">
        <v>1</v>
      </c>
      <c r="G17" t="n">
        <v>1</v>
      </c>
      <c r="H17" t="inlineStr"/>
    </row>
    <row r="18">
      <c r="A18" s="2" t="n">
        <v>46489</v>
      </c>
      <c r="B18" t="inlineStr">
        <is>
          <t>月</t>
        </is>
      </c>
      <c r="C18" t="inlineStr">
        <is>
          <t>学力テスト(国)</t>
        </is>
      </c>
      <c r="D18" t="inlineStr">
        <is>
          <t>テスト</t>
        </is>
      </c>
      <c r="E18" t="n">
        <v>1</v>
      </c>
      <c r="H18" t="inlineStr"/>
    </row>
    <row r="19">
      <c r="A19" s="2" t="n">
        <v>46489</v>
      </c>
      <c r="B19" t="inlineStr">
        <is>
          <t>月</t>
        </is>
      </c>
      <c r="C19" t="inlineStr">
        <is>
          <t>学力テスト(数)</t>
        </is>
      </c>
      <c r="D19" t="inlineStr">
        <is>
          <t>テスト</t>
        </is>
      </c>
      <c r="F19" t="n">
        <v>1</v>
      </c>
      <c r="G19" t="n">
        <v>1</v>
      </c>
      <c r="H19" t="inlineStr"/>
    </row>
    <row r="20">
      <c r="A20" s="2" t="n">
        <v>46489</v>
      </c>
      <c r="B20" t="inlineStr">
        <is>
          <t>月</t>
        </is>
      </c>
      <c r="C20" t="inlineStr">
        <is>
          <t>学力テスト(英)</t>
        </is>
      </c>
      <c r="D20" t="inlineStr">
        <is>
          <t>テスト</t>
        </is>
      </c>
      <c r="E20" t="n">
        <v>1</v>
      </c>
      <c r="G20" t="n">
        <v>1</v>
      </c>
      <c r="H20" t="inlineStr"/>
    </row>
    <row r="21">
      <c r="A21" s="2" t="n">
        <v>46489</v>
      </c>
      <c r="B21" t="inlineStr">
        <is>
          <t>月</t>
        </is>
      </c>
      <c r="C21" t="inlineStr">
        <is>
          <t>学級活動(授業開始前)</t>
        </is>
      </c>
      <c r="D21" t="inlineStr">
        <is>
          <t>行事</t>
        </is>
      </c>
      <c r="E21" t="n">
        <v>2</v>
      </c>
      <c r="F21" t="n">
        <v>1</v>
      </c>
      <c r="G21" t="n">
        <v>2</v>
      </c>
      <c r="H21" t="inlineStr">
        <is>
          <t>4/14の授業開始前の学級の時間</t>
        </is>
      </c>
    </row>
    <row r="22">
      <c r="A22" s="2" t="n">
        <v>46489</v>
      </c>
      <c r="B22" t="inlineStr">
        <is>
          <t>月</t>
        </is>
      </c>
      <c r="C22" t="inlineStr">
        <is>
          <t>身体測定</t>
        </is>
      </c>
      <c r="D22" t="inlineStr">
        <is>
          <t>行事</t>
        </is>
      </c>
      <c r="F22" t="n">
        <v>1</v>
      </c>
      <c r="H22" t="inlineStr"/>
    </row>
    <row r="23">
      <c r="A23" s="2" t="n">
        <v>46490</v>
      </c>
      <c r="B23" t="inlineStr">
        <is>
          <t>火</t>
        </is>
      </c>
      <c r="C23" t="inlineStr">
        <is>
          <t>学級活動(授業開始前)</t>
        </is>
      </c>
      <c r="D23" t="inlineStr">
        <is>
          <t>行事</t>
        </is>
      </c>
      <c r="E23" t="n">
        <v>6</v>
      </c>
      <c r="F23" t="n">
        <v>6</v>
      </c>
      <c r="G23" t="n">
        <v>6</v>
      </c>
      <c r="H23" t="inlineStr">
        <is>
          <t>4/14の授業開始前の学級の時間</t>
        </is>
      </c>
    </row>
    <row r="24">
      <c r="A24" s="2" t="n">
        <v>46492</v>
      </c>
      <c r="B24" t="inlineStr">
        <is>
          <t>木</t>
        </is>
      </c>
      <c r="C24" t="inlineStr">
        <is>
          <t>全国学力・学習状況調査</t>
        </is>
      </c>
      <c r="D24" t="inlineStr">
        <is>
          <t>テスト</t>
        </is>
      </c>
      <c r="G24" t="n">
        <v>3</v>
      </c>
      <c r="H24" t="inlineStr"/>
    </row>
    <row r="25">
      <c r="A25" s="2" t="n">
        <v>46493</v>
      </c>
      <c r="B25" t="inlineStr">
        <is>
          <t>金</t>
        </is>
      </c>
      <c r="C25" t="inlineStr">
        <is>
          <t>避難訓練</t>
        </is>
      </c>
      <c r="D25" t="inlineStr">
        <is>
          <t>行事</t>
        </is>
      </c>
      <c r="E25" t="n">
        <v>1</v>
      </c>
      <c r="F25" t="n">
        <v>1</v>
      </c>
      <c r="G25" t="n">
        <v>1</v>
      </c>
      <c r="H25" t="inlineStr"/>
    </row>
    <row r="26">
      <c r="A26" s="2" t="n">
        <v>46517</v>
      </c>
      <c r="B26" t="inlineStr">
        <is>
          <t>月</t>
        </is>
      </c>
      <c r="C26" t="inlineStr">
        <is>
          <t>新体力テスト</t>
        </is>
      </c>
      <c r="D26" t="inlineStr">
        <is>
          <t>行事</t>
        </is>
      </c>
      <c r="E26" t="n">
        <v>4</v>
      </c>
      <c r="F26" t="n">
        <v>4</v>
      </c>
      <c r="G26" t="n">
        <v>4</v>
      </c>
      <c r="H26" t="inlineStr"/>
    </row>
    <row r="27">
      <c r="A27" s="2" t="n">
        <v>46517</v>
      </c>
      <c r="B27" t="inlineStr">
        <is>
          <t>月</t>
        </is>
      </c>
      <c r="C27" t="inlineStr">
        <is>
          <t>新体力テスト(整理)</t>
        </is>
      </c>
      <c r="D27" t="inlineStr">
        <is>
          <t>行事</t>
        </is>
      </c>
      <c r="E27" t="n">
        <v>1</v>
      </c>
      <c r="F27" t="n">
        <v>1</v>
      </c>
      <c r="G27" t="n">
        <v>1</v>
      </c>
      <c r="H27" t="inlineStr"/>
    </row>
    <row r="28">
      <c r="A28" s="2" t="n">
        <v>46524</v>
      </c>
      <c r="B28" t="inlineStr">
        <is>
          <t>月</t>
        </is>
      </c>
      <c r="C28" t="inlineStr">
        <is>
          <t>確認テスト</t>
        </is>
      </c>
      <c r="D28" t="inlineStr">
        <is>
          <t>テスト</t>
        </is>
      </c>
      <c r="E28" t="n">
        <v>1</v>
      </c>
      <c r="F28" t="n">
        <v>1</v>
      </c>
      <c r="G28" t="n">
        <v>1</v>
      </c>
      <c r="H28" t="inlineStr"/>
    </row>
    <row r="29">
      <c r="A29" s="2" t="n">
        <v>46525</v>
      </c>
      <c r="B29" t="inlineStr">
        <is>
          <t>火</t>
        </is>
      </c>
      <c r="C29" t="inlineStr">
        <is>
          <t>確認テスト</t>
        </is>
      </c>
      <c r="D29" t="inlineStr">
        <is>
          <t>テスト</t>
        </is>
      </c>
      <c r="E29" t="n">
        <v>1</v>
      </c>
      <c r="F29" t="n">
        <v>1</v>
      </c>
      <c r="G29" t="n">
        <v>1</v>
      </c>
      <c r="H29" t="inlineStr"/>
    </row>
    <row r="30">
      <c r="A30" s="2" t="n">
        <v>46526</v>
      </c>
      <c r="B30" t="inlineStr">
        <is>
          <t>水</t>
        </is>
      </c>
      <c r="C30" t="inlineStr">
        <is>
          <t>確認テスト</t>
        </is>
      </c>
      <c r="D30" t="inlineStr">
        <is>
          <t>テスト</t>
        </is>
      </c>
      <c r="E30" t="n">
        <v>1</v>
      </c>
      <c r="F30" t="n">
        <v>1</v>
      </c>
      <c r="G30" t="n">
        <v>1</v>
      </c>
      <c r="H30" t="inlineStr"/>
    </row>
    <row r="31">
      <c r="A31" s="2" t="n">
        <v>46545</v>
      </c>
      <c r="B31" t="inlineStr">
        <is>
          <t>月</t>
        </is>
      </c>
      <c r="C31" t="inlineStr">
        <is>
          <t>修学旅行事前指導</t>
        </is>
      </c>
      <c r="D31" t="inlineStr">
        <is>
          <t>行事</t>
        </is>
      </c>
      <c r="G31" t="n">
        <v>3</v>
      </c>
      <c r="H31" t="inlineStr">
        <is>
          <t>1〜3限。4〜6限は授業</t>
        </is>
      </c>
    </row>
    <row r="32">
      <c r="A32" s="2" t="n">
        <v>46546</v>
      </c>
      <c r="B32" t="inlineStr">
        <is>
          <t>火</t>
        </is>
      </c>
      <c r="C32" t="inlineStr">
        <is>
          <t>修学旅行</t>
        </is>
      </c>
      <c r="D32" t="inlineStr">
        <is>
          <t>行事</t>
        </is>
      </c>
      <c r="G32" t="n">
        <v>6</v>
      </c>
      <c r="H32" t="inlineStr"/>
    </row>
    <row r="33">
      <c r="A33" s="2" t="n">
        <v>46547</v>
      </c>
      <c r="B33" t="inlineStr">
        <is>
          <t>水</t>
        </is>
      </c>
      <c r="C33" t="inlineStr">
        <is>
          <t>修学旅行</t>
        </is>
      </c>
      <c r="D33" t="inlineStr">
        <is>
          <t>行事</t>
        </is>
      </c>
      <c r="G33" t="n">
        <v>6</v>
      </c>
      <c r="H33" t="inlineStr"/>
    </row>
    <row r="34">
      <c r="A34" s="2" t="n">
        <v>46548</v>
      </c>
      <c r="B34" t="inlineStr">
        <is>
          <t>木</t>
        </is>
      </c>
      <c r="C34" t="inlineStr">
        <is>
          <t>修学旅行</t>
        </is>
      </c>
      <c r="D34" t="inlineStr">
        <is>
          <t>行事</t>
        </is>
      </c>
      <c r="G34" t="n">
        <v>6</v>
      </c>
      <c r="H34" t="inlineStr"/>
    </row>
    <row r="35">
      <c r="A35" s="2" t="n">
        <v>46562</v>
      </c>
      <c r="B35" t="inlineStr">
        <is>
          <t>木</t>
        </is>
      </c>
      <c r="C35" t="inlineStr">
        <is>
          <t>1学期期末テスト</t>
        </is>
      </c>
      <c r="D35" t="inlineStr">
        <is>
          <t>テスト</t>
        </is>
      </c>
      <c r="E35" t="n">
        <v>3</v>
      </c>
      <c r="F35" t="n">
        <v>3</v>
      </c>
      <c r="G35" t="n">
        <v>3</v>
      </c>
      <c r="H35" t="inlineStr"/>
    </row>
    <row r="36">
      <c r="A36" s="2" t="n">
        <v>46563</v>
      </c>
      <c r="B36" t="inlineStr">
        <is>
          <t>金</t>
        </is>
      </c>
      <c r="C36" t="inlineStr">
        <is>
          <t>1学期期末テスト</t>
        </is>
      </c>
      <c r="D36" t="inlineStr">
        <is>
          <t>テスト</t>
        </is>
      </c>
      <c r="E36" t="n">
        <v>3</v>
      </c>
      <c r="F36" t="n">
        <v>3</v>
      </c>
      <c r="G36" t="n">
        <v>3</v>
      </c>
      <c r="H36" t="inlineStr"/>
    </row>
    <row r="37">
      <c r="A37" s="2" t="n">
        <v>46566</v>
      </c>
      <c r="B37" t="inlineStr">
        <is>
          <t>月</t>
        </is>
      </c>
      <c r="C37" t="inlineStr">
        <is>
          <t>1学期期末テスト</t>
        </is>
      </c>
      <c r="D37" t="inlineStr">
        <is>
          <t>テスト</t>
        </is>
      </c>
      <c r="E37" t="n">
        <v>3</v>
      </c>
      <c r="F37" t="n">
        <v>3</v>
      </c>
      <c r="G37" t="n">
        <v>3</v>
      </c>
      <c r="H37" t="inlineStr"/>
    </row>
    <row r="38">
      <c r="A38" s="2" t="n">
        <v>46584</v>
      </c>
      <c r="B38" t="inlineStr">
        <is>
          <t>金</t>
        </is>
      </c>
      <c r="C38" t="inlineStr">
        <is>
          <t>集会</t>
        </is>
      </c>
      <c r="D38" t="inlineStr">
        <is>
          <t>行事</t>
        </is>
      </c>
      <c r="E38" t="n">
        <v>1</v>
      </c>
      <c r="F38" t="n">
        <v>1</v>
      </c>
      <c r="G38" t="n">
        <v>1</v>
      </c>
      <c r="H38" t="inlineStr"/>
    </row>
    <row r="39">
      <c r="A39" s="2" t="n">
        <v>46588</v>
      </c>
      <c r="B39" t="inlineStr">
        <is>
          <t>火</t>
        </is>
      </c>
      <c r="C39" t="inlineStr">
        <is>
          <t>式</t>
        </is>
      </c>
      <c r="D39" t="inlineStr">
        <is>
          <t>行事</t>
        </is>
      </c>
      <c r="E39" t="n">
        <v>1</v>
      </c>
      <c r="F39" t="n">
        <v>1</v>
      </c>
      <c r="G39" t="n">
        <v>1</v>
      </c>
      <c r="H39" t="inlineStr"/>
    </row>
    <row r="40">
      <c r="A40" s="2" t="n">
        <v>46631</v>
      </c>
      <c r="B40" t="inlineStr">
        <is>
          <t>水</t>
        </is>
      </c>
      <c r="C40" t="inlineStr">
        <is>
          <t>式</t>
        </is>
      </c>
      <c r="D40" t="inlineStr">
        <is>
          <t>行事</t>
        </is>
      </c>
      <c r="E40" t="n">
        <v>1</v>
      </c>
      <c r="F40" t="n">
        <v>1</v>
      </c>
      <c r="G40" t="n">
        <v>1</v>
      </c>
      <c r="H40" t="inlineStr"/>
    </row>
    <row r="41">
      <c r="A41" s="2" t="n">
        <v>46646</v>
      </c>
      <c r="B41" t="inlineStr">
        <is>
          <t>木</t>
        </is>
      </c>
      <c r="C41" t="inlineStr">
        <is>
          <t>小中授業交流会</t>
        </is>
      </c>
      <c r="D41" t="inlineStr">
        <is>
          <t>行事</t>
        </is>
      </c>
      <c r="E41" t="n">
        <v>1</v>
      </c>
      <c r="F41" t="n">
        <v>1</v>
      </c>
      <c r="G41" t="n">
        <v>1</v>
      </c>
      <c r="H41" t="inlineStr"/>
    </row>
    <row r="42">
      <c r="A42" s="2" t="n">
        <v>46657</v>
      </c>
      <c r="B42" t="inlineStr">
        <is>
          <t>月</t>
        </is>
      </c>
      <c r="C42" t="inlineStr">
        <is>
          <t>中間テスト</t>
        </is>
      </c>
      <c r="D42" t="inlineStr">
        <is>
          <t>テスト</t>
        </is>
      </c>
      <c r="E42" t="n">
        <v>3</v>
      </c>
      <c r="F42" t="n">
        <v>3</v>
      </c>
      <c r="G42" t="n">
        <v>3</v>
      </c>
      <c r="H42" t="inlineStr"/>
    </row>
    <row r="43">
      <c r="A43" s="2" t="n">
        <v>46658</v>
      </c>
      <c r="B43" t="inlineStr">
        <is>
          <t>火</t>
        </is>
      </c>
      <c r="C43" t="inlineStr">
        <is>
          <t>中間テスト</t>
        </is>
      </c>
      <c r="D43" t="inlineStr">
        <is>
          <t>テスト</t>
        </is>
      </c>
      <c r="E43" t="n">
        <v>3</v>
      </c>
      <c r="F43" t="n">
        <v>3</v>
      </c>
      <c r="G43" t="n">
        <v>3</v>
      </c>
      <c r="H43" t="inlineStr"/>
    </row>
    <row r="44">
      <c r="A44" s="2" t="n">
        <v>46660</v>
      </c>
      <c r="B44" t="inlineStr">
        <is>
          <t>木</t>
        </is>
      </c>
      <c r="C44" t="inlineStr">
        <is>
          <t>体育大会総合練習</t>
        </is>
      </c>
      <c r="D44" t="inlineStr">
        <is>
          <t>総合</t>
        </is>
      </c>
      <c r="E44" t="n">
        <v>4</v>
      </c>
      <c r="F44" t="n">
        <v>4</v>
      </c>
      <c r="G44" t="n">
        <v>4</v>
      </c>
      <c r="H44" t="inlineStr"/>
    </row>
    <row r="45">
      <c r="A45" s="2" t="n">
        <v>46666</v>
      </c>
      <c r="B45" t="inlineStr">
        <is>
          <t>水</t>
        </is>
      </c>
      <c r="C45" t="inlineStr">
        <is>
          <t>体育大会準備</t>
        </is>
      </c>
      <c r="D45" t="inlineStr">
        <is>
          <t>行事</t>
        </is>
      </c>
      <c r="E45" t="n">
        <v>2</v>
      </c>
      <c r="F45" t="n">
        <v>2</v>
      </c>
      <c r="G45" t="n">
        <v>2</v>
      </c>
      <c r="H45" t="inlineStr"/>
    </row>
    <row r="46">
      <c r="A46" s="2" t="n">
        <v>46667</v>
      </c>
      <c r="B46" t="inlineStr">
        <is>
          <t>木</t>
        </is>
      </c>
      <c r="C46" t="inlineStr">
        <is>
          <t>体育大会</t>
        </is>
      </c>
      <c r="D46" t="inlineStr">
        <is>
          <t>行事</t>
        </is>
      </c>
      <c r="E46" t="n">
        <v>6</v>
      </c>
      <c r="F46" t="n">
        <v>6</v>
      </c>
      <c r="G46" t="n">
        <v>6</v>
      </c>
      <c r="H46" t="inlineStr"/>
    </row>
    <row r="47">
      <c r="A47" s="2" t="n">
        <v>46673</v>
      </c>
      <c r="B47" t="inlineStr">
        <is>
          <t>水</t>
        </is>
      </c>
      <c r="C47" t="inlineStr">
        <is>
          <t>避難訓練</t>
        </is>
      </c>
      <c r="D47" t="inlineStr">
        <is>
          <t>行事</t>
        </is>
      </c>
      <c r="E47" t="n">
        <v>1</v>
      </c>
      <c r="F47" t="n">
        <v>1</v>
      </c>
      <c r="G47" t="n">
        <v>1</v>
      </c>
      <c r="H47" t="inlineStr">
        <is>
          <t>年計では10/14（木）。カウントでは10/13（水）1限</t>
        </is>
      </c>
    </row>
    <row r="48">
      <c r="A48" s="2" t="n">
        <v>46675</v>
      </c>
      <c r="B48" t="inlineStr">
        <is>
          <t>金</t>
        </is>
      </c>
      <c r="C48" t="inlineStr">
        <is>
          <t>実力テスト(3年)</t>
        </is>
      </c>
      <c r="D48" t="inlineStr">
        <is>
          <t>テスト</t>
        </is>
      </c>
      <c r="G48" t="n">
        <v>5</v>
      </c>
      <c r="H48" t="inlineStr"/>
    </row>
    <row r="49">
      <c r="A49" s="2" t="n">
        <v>46682</v>
      </c>
      <c r="B49" t="inlineStr">
        <is>
          <t>金</t>
        </is>
      </c>
      <c r="C49" t="inlineStr">
        <is>
          <t>進路説明会</t>
        </is>
      </c>
      <c r="D49" t="inlineStr">
        <is>
          <t>行事</t>
        </is>
      </c>
      <c r="G49" t="n">
        <v>1</v>
      </c>
      <c r="H49" t="inlineStr"/>
    </row>
    <row r="50">
      <c r="A50" s="2" t="n">
        <v>46685</v>
      </c>
      <c r="B50" t="inlineStr">
        <is>
          <t>月</t>
        </is>
      </c>
      <c r="C50" t="inlineStr">
        <is>
          <t>合唱練習</t>
        </is>
      </c>
      <c r="D50" t="inlineStr">
        <is>
          <t>行事</t>
        </is>
      </c>
      <c r="E50" t="n">
        <v>1</v>
      </c>
      <c r="F50" t="n">
        <v>1</v>
      </c>
      <c r="G50" t="n">
        <v>1</v>
      </c>
      <c r="H50" t="inlineStr"/>
    </row>
    <row r="51">
      <c r="A51" s="2" t="n">
        <v>46686</v>
      </c>
      <c r="B51" t="inlineStr">
        <is>
          <t>火</t>
        </is>
      </c>
      <c r="C51" t="inlineStr">
        <is>
          <t>合唱練習</t>
        </is>
      </c>
      <c r="D51" t="inlineStr">
        <is>
          <t>行事</t>
        </is>
      </c>
      <c r="E51" t="n">
        <v>1</v>
      </c>
      <c r="F51" t="n">
        <v>1</v>
      </c>
      <c r="G51" t="n">
        <v>1</v>
      </c>
      <c r="H51" t="inlineStr"/>
    </row>
    <row r="52">
      <c r="A52" s="2" t="n">
        <v>46687</v>
      </c>
      <c r="B52" t="inlineStr">
        <is>
          <t>水</t>
        </is>
      </c>
      <c r="C52" t="inlineStr">
        <is>
          <t>合唱練習</t>
        </is>
      </c>
      <c r="D52" t="inlineStr">
        <is>
          <t>行事</t>
        </is>
      </c>
      <c r="E52" t="n">
        <v>1</v>
      </c>
      <c r="F52" t="n">
        <v>1</v>
      </c>
      <c r="G52" t="n">
        <v>1</v>
      </c>
      <c r="H52" t="inlineStr"/>
    </row>
    <row r="53">
      <c r="A53" s="2" t="n">
        <v>46689</v>
      </c>
      <c r="B53" t="inlineStr">
        <is>
          <t>金</t>
        </is>
      </c>
      <c r="C53" t="inlineStr">
        <is>
          <t>合唱練習</t>
        </is>
      </c>
      <c r="D53" t="inlineStr">
        <is>
          <t>行事</t>
        </is>
      </c>
      <c r="E53" t="n">
        <v>1</v>
      </c>
      <c r="F53" t="n">
        <v>1</v>
      </c>
      <c r="G53" t="n">
        <v>1</v>
      </c>
      <c r="H53" t="inlineStr"/>
    </row>
    <row r="54">
      <c r="A54" s="2" t="n">
        <v>46692</v>
      </c>
      <c r="B54" t="inlineStr">
        <is>
          <t>月</t>
        </is>
      </c>
      <c r="C54" t="inlineStr">
        <is>
          <t>合唱練習</t>
        </is>
      </c>
      <c r="D54" t="inlineStr">
        <is>
          <t>行事</t>
        </is>
      </c>
      <c r="E54" t="n">
        <v>1</v>
      </c>
      <c r="F54" t="n">
        <v>1</v>
      </c>
      <c r="G54" t="n">
        <v>1</v>
      </c>
      <c r="H54" t="inlineStr"/>
    </row>
    <row r="55">
      <c r="A55" s="2" t="n">
        <v>46693</v>
      </c>
      <c r="B55" t="inlineStr">
        <is>
          <t>火</t>
        </is>
      </c>
      <c r="C55" t="inlineStr">
        <is>
          <t>文化祭準備</t>
        </is>
      </c>
      <c r="D55" t="inlineStr">
        <is>
          <t>行事</t>
        </is>
      </c>
      <c r="E55" t="n">
        <v>2</v>
      </c>
      <c r="F55" t="n">
        <v>2</v>
      </c>
      <c r="G55" t="n">
        <v>2</v>
      </c>
      <c r="H55" t="inlineStr"/>
    </row>
    <row r="56">
      <c r="A56" s="2" t="n">
        <v>46695</v>
      </c>
      <c r="B56" t="inlineStr">
        <is>
          <t>木</t>
        </is>
      </c>
      <c r="C56" t="inlineStr">
        <is>
          <t>文化祭（音楽発表会）</t>
        </is>
      </c>
      <c r="D56" t="inlineStr">
        <is>
          <t>行事</t>
        </is>
      </c>
      <c r="E56" t="n">
        <v>4</v>
      </c>
      <c r="F56" t="n">
        <v>4</v>
      </c>
      <c r="G56" t="n">
        <v>4</v>
      </c>
      <c r="H56" t="inlineStr"/>
    </row>
    <row r="57">
      <c r="A57" s="2" t="n">
        <v>46708</v>
      </c>
      <c r="B57" t="inlineStr">
        <is>
          <t>水</t>
        </is>
      </c>
      <c r="C57" t="inlineStr">
        <is>
          <t>2学期期末テスト</t>
        </is>
      </c>
      <c r="D57" t="inlineStr">
        <is>
          <t>テスト</t>
        </is>
      </c>
      <c r="E57" t="n">
        <v>3</v>
      </c>
      <c r="F57" t="n">
        <v>3</v>
      </c>
      <c r="G57" t="n">
        <v>3</v>
      </c>
      <c r="H57" t="inlineStr"/>
    </row>
    <row r="58">
      <c r="A58" s="2" t="n">
        <v>46709</v>
      </c>
      <c r="B58" t="inlineStr">
        <is>
          <t>木</t>
        </is>
      </c>
      <c r="C58" t="inlineStr">
        <is>
          <t>2学期期末テスト</t>
        </is>
      </c>
      <c r="D58" t="inlineStr">
        <is>
          <t>テスト</t>
        </is>
      </c>
      <c r="E58" t="n">
        <v>3</v>
      </c>
      <c r="F58" t="n">
        <v>3</v>
      </c>
      <c r="G58" t="n">
        <v>4</v>
      </c>
      <c r="H58" t="inlineStr"/>
    </row>
    <row r="59">
      <c r="A59" s="2" t="n">
        <v>46710</v>
      </c>
      <c r="B59" t="inlineStr">
        <is>
          <t>金</t>
        </is>
      </c>
      <c r="C59" t="inlineStr">
        <is>
          <t>実力テスト(3年)</t>
        </is>
      </c>
      <c r="D59" t="inlineStr">
        <is>
          <t>テスト</t>
        </is>
      </c>
      <c r="G59" t="n">
        <v>5</v>
      </c>
      <c r="H59" t="inlineStr"/>
    </row>
    <row r="60">
      <c r="A60" s="2" t="n">
        <v>46710</v>
      </c>
      <c r="B60" t="inlineStr">
        <is>
          <t>金</t>
        </is>
      </c>
      <c r="C60" t="inlineStr">
        <is>
          <t>未来マップ（総合）</t>
        </is>
      </c>
      <c r="D60" t="inlineStr">
        <is>
          <t>総合</t>
        </is>
      </c>
      <c r="E60" t="n">
        <v>2</v>
      </c>
      <c r="H60" t="inlineStr">
        <is>
          <t>5・6限。総合として数える</t>
        </is>
      </c>
    </row>
    <row r="61">
      <c r="A61" s="2" t="n">
        <v>46734</v>
      </c>
      <c r="B61" t="inlineStr">
        <is>
          <t>月</t>
        </is>
      </c>
      <c r="C61" t="inlineStr">
        <is>
          <t>未来マップ（総合）</t>
        </is>
      </c>
      <c r="D61" t="inlineStr">
        <is>
          <t>総合</t>
        </is>
      </c>
      <c r="E61" t="n">
        <v>2</v>
      </c>
      <c r="H61" t="inlineStr">
        <is>
          <t>5・6限。総合として数える</t>
        </is>
      </c>
    </row>
    <row r="62">
      <c r="A62" s="2" t="n">
        <v>46743</v>
      </c>
      <c r="B62" t="inlineStr">
        <is>
          <t>水</t>
        </is>
      </c>
      <c r="C62" t="inlineStr">
        <is>
          <t>大掃除</t>
        </is>
      </c>
      <c r="D62" t="inlineStr">
        <is>
          <t>行事</t>
        </is>
      </c>
      <c r="F62" t="n">
        <v>1</v>
      </c>
      <c r="H62" t="inlineStr"/>
    </row>
    <row r="63">
      <c r="A63" s="2" t="n">
        <v>46743</v>
      </c>
      <c r="B63" t="inlineStr">
        <is>
          <t>水</t>
        </is>
      </c>
      <c r="C63" t="inlineStr">
        <is>
          <t>集会</t>
        </is>
      </c>
      <c r="D63" t="inlineStr">
        <is>
          <t>行事</t>
        </is>
      </c>
      <c r="E63" t="n">
        <v>1</v>
      </c>
      <c r="G63" t="n">
        <v>1</v>
      </c>
      <c r="H63" t="inlineStr"/>
    </row>
    <row r="64">
      <c r="A64" s="2" t="n">
        <v>46744</v>
      </c>
      <c r="B64" t="inlineStr">
        <is>
          <t>木</t>
        </is>
      </c>
      <c r="C64" t="inlineStr">
        <is>
          <t>式</t>
        </is>
      </c>
      <c r="D64" t="inlineStr">
        <is>
          <t>行事</t>
        </is>
      </c>
      <c r="E64" t="n">
        <v>1</v>
      </c>
      <c r="F64" t="n">
        <v>1</v>
      </c>
      <c r="G64" t="n">
        <v>1</v>
      </c>
      <c r="H64" t="inlineStr"/>
    </row>
    <row r="65">
      <c r="A65" s="2" t="n">
        <v>46759</v>
      </c>
      <c r="B65" t="inlineStr">
        <is>
          <t>金</t>
        </is>
      </c>
      <c r="C65" t="inlineStr">
        <is>
          <t>式</t>
        </is>
      </c>
      <c r="D65" t="inlineStr">
        <is>
          <t>行事</t>
        </is>
      </c>
      <c r="E65" t="n">
        <v>1</v>
      </c>
      <c r="F65" t="n">
        <v>1</v>
      </c>
      <c r="G65" t="n">
        <v>1</v>
      </c>
      <c r="H65" t="inlineStr"/>
    </row>
    <row r="66">
      <c r="A66" s="2" t="n">
        <v>46771</v>
      </c>
      <c r="B66" t="inlineStr">
        <is>
          <t>水</t>
        </is>
      </c>
      <c r="C66" t="inlineStr">
        <is>
          <t>職場体験(2年)</t>
        </is>
      </c>
      <c r="D66" t="inlineStr">
        <is>
          <t>行事</t>
        </is>
      </c>
      <c r="F66" t="n">
        <v>6</v>
      </c>
      <c r="H66" t="inlineStr"/>
    </row>
    <row r="67">
      <c r="A67" s="2" t="n">
        <v>46772</v>
      </c>
      <c r="B67" t="inlineStr">
        <is>
          <t>木</t>
        </is>
      </c>
      <c r="C67" t="inlineStr">
        <is>
          <t>職場体験(2年)</t>
        </is>
      </c>
      <c r="D67" t="inlineStr">
        <is>
          <t>行事</t>
        </is>
      </c>
      <c r="F67" t="n">
        <v>5</v>
      </c>
      <c r="H67" t="inlineStr"/>
    </row>
    <row r="68">
      <c r="A68" s="2" t="n">
        <v>46776</v>
      </c>
      <c r="B68" t="inlineStr">
        <is>
          <t>月</t>
        </is>
      </c>
      <c r="C68" t="inlineStr">
        <is>
          <t>実力テスト(3年)</t>
        </is>
      </c>
      <c r="D68" t="inlineStr">
        <is>
          <t>テスト</t>
        </is>
      </c>
      <c r="G68" t="n">
        <v>5</v>
      </c>
      <c r="H68" t="inlineStr"/>
    </row>
    <row r="69">
      <c r="A69" s="2" t="n">
        <v>46800</v>
      </c>
      <c r="B69" t="inlineStr">
        <is>
          <t>木</t>
        </is>
      </c>
      <c r="C69" t="inlineStr">
        <is>
          <t>学年末テスト</t>
        </is>
      </c>
      <c r="D69" t="inlineStr">
        <is>
          <t>テスト</t>
        </is>
      </c>
      <c r="E69" t="n">
        <v>3</v>
      </c>
      <c r="F69" t="n">
        <v>3</v>
      </c>
      <c r="H69" t="inlineStr"/>
    </row>
    <row r="70">
      <c r="A70" s="2" t="n">
        <v>46801</v>
      </c>
      <c r="B70" t="inlineStr">
        <is>
          <t>金</t>
        </is>
      </c>
      <c r="C70" t="inlineStr">
        <is>
          <t>学年末テスト</t>
        </is>
      </c>
      <c r="D70" t="inlineStr">
        <is>
          <t>テスト</t>
        </is>
      </c>
      <c r="E70" t="n">
        <v>3</v>
      </c>
      <c r="F70" t="n">
        <v>3</v>
      </c>
      <c r="H70" t="inlineStr"/>
    </row>
    <row r="71">
      <c r="A71" s="2" t="n">
        <v>46811</v>
      </c>
      <c r="B71" t="inlineStr">
        <is>
          <t>月</t>
        </is>
      </c>
      <c r="C71" t="inlineStr">
        <is>
          <t>3送会準備・リハ</t>
        </is>
      </c>
      <c r="D71" t="inlineStr">
        <is>
          <t>行事</t>
        </is>
      </c>
      <c r="E71" t="n">
        <v>2</v>
      </c>
      <c r="F71" t="n">
        <v>2</v>
      </c>
      <c r="G71" t="n">
        <v>2</v>
      </c>
      <c r="H71" t="inlineStr"/>
    </row>
    <row r="72">
      <c r="A72" s="2" t="n">
        <v>46812</v>
      </c>
      <c r="B72" t="inlineStr">
        <is>
          <t>火</t>
        </is>
      </c>
      <c r="C72" t="inlineStr">
        <is>
          <t>3年生を送る会</t>
        </is>
      </c>
      <c r="D72" t="inlineStr">
        <is>
          <t>行事</t>
        </is>
      </c>
      <c r="E72" t="n">
        <v>1</v>
      </c>
      <c r="F72" t="n">
        <v>1</v>
      </c>
      <c r="G72" t="n">
        <v>1</v>
      </c>
      <c r="H72" t="inlineStr"/>
    </row>
    <row r="73">
      <c r="A73" s="2" t="n">
        <v>46813</v>
      </c>
      <c r="B73" t="inlineStr">
        <is>
          <t>水</t>
        </is>
      </c>
      <c r="C73" t="inlineStr">
        <is>
          <t>卒業式練習</t>
        </is>
      </c>
      <c r="D73" t="inlineStr">
        <is>
          <t>行事</t>
        </is>
      </c>
      <c r="F73" t="n">
        <v>2</v>
      </c>
      <c r="H73" t="inlineStr"/>
    </row>
    <row r="74">
      <c r="A74" s="2" t="n">
        <v>46814</v>
      </c>
      <c r="B74" t="inlineStr">
        <is>
          <t>木</t>
        </is>
      </c>
      <c r="C74" t="inlineStr">
        <is>
          <t>卒業式準備</t>
        </is>
      </c>
      <c r="D74" t="inlineStr">
        <is>
          <t>行事</t>
        </is>
      </c>
      <c r="E74" t="n">
        <v>1</v>
      </c>
      <c r="F74" t="n">
        <v>1</v>
      </c>
      <c r="H74" t="inlineStr"/>
    </row>
    <row r="75">
      <c r="A75" s="2" t="n">
        <v>46814</v>
      </c>
      <c r="B75" t="inlineStr">
        <is>
          <t>木</t>
        </is>
      </c>
      <c r="C75" t="inlineStr">
        <is>
          <t>卒業式練習</t>
        </is>
      </c>
      <c r="D75" t="inlineStr">
        <is>
          <t>行事</t>
        </is>
      </c>
      <c r="F75" t="n">
        <v>1</v>
      </c>
      <c r="H75" t="inlineStr"/>
    </row>
    <row r="76">
      <c r="A76" s="2" t="n">
        <v>46815</v>
      </c>
      <c r="B76" t="inlineStr">
        <is>
          <t>金</t>
        </is>
      </c>
      <c r="C76" t="inlineStr">
        <is>
          <t>卒業式練習</t>
        </is>
      </c>
      <c r="D76" t="inlineStr">
        <is>
          <t>行事</t>
        </is>
      </c>
      <c r="G76" t="n">
        <v>3</v>
      </c>
      <c r="H76" t="inlineStr">
        <is>
          <t>1〜3限</t>
        </is>
      </c>
    </row>
    <row r="77">
      <c r="A77" s="2" t="n">
        <v>46819</v>
      </c>
      <c r="B77" t="inlineStr">
        <is>
          <t>火</t>
        </is>
      </c>
      <c r="C77" t="inlineStr">
        <is>
          <t>卒業式</t>
        </is>
      </c>
      <c r="D77" t="inlineStr">
        <is>
          <t>行事</t>
        </is>
      </c>
      <c r="F77" t="n">
        <v>3</v>
      </c>
      <c r="G77" t="n">
        <v>3</v>
      </c>
      <c r="H77" t="inlineStr">
        <is>
          <t>3時数</t>
        </is>
      </c>
    </row>
    <row r="78">
      <c r="A78" s="2" t="n">
        <v>46825</v>
      </c>
      <c r="B78" t="inlineStr">
        <is>
          <t>月</t>
        </is>
      </c>
      <c r="C78" t="inlineStr">
        <is>
          <t>立会演説会</t>
        </is>
      </c>
      <c r="D78" t="inlineStr">
        <is>
          <t>行事</t>
        </is>
      </c>
      <c r="E78" t="n">
        <v>1</v>
      </c>
      <c r="F78" t="n">
        <v>1</v>
      </c>
      <c r="H78" t="inlineStr"/>
    </row>
    <row r="79">
      <c r="A79" s="2" t="n">
        <v>46835</v>
      </c>
      <c r="B79" t="inlineStr">
        <is>
          <t>木</t>
        </is>
      </c>
      <c r="C79" t="inlineStr">
        <is>
          <t>大掃除</t>
        </is>
      </c>
      <c r="D79" t="inlineStr">
        <is>
          <t>行事</t>
        </is>
      </c>
      <c r="E79" t="n">
        <v>1</v>
      </c>
      <c r="H79" t="inlineStr"/>
    </row>
    <row r="80">
      <c r="A80" s="2" t="n">
        <v>46835</v>
      </c>
      <c r="B80" t="inlineStr">
        <is>
          <t>木</t>
        </is>
      </c>
      <c r="C80" t="inlineStr">
        <is>
          <t>集会</t>
        </is>
      </c>
      <c r="D80" t="inlineStr">
        <is>
          <t>行事</t>
        </is>
      </c>
      <c r="F80" t="n">
        <v>1</v>
      </c>
      <c r="H80" t="inlineStr"/>
    </row>
    <row r="81">
      <c r="A81" s="2" t="n">
        <v>46836</v>
      </c>
      <c r="B81" t="inlineStr">
        <is>
          <t>金</t>
        </is>
      </c>
      <c r="C81" t="inlineStr">
        <is>
          <t>式</t>
        </is>
      </c>
      <c r="D81" t="inlineStr">
        <is>
          <t>行事</t>
        </is>
      </c>
      <c r="E81" t="n">
        <v>1</v>
      </c>
      <c r="F81" t="n">
        <v>1</v>
      </c>
      <c r="H81" t="inlineStr"/>
    </row>
    <row r="83">
      <c r="A83" s="3" t="inlineStr">
        <is>
          <t>合計</t>
        </is>
      </c>
      <c r="B83" s="3" t="inlineStr"/>
      <c r="C83" s="3" t="inlineStr"/>
      <c r="D83" s="3" t="inlineStr"/>
      <c r="E83" s="3">
        <f>SUM(E2:E81)</f>
        <v/>
      </c>
      <c r="F83" s="3">
        <f>SUM(F2:F81)</f>
        <v/>
      </c>
      <c r="G83" s="3">
        <f>SUM(G2:G81)</f>
        <v/>
      </c>
      <c r="H8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44" customWidth="1" min="5" max="5"/>
  </cols>
  <sheetData>
    <row r="1">
      <c r="A1" s="1" t="inlineStr">
        <is>
          <t>項目</t>
        </is>
      </c>
      <c r="B1" s="1" t="inlineStr">
        <is>
          <t>1年</t>
        </is>
      </c>
      <c r="C1" s="1" t="inlineStr">
        <is>
          <t>2年</t>
        </is>
      </c>
      <c r="D1" s="1" t="inlineStr">
        <is>
          <t>3年</t>
        </is>
      </c>
      <c r="E1" s="1" t="inlineStr">
        <is>
          <t>備考</t>
        </is>
      </c>
    </row>
    <row r="2">
      <c r="A2" t="inlineStr">
        <is>
          <t>授業のコマ数（45分）</t>
        </is>
      </c>
      <c r="B2" t="n">
        <v>950</v>
      </c>
      <c r="C2" t="n">
        <v>939</v>
      </c>
      <c r="D2" t="n">
        <v>833</v>
      </c>
      <c r="E2" t="inlineStr">
        <is>
          <t>授業数カウント「合計」シートの1年間累計</t>
        </is>
      </c>
    </row>
    <row r="3">
      <c r="A3" t="inlineStr">
        <is>
          <t>授業（50分換算）</t>
        </is>
      </c>
      <c r="B3" s="4">
        <f>B2*0.9</f>
        <v/>
      </c>
      <c r="C3" s="4">
        <f>C2*0.9</f>
        <v/>
      </c>
      <c r="D3" s="4">
        <f>D2*0.9</f>
        <v/>
      </c>
      <c r="E3" t="inlineStr">
        <is>
          <t>1コマ0.9時数</t>
        </is>
      </c>
    </row>
    <row r="4">
      <c r="A4" t="inlineStr">
        <is>
          <t>行事・テスト（50分＝1）</t>
        </is>
      </c>
      <c r="B4" s="4" t="n">
        <v>97</v>
      </c>
      <c r="C4" s="4" t="n">
        <v>115</v>
      </c>
      <c r="D4" s="4" t="n">
        <v>135</v>
      </c>
      <c r="E4" t="inlineStr">
        <is>
          <t>「行事・テスト一覧」の合計</t>
        </is>
      </c>
    </row>
    <row r="5">
      <c r="A5" t="inlineStr">
        <is>
          <t>教科・行事・テスト 計</t>
        </is>
      </c>
      <c r="B5" s="4">
        <f>B3+B4</f>
        <v/>
      </c>
      <c r="C5" s="4">
        <f>C3+C4</f>
        <v/>
      </c>
      <c r="D5" s="4">
        <f>D3+D4</f>
        <v/>
      </c>
      <c r="E5" t="inlineStr">
        <is>
          <t>目標945</t>
        </is>
      </c>
    </row>
    <row r="6">
      <c r="A6" t="inlineStr">
        <is>
          <t>目標945との差</t>
        </is>
      </c>
      <c r="B6" s="4">
        <f>B5-945</f>
        <v/>
      </c>
      <c r="C6" s="4">
        <f>C5-945</f>
        <v/>
      </c>
      <c r="D6" s="4">
        <f>D5-945</f>
        <v/>
      </c>
      <c r="E6" t="inlineStr"/>
    </row>
    <row r="7">
      <c r="A7" t="inlineStr">
        <is>
          <t>学習枠＋研修</t>
        </is>
      </c>
      <c r="B7" s="4" t="n">
        <v>70</v>
      </c>
      <c r="C7" s="4" t="n">
        <v>70</v>
      </c>
      <c r="D7" s="4" t="n">
        <v>70</v>
      </c>
      <c r="E7" t="inlineStr">
        <is>
          <t>3年は卒業後分を除くと学習枠は約33</t>
        </is>
      </c>
    </row>
    <row r="8">
      <c r="A8" t="inlineStr">
        <is>
          <t>総計（標準1015）</t>
        </is>
      </c>
      <c r="B8" s="4">
        <f>B5+B7</f>
        <v/>
      </c>
      <c r="C8" s="4">
        <f>C5+C7</f>
        <v/>
      </c>
      <c r="D8" s="4">
        <f>D5+D7</f>
        <v/>
      </c>
      <c r="E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4" customWidth="1" min="2" max="2"/>
    <col width="7" customWidth="1" min="3" max="3"/>
    <col width="14" customWidth="1" min="4" max="4"/>
    <col width="30" customWidth="1" min="5" max="5"/>
    <col width="46" customWidth="1" min="6" max="6"/>
  </cols>
  <sheetData>
    <row r="1">
      <c r="A1" s="5" t="inlineStr">
        <is>
          <t>日付</t>
        </is>
      </c>
      <c r="B1" s="5" t="inlineStr">
        <is>
          <t>曜</t>
        </is>
      </c>
      <c r="C1" s="5" t="inlineStr">
        <is>
          <t>学年</t>
        </is>
      </c>
      <c r="D1" s="5" t="inlineStr">
        <is>
          <t>空いていたコマ</t>
        </is>
      </c>
      <c r="E1" s="5" t="inlineStr">
        <is>
          <t>前年度の行事</t>
        </is>
      </c>
      <c r="F1" s="5" t="inlineStr">
        <is>
          <t>対応</t>
        </is>
      </c>
    </row>
    <row r="2">
      <c r="A2" s="2" t="n">
        <v>46555</v>
      </c>
      <c r="B2" t="inlineStr">
        <is>
          <t>木</t>
        </is>
      </c>
      <c r="C2" t="n">
        <v>3</v>
      </c>
      <c r="D2" t="inlineStr">
        <is>
          <t>1〜5限</t>
        </is>
      </c>
      <c r="E2" t="inlineStr">
        <is>
          <t>家庭学習（R8の修学旅行明け）</t>
        </is>
      </c>
      <c r="F2" t="inlineStr">
        <is>
          <t>授業に戻した</t>
        </is>
      </c>
    </row>
    <row r="3">
      <c r="A3" s="2" t="n">
        <v>46570</v>
      </c>
      <c r="B3" t="inlineStr">
        <is>
          <t>金</t>
        </is>
      </c>
      <c r="C3" t="n">
        <v>3</v>
      </c>
      <c r="D3" t="inlineStr">
        <is>
          <t>5・6限</t>
        </is>
      </c>
      <c r="E3" t="inlineStr">
        <is>
          <t>進路説明会（R8の日付）</t>
        </is>
      </c>
      <c r="F3" t="inlineStr">
        <is>
          <t>授業に戻した</t>
        </is>
      </c>
    </row>
    <row r="4">
      <c r="A4" s="2" t="n">
        <v>46632</v>
      </c>
      <c r="B4" t="inlineStr">
        <is>
          <t>木</t>
        </is>
      </c>
      <c r="C4" t="inlineStr">
        <is>
          <t>1・2年</t>
        </is>
      </c>
      <c r="D4" t="inlineStr">
        <is>
          <t>1限</t>
        </is>
      </c>
      <c r="E4" t="inlineStr">
        <is>
          <t>聖火</t>
        </is>
      </c>
      <c r="F4" t="inlineStr">
        <is>
          <t>授業に戻した</t>
        </is>
      </c>
    </row>
    <row r="5">
      <c r="A5" s="2" t="n">
        <v>46632</v>
      </c>
      <c r="B5" t="inlineStr">
        <is>
          <t>木</t>
        </is>
      </c>
      <c r="C5" t="n">
        <v>3</v>
      </c>
      <c r="D5" t="inlineStr">
        <is>
          <t>1・3・4・5限</t>
        </is>
      </c>
      <c r="E5" t="inlineStr">
        <is>
          <t>聖火・実力テスト①</t>
        </is>
      </c>
      <c r="F5" t="inlineStr">
        <is>
          <t>授業に戻した</t>
        </is>
      </c>
    </row>
    <row r="6">
      <c r="A6" s="2" t="n">
        <v>46636</v>
      </c>
      <c r="B6" t="inlineStr">
        <is>
          <t>月</t>
        </is>
      </c>
      <c r="C6" t="inlineStr">
        <is>
          <t>全</t>
        </is>
      </c>
      <c r="D6" t="inlineStr">
        <is>
          <t>5・6限</t>
        </is>
      </c>
      <c r="E6" t="inlineStr">
        <is>
          <t>聖火</t>
        </is>
      </c>
      <c r="F6" t="inlineStr">
        <is>
          <t>授業に戻した</t>
        </is>
      </c>
    </row>
    <row r="7">
      <c r="A7" s="2" t="n">
        <v>46637</v>
      </c>
      <c r="B7" t="inlineStr">
        <is>
          <t>火</t>
        </is>
      </c>
      <c r="C7" t="inlineStr">
        <is>
          <t>全</t>
        </is>
      </c>
      <c r="D7" t="inlineStr">
        <is>
          <t>1〜3限</t>
        </is>
      </c>
      <c r="E7" t="inlineStr">
        <is>
          <t>学校聖火リレー</t>
        </is>
      </c>
      <c r="F7" t="inlineStr">
        <is>
          <t>授業に戻した</t>
        </is>
      </c>
    </row>
    <row r="8">
      <c r="A8" s="2" t="n">
        <v>46672</v>
      </c>
      <c r="B8" t="inlineStr">
        <is>
          <t>火</t>
        </is>
      </c>
      <c r="C8" t="n">
        <v>3</v>
      </c>
      <c r="D8" t="inlineStr">
        <is>
          <t>5・6限</t>
        </is>
      </c>
      <c r="E8" t="inlineStr">
        <is>
          <t>パラスポーツ</t>
        </is>
      </c>
      <c r="F8" t="inlineStr">
        <is>
          <t>授業に戻した</t>
        </is>
      </c>
    </row>
    <row r="9">
      <c r="A9" s="2" t="n">
        <v>46675</v>
      </c>
      <c r="B9" t="inlineStr">
        <is>
          <t>金</t>
        </is>
      </c>
      <c r="C9" t="n">
        <v>2</v>
      </c>
      <c r="D9" t="inlineStr">
        <is>
          <t>5・6限</t>
        </is>
      </c>
      <c r="E9" t="inlineStr">
        <is>
          <t>パラスポーツ</t>
        </is>
      </c>
      <c r="F9" t="inlineStr">
        <is>
          <t>授業に戻した</t>
        </is>
      </c>
    </row>
    <row r="10">
      <c r="A10" s="2" t="n">
        <v>46678</v>
      </c>
      <c r="B10" t="inlineStr">
        <is>
          <t>月</t>
        </is>
      </c>
      <c r="C10" t="n">
        <v>1</v>
      </c>
      <c r="D10" t="inlineStr">
        <is>
          <t>5・6限</t>
        </is>
      </c>
      <c r="E10" t="inlineStr">
        <is>
          <t>パラスポーツ</t>
        </is>
      </c>
      <c r="F10" t="inlineStr">
        <is>
          <t>授業に戻した</t>
        </is>
      </c>
    </row>
    <row r="11">
      <c r="A11" s="2" t="n">
        <v>46680</v>
      </c>
      <c r="B11" t="inlineStr">
        <is>
          <t>水</t>
        </is>
      </c>
      <c r="C11" t="inlineStr">
        <is>
          <t>全</t>
        </is>
      </c>
      <c r="D11" t="inlineStr">
        <is>
          <t>1〜6限</t>
        </is>
      </c>
      <c r="E11" t="inlineStr">
        <is>
          <t>アジパラ観戦</t>
        </is>
      </c>
      <c r="F11" t="inlineStr">
        <is>
          <t>授業に戻した</t>
        </is>
      </c>
    </row>
    <row r="12">
      <c r="A12" s="2" t="n">
        <v>46710</v>
      </c>
      <c r="B12" t="inlineStr">
        <is>
          <t>金</t>
        </is>
      </c>
      <c r="C12" t="n">
        <v>1</v>
      </c>
      <c r="D12" t="inlineStr">
        <is>
          <t>5・6限</t>
        </is>
      </c>
      <c r="E12" t="inlineStr">
        <is>
          <t>未来マップ</t>
        </is>
      </c>
      <c r="F12" t="inlineStr">
        <is>
          <t>実施。総合として数える</t>
        </is>
      </c>
    </row>
    <row r="13">
      <c r="A13" s="2" t="n">
        <v>46734</v>
      </c>
      <c r="B13" t="inlineStr">
        <is>
          <t>月</t>
        </is>
      </c>
      <c r="C13" t="n">
        <v>1</v>
      </c>
      <c r="D13" t="inlineStr">
        <is>
          <t>5・6限</t>
        </is>
      </c>
      <c r="E13" t="inlineStr">
        <is>
          <t>未来マップ</t>
        </is>
      </c>
      <c r="F13" t="inlineStr">
        <is>
          <t>実施。総合として数える</t>
        </is>
      </c>
    </row>
    <row r="14">
      <c r="A14" s="2" t="n">
        <v>46545</v>
      </c>
      <c r="B14" t="inlineStr">
        <is>
          <t>月</t>
        </is>
      </c>
      <c r="C14" t="n">
        <v>3</v>
      </c>
      <c r="D14" t="inlineStr">
        <is>
          <t>1〜6限</t>
        </is>
      </c>
      <c r="E14" t="inlineStr">
        <is>
          <t>修学旅行事前指導</t>
        </is>
      </c>
      <c r="F14" t="inlineStr">
        <is>
          <t>1〜3限を事前指導、4〜6限を授業にした</t>
        </is>
      </c>
    </row>
    <row r="15">
      <c r="A15" s="2" t="n">
        <v>46815</v>
      </c>
      <c r="B15" t="inlineStr">
        <is>
          <t>金</t>
        </is>
      </c>
      <c r="C15" t="inlineStr">
        <is>
          <t>1・2年</t>
        </is>
      </c>
      <c r="D15" t="inlineStr">
        <is>
          <t>1〜6限</t>
        </is>
      </c>
      <c r="E15" t="inlineStr">
        <is>
          <t>卒業式（R8の日付）</t>
        </is>
      </c>
      <c r="F15" t="inlineStr">
        <is>
          <t>3/3は授業、3/7は1年家庭学習日・2年卒業式に入れ替えた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2026-10-28T05:10:47Z</dcterms:created>
  <dcterms:modified xmlns:dcterms="http://purl.org/dc/terms/" xmlns:xsi="http://www.w3.org/2001/XMLSchema-instance" xsi:type="dcterms:W3CDTF">2026-10-28T05:10:47Z</dcterms:modified>
</cp:coreProperties>
</file>