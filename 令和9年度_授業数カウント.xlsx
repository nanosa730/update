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年計" sheetId="1" state="visible" r:id="rId3"/>
    <sheet name="合計" sheetId="2" state="visible" r:id="rId4"/>
    <sheet name="年計から貼り付け" sheetId="3" state="visible" r:id="rId5"/>
  </sheets>
  <definedNames>
    <definedName function="false" hidden="false" localSheetId="1" name="_xlnm.Print_Area" vbProcedure="false">合計!$A$1:$AH$59</definedName>
    <definedName function="false" hidden="false" localSheetId="0" name="_xlnm.Print_Area" vbProcedure="false">年計!$A$1:$U$367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64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年は総合のかわりに学活</t>
        </r>
      </text>
    </comment>
    <comment ref="M214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年は総合のかわりに道徳</t>
        </r>
      </text>
    </comment>
    <comment ref="O22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年は総合のかわりに学活</t>
        </r>
      </text>
    </comment>
    <comment ref="O43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年は総合のかわりに道徳</t>
        </r>
      </text>
    </comment>
    <comment ref="O81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年は総合のかわりに道徳</t>
        </r>
      </text>
    </comment>
    <comment ref="O105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年は総合のかわりに学活</t>
        </r>
      </text>
    </comment>
    <comment ref="O165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年は総合のかわりに道徳</t>
        </r>
      </text>
    </comment>
    <comment ref="O190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年は総合のかわりに学活</t>
        </r>
      </text>
    </comment>
    <comment ref="O235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年は総合のかわりに学活</t>
        </r>
      </text>
    </comment>
    <comment ref="O256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年は総合のかわりに道徳</t>
        </r>
      </text>
    </comment>
    <comment ref="O288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年は総合のかわりに学活</t>
        </r>
      </text>
    </comment>
    <comment ref="O305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年は総合のかわりに道徳</t>
        </r>
      </text>
    </comment>
    <comment ref="O333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年は総合のかわりに学活</t>
        </r>
      </text>
    </comment>
    <comment ref="O354" authorId="0">
      <text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年は総合のかわりに学活</t>
        </r>
      </text>
    </comment>
  </commentList>
</comments>
</file>

<file path=xl/sharedStrings.xml><?xml version="1.0" encoding="utf-8"?>
<sst xmlns="http://schemas.openxmlformats.org/spreadsheetml/2006/main" count="5207" uniqueCount="244">
  <si>
    <r>
      <rPr>
        <sz val="11"/>
        <rFont val="游ゴシック"/>
        <family val="3"/>
        <charset val="128"/>
      </rPr>
      <t xml:space="preserve">1</t>
    </r>
    <r>
      <rPr>
        <sz val="11"/>
        <rFont val="WenQuanYi Zen Hei"/>
        <family val="2"/>
      </rPr>
      <t xml:space="preserve">年生</t>
    </r>
  </si>
  <si>
    <r>
      <rPr>
        <sz val="11"/>
        <rFont val="游ゴシック"/>
        <family val="3"/>
        <charset val="128"/>
      </rPr>
      <t xml:space="preserve">2</t>
    </r>
    <r>
      <rPr>
        <sz val="11"/>
        <rFont val="WenQuanYi Zen Hei"/>
        <family val="2"/>
      </rPr>
      <t xml:space="preserve">年生</t>
    </r>
  </si>
  <si>
    <t xml:space="preserve">３年生</t>
  </si>
  <si>
    <t xml:space="preserve">月</t>
  </si>
  <si>
    <t xml:space="preserve">日</t>
  </si>
  <si>
    <r>
      <rPr>
        <b val="true"/>
        <sz val="10"/>
        <rFont val="WenQuanYi Zen Hei"/>
        <family val="2"/>
      </rPr>
      <t xml:space="preserve">橙＝時間割変更したコマ　水色＝</t>
    </r>
    <r>
      <rPr>
        <b val="true"/>
        <sz val="10"/>
        <rFont val="Cambria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年の総合を道徳・学活に替えるコマ　「学活」＝授業開始</t>
    </r>
    <r>
      <rPr>
        <b val="true"/>
        <sz val="10"/>
        <rFont val="Cambria"/>
        <family val="0"/>
        <charset val="1"/>
      </rPr>
      <t xml:space="preserve">(4/14)</t>
    </r>
    <r>
      <rPr>
        <b val="true"/>
        <sz val="10"/>
        <rFont val="WenQuanYi Zen Hei"/>
        <family val="2"/>
      </rPr>
      <t xml:space="preserve">前の学級の時間</t>
    </r>
  </si>
  <si>
    <t xml:space="preserve">木</t>
  </si>
  <si>
    <t xml:space="preserve">月６</t>
  </si>
  <si>
    <t xml:space="preserve">金</t>
  </si>
  <si>
    <t xml:space="preserve">火６</t>
  </si>
  <si>
    <t xml:space="preserve">土</t>
  </si>
  <si>
    <t xml:space="preserve">水６</t>
  </si>
  <si>
    <t xml:space="preserve">金６</t>
  </si>
  <si>
    <t xml:space="preserve">入学式</t>
  </si>
  <si>
    <t xml:space="preserve">火</t>
  </si>
  <si>
    <t xml:space="preserve">着任式　始業式</t>
  </si>
  <si>
    <t xml:space="preserve">学活</t>
  </si>
  <si>
    <t xml:space="preserve">水</t>
  </si>
  <si>
    <t xml:space="preserve">入学式　</t>
  </si>
  <si>
    <t xml:space="preserve">月１</t>
  </si>
  <si>
    <t xml:space="preserve">月２</t>
  </si>
  <si>
    <t xml:space="preserve">月３</t>
  </si>
  <si>
    <t xml:space="preserve">月４</t>
  </si>
  <si>
    <t xml:space="preserve">月５</t>
  </si>
  <si>
    <r>
      <rPr>
        <sz val="11"/>
        <rFont val="WenQuanYi Zen Hei"/>
        <family val="2"/>
      </rPr>
      <t xml:space="preserve">生徒会オリエンテーション・対面式　身体測定</t>
    </r>
    <r>
      <rPr>
        <sz val="11"/>
        <rFont val="游ゴシック"/>
        <family val="3"/>
        <charset val="128"/>
      </rPr>
      <t xml:space="preserve">(3</t>
    </r>
    <r>
      <rPr>
        <sz val="11"/>
        <rFont val="WenQuanYi Zen Hei"/>
        <family val="2"/>
      </rPr>
      <t xml:space="preserve">年</t>
    </r>
    <r>
      <rPr>
        <sz val="11"/>
        <rFont val="游ゴシック"/>
        <family val="3"/>
        <charset val="128"/>
      </rPr>
      <t xml:space="preserve">)</t>
    </r>
  </si>
  <si>
    <t xml:space="preserve">火１</t>
  </si>
  <si>
    <t xml:space="preserve">火２</t>
  </si>
  <si>
    <t xml:space="preserve">火３</t>
  </si>
  <si>
    <t xml:space="preserve">火４</t>
  </si>
  <si>
    <t xml:space="preserve">火５</t>
  </si>
  <si>
    <r>
      <rPr>
        <sz val="11"/>
        <rFont val="WenQuanYi Zen Hei"/>
        <family val="2"/>
      </rPr>
      <t xml:space="preserve">身体測定</t>
    </r>
    <r>
      <rPr>
        <sz val="11"/>
        <rFont val="游ゴシック"/>
        <family val="3"/>
        <charset val="128"/>
      </rPr>
      <t xml:space="preserve">(1</t>
    </r>
    <r>
      <rPr>
        <sz val="11"/>
        <rFont val="WenQuanYi Zen Hei"/>
        <family val="2"/>
      </rPr>
      <t xml:space="preserve">年･</t>
    </r>
    <r>
      <rPr>
        <sz val="11"/>
        <rFont val="游ゴシック"/>
        <family val="3"/>
        <charset val="128"/>
      </rPr>
      <t xml:space="preserve">IJ)</t>
    </r>
    <r>
      <rPr>
        <sz val="11"/>
        <rFont val="WenQuanYi Zen Hei"/>
        <family val="2"/>
      </rPr>
      <t xml:space="preserve">・（ランチ４月スタート分〆切）</t>
    </r>
  </si>
  <si>
    <t xml:space="preserve">水１</t>
  </si>
  <si>
    <t xml:space="preserve">水２</t>
  </si>
  <si>
    <t xml:space="preserve">水３</t>
  </si>
  <si>
    <t xml:space="preserve">水４</t>
  </si>
  <si>
    <t xml:space="preserve">水５</t>
  </si>
  <si>
    <t xml:space="preserve">木１</t>
  </si>
  <si>
    <t xml:space="preserve">木２</t>
  </si>
  <si>
    <t xml:space="preserve">木３</t>
  </si>
  <si>
    <t xml:space="preserve">木４</t>
  </si>
  <si>
    <t xml:space="preserve">木５</t>
  </si>
  <si>
    <t xml:space="preserve">金１</t>
  </si>
  <si>
    <t xml:space="preserve">金２</t>
  </si>
  <si>
    <t xml:space="preserve">金３</t>
  </si>
  <si>
    <t xml:space="preserve">金４</t>
  </si>
  <si>
    <t xml:space="preserve">金５</t>
  </si>
  <si>
    <r>
      <rPr>
        <sz val="11"/>
        <rFont val="WenQuanYi Zen Hei"/>
        <family val="2"/>
      </rPr>
      <t xml:space="preserve">身体測定</t>
    </r>
    <r>
      <rPr>
        <sz val="11"/>
        <rFont val="游ゴシック"/>
        <family val="3"/>
        <charset val="128"/>
      </rPr>
      <t xml:space="preserve">(2</t>
    </r>
    <r>
      <rPr>
        <sz val="11"/>
        <rFont val="WenQuanYi Zen Hei"/>
        <family val="2"/>
      </rPr>
      <t xml:space="preserve">年</t>
    </r>
    <r>
      <rPr>
        <sz val="11"/>
        <rFont val="游ゴシック"/>
        <family val="3"/>
        <charset val="128"/>
      </rPr>
      <t xml:space="preserve">)</t>
    </r>
  </si>
  <si>
    <t xml:space="preserve">学級写真撮影・部活紹介　</t>
  </si>
  <si>
    <r>
      <rPr>
        <sz val="11"/>
        <rFont val="WenQuanYi Zen Hei"/>
        <family val="2"/>
      </rPr>
      <t xml:space="preserve">身体測定</t>
    </r>
    <r>
      <rPr>
        <sz val="11"/>
        <rFont val="游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欠席者</t>
    </r>
    <r>
      <rPr>
        <sz val="11"/>
        <rFont val="游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・仮時間割　ランチ開始 </t>
    </r>
  </si>
  <si>
    <r>
      <rPr>
        <sz val="11"/>
        <rFont val="WenQuanYi Zen Hei"/>
        <family val="2"/>
      </rPr>
      <t xml:space="preserve">全国学調</t>
    </r>
    <r>
      <rPr>
        <sz val="11"/>
        <rFont val="游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国･数･質</t>
    </r>
    <r>
      <rPr>
        <sz val="11"/>
        <rFont val="游ゴシック"/>
        <family val="3"/>
        <charset val="128"/>
      </rPr>
      <t xml:space="preserve">)※4/13</t>
    </r>
    <r>
      <rPr>
        <sz val="11"/>
        <rFont val="WenQuanYi Zen Hei"/>
        <family val="2"/>
      </rPr>
      <t xml:space="preserve">〜</t>
    </r>
    <r>
      <rPr>
        <sz val="11"/>
        <rFont val="游ゴシック"/>
        <family val="3"/>
        <charset val="128"/>
      </rPr>
      <t xml:space="preserve">16</t>
    </r>
    <r>
      <rPr>
        <sz val="11"/>
        <rFont val="WenQuanYi Zen Hei"/>
        <family val="2"/>
      </rPr>
      <t xml:space="preserve">で調整</t>
    </r>
  </si>
  <si>
    <t xml:space="preserve">避難訓練</t>
  </si>
  <si>
    <t xml:space="preserve">認証式　</t>
  </si>
  <si>
    <r>
      <rPr>
        <sz val="11"/>
        <rFont val="WenQuanYi Zen Hei"/>
        <family val="2"/>
      </rPr>
      <t xml:space="preserve">眼科検診</t>
    </r>
    <r>
      <rPr>
        <sz val="11"/>
        <rFont val="游ゴシック"/>
        <family val="3"/>
        <charset val="128"/>
      </rPr>
      <t xml:space="preserve">(2</t>
    </r>
    <r>
      <rPr>
        <sz val="11"/>
        <rFont val="WenQuanYi Zen Hei"/>
        <family val="2"/>
      </rPr>
      <t xml:space="preserve">･</t>
    </r>
    <r>
      <rPr>
        <sz val="11"/>
        <rFont val="游ゴシック"/>
        <family val="3"/>
        <charset val="128"/>
      </rPr>
      <t xml:space="preserve">3</t>
    </r>
    <r>
      <rPr>
        <sz val="11"/>
        <rFont val="WenQuanYi Zen Hei"/>
        <family val="2"/>
      </rPr>
      <t xml:space="preserve">年午後</t>
    </r>
    <r>
      <rPr>
        <sz val="11"/>
        <rFont val="游ゴシック"/>
        <family val="3"/>
        <charset val="128"/>
      </rPr>
      <t xml:space="preserve">)</t>
    </r>
  </si>
  <si>
    <r>
      <rPr>
        <sz val="11"/>
        <rFont val="WenQuanYi Zen Hei"/>
        <family val="2"/>
      </rPr>
      <t xml:space="preserve">眼科検診</t>
    </r>
    <r>
      <rPr>
        <sz val="11"/>
        <rFont val="游ゴシック"/>
        <family val="3"/>
        <charset val="128"/>
      </rPr>
      <t xml:space="preserve">(IJ</t>
    </r>
    <r>
      <rPr>
        <sz val="11"/>
        <rFont val="WenQuanYi Zen Hei"/>
        <family val="2"/>
      </rPr>
      <t xml:space="preserve">･</t>
    </r>
    <r>
      <rPr>
        <sz val="11"/>
        <rFont val="游ゴシック"/>
        <family val="3"/>
        <charset val="128"/>
      </rPr>
      <t xml:space="preserve">1</t>
    </r>
    <r>
      <rPr>
        <sz val="11"/>
        <rFont val="WenQuanYi Zen Hei"/>
        <family val="2"/>
      </rPr>
      <t xml:space="preserve">年･色覚午後</t>
    </r>
    <r>
      <rPr>
        <sz val="11"/>
        <rFont val="游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・部活動集会</t>
    </r>
  </si>
  <si>
    <r>
      <rPr>
        <sz val="11"/>
        <rFont val="WenQuanYi Zen Hei"/>
        <family val="2"/>
      </rPr>
      <t xml:space="preserve">授業参観</t>
    </r>
    <r>
      <rPr>
        <sz val="11"/>
        <rFont val="游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午前</t>
    </r>
    <r>
      <rPr>
        <sz val="11"/>
        <rFont val="游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・Ｐ総会・学級懇</t>
    </r>
    <r>
      <rPr>
        <sz val="11"/>
        <rFont val="游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午後</t>
    </r>
    <r>
      <rPr>
        <sz val="11"/>
        <rFont val="游ゴシック"/>
        <family val="3"/>
        <charset val="128"/>
      </rPr>
      <t xml:space="preserve">)</t>
    </r>
  </si>
  <si>
    <r>
      <rPr>
        <sz val="11"/>
        <rFont val="WenQuanYi Zen Hei"/>
        <family val="2"/>
      </rPr>
      <t xml:space="preserve">内科検診</t>
    </r>
    <r>
      <rPr>
        <sz val="11"/>
        <rFont val="游ゴシック"/>
        <family val="3"/>
        <charset val="128"/>
      </rPr>
      <t xml:space="preserve">(3</t>
    </r>
    <r>
      <rPr>
        <sz val="11"/>
        <rFont val="WenQuanYi Zen Hei"/>
        <family val="2"/>
      </rPr>
      <t xml:space="preserve">年午後</t>
    </r>
    <r>
      <rPr>
        <sz val="11"/>
        <rFont val="游ゴシック"/>
        <family val="3"/>
        <charset val="128"/>
      </rPr>
      <t xml:space="preserve">)</t>
    </r>
  </si>
  <si>
    <t xml:space="preserve">昭和の日</t>
  </si>
  <si>
    <r>
      <rPr>
        <sz val="11"/>
        <rFont val="WenQuanYi Zen Hei"/>
        <family val="2"/>
      </rPr>
      <t xml:space="preserve">⑤⑥進路説明会</t>
    </r>
    <r>
      <rPr>
        <sz val="11"/>
        <rFont val="游ゴシック"/>
        <family val="3"/>
        <charset val="128"/>
      </rPr>
      <t xml:space="preserve">(3</t>
    </r>
    <r>
      <rPr>
        <sz val="11"/>
        <rFont val="WenQuanYi Zen Hei"/>
        <family val="2"/>
      </rPr>
      <t xml:space="preserve">年</t>
    </r>
    <r>
      <rPr>
        <sz val="11"/>
        <rFont val="游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・部活保護者会</t>
    </r>
  </si>
  <si>
    <t xml:space="preserve">憲法記念日</t>
  </si>
  <si>
    <t xml:space="preserve">みどりの日</t>
  </si>
  <si>
    <t xml:space="preserve">こどもの日</t>
  </si>
  <si>
    <t xml:space="preserve">本時間割</t>
  </si>
  <si>
    <r>
      <rPr>
        <sz val="11"/>
        <rFont val="WenQuanYi Zen Hei"/>
        <family val="2"/>
      </rPr>
      <t xml:space="preserve">新体力テスト準備・⑤⑥修学旅行説明会</t>
    </r>
    <r>
      <rPr>
        <sz val="11"/>
        <rFont val="游ゴシック"/>
        <family val="3"/>
        <charset val="128"/>
      </rPr>
      <t xml:space="preserve">(3</t>
    </r>
    <r>
      <rPr>
        <sz val="11"/>
        <rFont val="WenQuanYi Zen Hei"/>
        <family val="2"/>
      </rPr>
      <t xml:space="preserve">年</t>
    </r>
    <r>
      <rPr>
        <sz val="11"/>
        <rFont val="游ゴシック"/>
        <family val="3"/>
        <charset val="128"/>
      </rPr>
      <t xml:space="preserve">)</t>
    </r>
  </si>
  <si>
    <t xml:space="preserve">新体力テスト</t>
  </si>
  <si>
    <t xml:space="preserve">新体力テスト予備日</t>
  </si>
  <si>
    <r>
      <rPr>
        <sz val="11"/>
        <rFont val="WenQuanYi Zen Hei"/>
        <family val="2"/>
      </rPr>
      <t xml:space="preserve">内科検診</t>
    </r>
    <r>
      <rPr>
        <sz val="11"/>
        <rFont val="游ゴシック"/>
        <family val="3"/>
        <charset val="128"/>
      </rPr>
      <t xml:space="preserve">(2</t>
    </r>
    <r>
      <rPr>
        <sz val="11"/>
        <rFont val="WenQuanYi Zen Hei"/>
        <family val="2"/>
      </rPr>
      <t xml:space="preserve">年午後</t>
    </r>
    <r>
      <rPr>
        <sz val="11"/>
        <rFont val="游ゴシック"/>
        <family val="3"/>
        <charset val="128"/>
      </rPr>
      <t xml:space="preserve">)</t>
    </r>
  </si>
  <si>
    <t xml:space="preserve">①確認テスト</t>
  </si>
  <si>
    <r>
      <rPr>
        <sz val="11"/>
        <rFont val="WenQuanYi Zen Hei"/>
        <family val="2"/>
      </rPr>
      <t xml:space="preserve">①確認テスト・内科検診</t>
    </r>
    <r>
      <rPr>
        <sz val="11"/>
        <rFont val="游ゴシック"/>
        <family val="3"/>
        <charset val="128"/>
      </rPr>
      <t xml:space="preserve">(IJ</t>
    </r>
    <r>
      <rPr>
        <sz val="11"/>
        <rFont val="WenQuanYi Zen Hei"/>
        <family val="2"/>
      </rPr>
      <t xml:space="preserve">･</t>
    </r>
    <r>
      <rPr>
        <sz val="11"/>
        <rFont val="游ゴシック"/>
        <family val="3"/>
        <charset val="128"/>
      </rPr>
      <t xml:space="preserve">1</t>
    </r>
    <r>
      <rPr>
        <sz val="11"/>
        <rFont val="WenQuanYi Zen Hei"/>
        <family val="2"/>
      </rPr>
      <t xml:space="preserve">年午後</t>
    </r>
    <r>
      <rPr>
        <sz val="11"/>
        <rFont val="游ゴシック"/>
        <family val="3"/>
        <charset val="128"/>
      </rPr>
      <t xml:space="preserve">)</t>
    </r>
  </si>
  <si>
    <r>
      <rPr>
        <sz val="11"/>
        <rFont val="WenQuanYi Zen Hei"/>
        <family val="2"/>
      </rPr>
      <t xml:space="preserve">歯科健診</t>
    </r>
    <r>
      <rPr>
        <sz val="11"/>
        <rFont val="游ゴシック"/>
        <family val="3"/>
        <charset val="128"/>
      </rPr>
      <t xml:space="preserve">(3</t>
    </r>
    <r>
      <rPr>
        <sz val="11"/>
        <rFont val="WenQuanYi Zen Hei"/>
        <family val="2"/>
      </rPr>
      <t xml:space="preserve">年午前</t>
    </r>
    <r>
      <rPr>
        <sz val="11"/>
        <rFont val="游ゴシック"/>
        <family val="3"/>
        <charset val="128"/>
      </rPr>
      <t xml:space="preserve">)</t>
    </r>
  </si>
  <si>
    <t xml:space="preserve">①ＷＥＢＱＵ</t>
  </si>
  <si>
    <r>
      <rPr>
        <sz val="11"/>
        <rFont val="WenQuanYi Zen Hei"/>
        <family val="2"/>
      </rPr>
      <t xml:space="preserve">教科等研究部会・⑥サイバー犯罪防止講話</t>
    </r>
    <r>
      <rPr>
        <sz val="11"/>
        <rFont val="游ゴシック"/>
        <family val="3"/>
        <charset val="128"/>
      </rPr>
      <t xml:space="preserve">(1</t>
    </r>
    <r>
      <rPr>
        <sz val="11"/>
        <rFont val="WenQuanYi Zen Hei"/>
        <family val="2"/>
      </rPr>
      <t xml:space="preserve">年</t>
    </r>
    <r>
      <rPr>
        <sz val="11"/>
        <rFont val="游ゴシック"/>
        <family val="3"/>
        <charset val="128"/>
      </rPr>
      <t xml:space="preserve">)</t>
    </r>
  </si>
  <si>
    <r>
      <rPr>
        <sz val="11"/>
        <rFont val="WenQuanYi Zen Hei"/>
        <family val="2"/>
      </rPr>
      <t xml:space="preserve">第１回</t>
    </r>
    <r>
      <rPr>
        <sz val="11"/>
        <rFont val="游ゴシック"/>
        <family val="3"/>
        <charset val="128"/>
      </rPr>
      <t xml:space="preserve">NCS</t>
    </r>
    <r>
      <rPr>
        <sz val="11"/>
        <rFont val="WenQuanYi Zen Hei"/>
        <family val="2"/>
      </rPr>
      <t xml:space="preserve">会議</t>
    </r>
  </si>
  <si>
    <t xml:space="preserve">教育相談（全学年）</t>
  </si>
  <si>
    <r>
      <rPr>
        <sz val="11"/>
        <rFont val="WenQuanYi Zen Hei"/>
        <family val="2"/>
      </rPr>
      <t xml:space="preserve">教育相談（全学年）・歯科健診</t>
    </r>
    <r>
      <rPr>
        <sz val="11"/>
        <rFont val="游ゴシック"/>
        <family val="3"/>
        <charset val="128"/>
      </rPr>
      <t xml:space="preserve">(IJ</t>
    </r>
    <r>
      <rPr>
        <sz val="11"/>
        <rFont val="WenQuanYi Zen Hei"/>
        <family val="2"/>
      </rPr>
      <t xml:space="preserve">･</t>
    </r>
    <r>
      <rPr>
        <sz val="11"/>
        <rFont val="游ゴシック"/>
        <family val="3"/>
        <charset val="128"/>
      </rPr>
      <t xml:space="preserve">2</t>
    </r>
    <r>
      <rPr>
        <sz val="11"/>
        <rFont val="WenQuanYi Zen Hei"/>
        <family val="2"/>
      </rPr>
      <t xml:space="preserve">年午前</t>
    </r>
    <r>
      <rPr>
        <sz val="11"/>
        <rFont val="游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・学</t>
    </r>
    <r>
      <rPr>
        <sz val="11"/>
        <rFont val="游ゴシック"/>
        <family val="3"/>
        <charset val="128"/>
      </rPr>
      <t xml:space="preserve">6(1</t>
    </r>
    <r>
      <rPr>
        <sz val="11"/>
        <rFont val="WenQuanYi Zen Hei"/>
        <family val="2"/>
      </rPr>
      <t xml:space="preserve">･</t>
    </r>
    <r>
      <rPr>
        <sz val="11"/>
        <rFont val="游ゴシック"/>
        <family val="3"/>
        <charset val="128"/>
      </rPr>
      <t xml:space="preserve">3</t>
    </r>
    <r>
      <rPr>
        <sz val="11"/>
        <rFont val="WenQuanYi Zen Hei"/>
        <family val="2"/>
      </rPr>
      <t xml:space="preserve">年</t>
    </r>
    <r>
      <rPr>
        <sz val="11"/>
        <rFont val="游ゴシック"/>
        <family val="3"/>
        <charset val="128"/>
      </rPr>
      <t xml:space="preserve">)</t>
    </r>
  </si>
  <si>
    <t xml:space="preserve">台風でなし（水３水４）</t>
  </si>
  <si>
    <r>
      <rPr>
        <sz val="11"/>
        <rFont val="WenQuanYi Zen Hei"/>
        <family val="2"/>
      </rPr>
      <t xml:space="preserve">修学旅行事前指導</t>
    </r>
    <r>
      <rPr>
        <sz val="11"/>
        <rFont val="游ゴシック"/>
        <family val="3"/>
        <charset val="128"/>
      </rPr>
      <t xml:space="preserve">(3</t>
    </r>
    <r>
      <rPr>
        <sz val="11"/>
        <rFont val="WenQuanYi Zen Hei"/>
        <family val="2"/>
      </rPr>
      <t xml:space="preserve">年</t>
    </r>
    <r>
      <rPr>
        <sz val="11"/>
        <rFont val="游ゴシック"/>
        <family val="3"/>
        <charset val="128"/>
      </rPr>
      <t xml:space="preserve">)</t>
    </r>
  </si>
  <si>
    <r>
      <rPr>
        <sz val="11"/>
        <rFont val="WenQuanYi Zen Hei"/>
        <family val="2"/>
      </rPr>
      <t xml:space="preserve">修学旅行</t>
    </r>
    <r>
      <rPr>
        <sz val="11"/>
        <rFont val="游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３年</t>
    </r>
    <r>
      <rPr>
        <sz val="11"/>
        <rFont val="游ゴシック"/>
        <family val="3"/>
        <charset val="128"/>
      </rPr>
      <t xml:space="preserve">)</t>
    </r>
  </si>
  <si>
    <r>
      <rPr>
        <sz val="11"/>
        <rFont val="WenQuanYi Zen Hei"/>
        <family val="2"/>
      </rPr>
      <t xml:space="preserve">家庭学習日</t>
    </r>
    <r>
      <rPr>
        <sz val="11"/>
        <rFont val="游ゴシック"/>
        <family val="3"/>
        <charset val="128"/>
      </rPr>
      <t xml:space="preserve">(3</t>
    </r>
    <r>
      <rPr>
        <sz val="11"/>
        <rFont val="WenQuanYi Zen Hei"/>
        <family val="2"/>
      </rPr>
      <t xml:space="preserve">年</t>
    </r>
    <r>
      <rPr>
        <sz val="11"/>
        <rFont val="游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・心臓検診</t>
    </r>
    <r>
      <rPr>
        <sz val="11"/>
        <rFont val="游ゴシック"/>
        <family val="3"/>
        <charset val="128"/>
      </rPr>
      <t xml:space="preserve">(1</t>
    </r>
    <r>
      <rPr>
        <sz val="11"/>
        <rFont val="WenQuanYi Zen Hei"/>
        <family val="2"/>
      </rPr>
      <t xml:space="preserve">年午前</t>
    </r>
    <r>
      <rPr>
        <sz val="11"/>
        <rFont val="游ゴシック"/>
        <family val="3"/>
        <charset val="128"/>
      </rPr>
      <t xml:space="preserve">)</t>
    </r>
  </si>
  <si>
    <t xml:space="preserve">　 </t>
  </si>
  <si>
    <t xml:space="preserve">ノー部活デー</t>
  </si>
  <si>
    <r>
      <rPr>
        <sz val="11"/>
        <rFont val="WenQuanYi Zen Hei"/>
        <family val="2"/>
      </rPr>
      <t xml:space="preserve">耳鼻科検診</t>
    </r>
    <r>
      <rPr>
        <sz val="11"/>
        <rFont val="游ゴシック"/>
        <family val="3"/>
        <charset val="128"/>
      </rPr>
      <t xml:space="preserve">(1</t>
    </r>
    <r>
      <rPr>
        <sz val="11"/>
        <rFont val="WenQuanYi Zen Hei"/>
        <family val="2"/>
      </rPr>
      <t xml:space="preserve">年午後</t>
    </r>
    <r>
      <rPr>
        <sz val="11"/>
        <rFont val="游ゴシック"/>
        <family val="3"/>
        <charset val="128"/>
      </rPr>
      <t xml:space="preserve">)</t>
    </r>
  </si>
  <si>
    <r>
      <rPr>
        <sz val="11"/>
        <rFont val="WenQuanYi Zen Hei"/>
        <family val="2"/>
      </rPr>
      <t xml:space="preserve">耳鼻科検診・</t>
    </r>
    <r>
      <rPr>
        <sz val="11"/>
        <rFont val="游ゴシック"/>
        <family val="3"/>
        <charset val="128"/>
      </rPr>
      <t xml:space="preserve">(IJ</t>
    </r>
    <r>
      <rPr>
        <sz val="11"/>
        <rFont val="WenQuanYi Zen Hei"/>
        <family val="2"/>
      </rPr>
      <t xml:space="preserve">･</t>
    </r>
    <r>
      <rPr>
        <sz val="11"/>
        <rFont val="游ゴシック"/>
        <family val="3"/>
        <charset val="128"/>
      </rPr>
      <t xml:space="preserve">2</t>
    </r>
    <r>
      <rPr>
        <sz val="11"/>
        <rFont val="WenQuanYi Zen Hei"/>
        <family val="2"/>
      </rPr>
      <t xml:space="preserve">･</t>
    </r>
    <r>
      <rPr>
        <sz val="11"/>
        <rFont val="游ゴシック"/>
        <family val="3"/>
        <charset val="128"/>
      </rPr>
      <t xml:space="preserve">3</t>
    </r>
    <r>
      <rPr>
        <sz val="11"/>
        <rFont val="WenQuanYi Zen Hei"/>
        <family val="2"/>
      </rPr>
      <t xml:space="preserve">年抽出午後</t>
    </r>
    <r>
      <rPr>
        <sz val="11"/>
        <rFont val="游ゴシック"/>
        <family val="3"/>
        <charset val="128"/>
      </rPr>
      <t xml:space="preserve">)</t>
    </r>
  </si>
  <si>
    <r>
      <rPr>
        <sz val="11"/>
        <rFont val="WenQuanYi Zen Hei"/>
        <family val="2"/>
      </rPr>
      <t xml:space="preserve">歯科健診</t>
    </r>
    <r>
      <rPr>
        <sz val="11"/>
        <rFont val="游ゴシック"/>
        <family val="3"/>
        <charset val="128"/>
      </rPr>
      <t xml:space="preserve">(1</t>
    </r>
    <r>
      <rPr>
        <sz val="11"/>
        <rFont val="WenQuanYi Zen Hei"/>
        <family val="2"/>
      </rPr>
      <t xml:space="preserve">年午前</t>
    </r>
    <r>
      <rPr>
        <sz val="11"/>
        <rFont val="游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・ノー部活ウィーク</t>
    </r>
  </si>
  <si>
    <t xml:space="preserve">腎臓検診①・ノー部活ウィーク</t>
  </si>
  <si>
    <t xml:space="preserve">ノー部活ウィーク</t>
  </si>
  <si>
    <r>
      <rPr>
        <sz val="11"/>
        <rFont val="WenQuanYi Zen Hei"/>
        <family val="2"/>
      </rPr>
      <t xml:space="preserve">稲武野外学習説明会</t>
    </r>
    <r>
      <rPr>
        <sz val="11"/>
        <rFont val="游ゴシック"/>
        <family val="3"/>
        <charset val="128"/>
      </rPr>
      <t xml:space="preserve">(2</t>
    </r>
    <r>
      <rPr>
        <sz val="11"/>
        <rFont val="WenQuanYi Zen Hei"/>
        <family val="2"/>
      </rPr>
      <t xml:space="preserve">年</t>
    </r>
    <r>
      <rPr>
        <sz val="11"/>
        <rFont val="游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・ノー部活ウィーク</t>
    </r>
  </si>
  <si>
    <t xml:space="preserve">期末テスト</t>
  </si>
  <si>
    <t xml:space="preserve">腎臓検診②</t>
  </si>
  <si>
    <t xml:space="preserve">選挙管理委員会</t>
  </si>
  <si>
    <t xml:space="preserve">保護者会（全）・成績一覧表提出</t>
  </si>
  <si>
    <t xml:space="preserve">保護者会（全）・第１回いじめ防対会議</t>
  </si>
  <si>
    <t xml:space="preserve">保護者会（全）・通知表（仮）提出</t>
  </si>
  <si>
    <t xml:space="preserve">保護者会（全）</t>
  </si>
  <si>
    <t xml:space="preserve">通知表（本）提出</t>
  </si>
  <si>
    <t xml:space="preserve">小中努力点交流会</t>
  </si>
  <si>
    <t xml:space="preserve">大掃除</t>
  </si>
  <si>
    <t xml:space="preserve">海の日</t>
  </si>
  <si>
    <t xml:space="preserve">終業式</t>
  </si>
  <si>
    <t xml:space="preserve">夏季休業開始</t>
  </si>
  <si>
    <r>
      <rPr>
        <sz val="11"/>
        <rFont val="WenQuanYi Zen Hei"/>
        <family val="2"/>
      </rPr>
      <t xml:space="preserve">教職員健診</t>
    </r>
    <r>
      <rPr>
        <sz val="11"/>
        <rFont val="游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田光中</t>
    </r>
    <r>
      <rPr>
        <sz val="11"/>
        <rFont val="游ゴシック"/>
        <family val="3"/>
        <charset val="128"/>
      </rPr>
      <t xml:space="preserve">)</t>
    </r>
  </si>
  <si>
    <t xml:space="preserve">学校閉庁日・ノー部活ウィーク</t>
  </si>
  <si>
    <t xml:space="preserve">山の日</t>
  </si>
  <si>
    <t xml:space="preserve">全校出校日</t>
  </si>
  <si>
    <t xml:space="preserve">始業式・防災訓練</t>
  </si>
  <si>
    <t xml:space="preserve">私立合同説明会</t>
  </si>
  <si>
    <t xml:space="preserve">選挙管理委員会・私立合同説明会</t>
  </si>
  <si>
    <r>
      <rPr>
        <sz val="11"/>
        <rFont val="WenQuanYi Zen Hei"/>
        <family val="2"/>
      </rPr>
      <t xml:space="preserve">思春期セミナー（</t>
    </r>
    <r>
      <rPr>
        <sz val="11"/>
        <rFont val="游ゴシック"/>
        <family val="3"/>
        <charset val="128"/>
      </rPr>
      <t xml:space="preserve">3</t>
    </r>
    <r>
      <rPr>
        <sz val="11"/>
        <rFont val="WenQuanYi Zen Hei"/>
        <family val="2"/>
      </rPr>
      <t xml:space="preserve">年）</t>
    </r>
  </si>
  <si>
    <t xml:space="preserve">立会演説会･選管</t>
  </si>
  <si>
    <t xml:space="preserve">⑤⑥小中授業交流会</t>
  </si>
  <si>
    <t xml:space="preserve">敬老の日</t>
  </si>
  <si>
    <t xml:space="preserve">秋分の日</t>
  </si>
  <si>
    <t xml:space="preserve">専修合同説明会・ノー部活ウィーク</t>
  </si>
  <si>
    <t xml:space="preserve">中間テスト・ノー部活デー</t>
  </si>
  <si>
    <t xml:space="preserve">専修合同説明会・中間テスト</t>
  </si>
  <si>
    <t xml:space="preserve">体育大会係生徒打合せ・生徒会･体育委員リハ</t>
  </si>
  <si>
    <t xml:space="preserve">体育大会総合練習</t>
  </si>
  <si>
    <t xml:space="preserve">体育大会総合練習予備日</t>
  </si>
  <si>
    <t xml:space="preserve">体育大会準備</t>
  </si>
  <si>
    <t xml:space="preserve">体育大会・ノー部活デー</t>
  </si>
  <si>
    <t xml:space="preserve">体育大会予備日</t>
  </si>
  <si>
    <t xml:space="preserve">スポーツの日</t>
  </si>
  <si>
    <r>
      <rPr>
        <sz val="11"/>
        <rFont val="WenQuanYi Zen Hei"/>
        <family val="2"/>
      </rPr>
      <t xml:space="preserve">▼実力テスト②</t>
    </r>
    <r>
      <rPr>
        <sz val="11"/>
        <rFont val="游ゴシック"/>
        <family val="3"/>
        <charset val="128"/>
      </rPr>
      <t xml:space="preserve">(3</t>
    </r>
    <r>
      <rPr>
        <sz val="11"/>
        <rFont val="WenQuanYi Zen Hei"/>
        <family val="2"/>
      </rPr>
      <t xml:space="preserve">年</t>
    </r>
    <r>
      <rPr>
        <sz val="11"/>
        <rFont val="游ゴシック"/>
        <family val="3"/>
        <charset val="128"/>
      </rPr>
      <t xml:space="preserve">)</t>
    </r>
  </si>
  <si>
    <t xml:space="preserve">認証式①ＷＥＢＱＵ</t>
  </si>
  <si>
    <r>
      <rPr>
        <sz val="11"/>
        <rFont val="WenQuanYi Zen Hei"/>
        <family val="2"/>
      </rPr>
      <t xml:space="preserve">進路説明会</t>
    </r>
    <r>
      <rPr>
        <sz val="11"/>
        <rFont val="游ゴシック"/>
        <family val="3"/>
        <charset val="128"/>
      </rPr>
      <t xml:space="preserve">(3</t>
    </r>
    <r>
      <rPr>
        <sz val="11"/>
        <rFont val="WenQuanYi Zen Hei"/>
        <family val="2"/>
      </rPr>
      <t xml:space="preserve">年</t>
    </r>
    <r>
      <rPr>
        <sz val="11"/>
        <rFont val="游ゴシック"/>
        <family val="3"/>
        <charset val="128"/>
      </rPr>
      <t xml:space="preserve">)(</t>
    </r>
    <r>
      <rPr>
        <sz val="11"/>
        <rFont val="WenQuanYi Zen Hei"/>
        <family val="2"/>
      </rPr>
      <t xml:space="preserve">午後</t>
    </r>
    <r>
      <rPr>
        <sz val="11"/>
        <rFont val="游ゴシック"/>
        <family val="3"/>
        <charset val="128"/>
      </rPr>
      <t xml:space="preserve">)</t>
    </r>
  </si>
  <si>
    <r>
      <rPr>
        <sz val="11"/>
        <rFont val="WenQuanYi Zen Hei"/>
        <family val="2"/>
      </rPr>
      <t xml:space="preserve">授業参観</t>
    </r>
    <r>
      <rPr>
        <sz val="11"/>
        <rFont val="游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午前</t>
    </r>
    <r>
      <rPr>
        <sz val="11"/>
        <rFont val="游ゴシック"/>
        <family val="3"/>
        <charset val="128"/>
      </rPr>
      <t xml:space="preserve">)</t>
    </r>
  </si>
  <si>
    <r>
      <rPr>
        <sz val="11"/>
        <rFont val="WenQuanYi Zen Hei"/>
        <family val="2"/>
      </rPr>
      <t xml:space="preserve">文化祭</t>
    </r>
    <r>
      <rPr>
        <sz val="11"/>
        <rFont val="游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音楽発表会</t>
    </r>
    <r>
      <rPr>
        <sz val="11"/>
        <rFont val="游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準備</t>
    </r>
  </si>
  <si>
    <t xml:space="preserve">文化の日</t>
  </si>
  <si>
    <t xml:space="preserve">文化祭（音楽発表会）</t>
  </si>
  <si>
    <r>
      <rPr>
        <sz val="11"/>
        <rFont val="WenQuanYi Zen Hei"/>
        <family val="2"/>
      </rPr>
      <t xml:space="preserve">歯科指導</t>
    </r>
    <r>
      <rPr>
        <sz val="11"/>
        <rFont val="游ゴシック"/>
        <family val="3"/>
        <charset val="128"/>
      </rPr>
      <t xml:space="preserve">(1</t>
    </r>
    <r>
      <rPr>
        <sz val="11"/>
        <rFont val="WenQuanYi Zen Hei"/>
        <family val="2"/>
      </rPr>
      <t xml:space="preserve">年</t>
    </r>
    <r>
      <rPr>
        <sz val="11"/>
        <rFont val="游ゴシック"/>
        <family val="3"/>
        <charset val="128"/>
      </rPr>
      <t xml:space="preserve">)</t>
    </r>
  </si>
  <si>
    <r>
      <rPr>
        <sz val="11"/>
        <rFont val="WenQuanYi Zen Hei"/>
        <family val="2"/>
      </rPr>
      <t xml:space="preserve">保護者会</t>
    </r>
    <r>
      <rPr>
        <sz val="11"/>
        <rFont val="游ゴシック"/>
        <family val="3"/>
        <charset val="128"/>
      </rPr>
      <t xml:space="preserve">(3</t>
    </r>
    <r>
      <rPr>
        <sz val="11"/>
        <rFont val="WenQuanYi Zen Hei"/>
        <family val="2"/>
      </rPr>
      <t xml:space="preserve">年</t>
    </r>
    <r>
      <rPr>
        <sz val="11"/>
        <rFont val="游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・教育相談</t>
    </r>
    <r>
      <rPr>
        <sz val="11"/>
        <rFont val="游ゴシック"/>
        <family val="3"/>
        <charset val="128"/>
      </rPr>
      <t xml:space="preserve">(1</t>
    </r>
    <r>
      <rPr>
        <sz val="11"/>
        <rFont val="WenQuanYi Zen Hei"/>
        <family val="2"/>
      </rPr>
      <t xml:space="preserve">・</t>
    </r>
    <r>
      <rPr>
        <sz val="11"/>
        <rFont val="游ゴシック"/>
        <family val="3"/>
        <charset val="128"/>
      </rPr>
      <t xml:space="preserve">2</t>
    </r>
    <r>
      <rPr>
        <sz val="11"/>
        <rFont val="WenQuanYi Zen Hei"/>
        <family val="2"/>
      </rPr>
      <t xml:space="preserve">年</t>
    </r>
    <r>
      <rPr>
        <sz val="11"/>
        <rFont val="游ゴシック"/>
        <family val="3"/>
        <charset val="128"/>
      </rPr>
      <t xml:space="preserve">)</t>
    </r>
  </si>
  <si>
    <r>
      <rPr>
        <sz val="11"/>
        <rFont val="WenQuanYi Zen Hei"/>
        <family val="2"/>
      </rPr>
      <t xml:space="preserve">保護者会</t>
    </r>
    <r>
      <rPr>
        <sz val="11"/>
        <rFont val="游ゴシック"/>
        <family val="3"/>
        <charset val="128"/>
      </rPr>
      <t xml:space="preserve">(3</t>
    </r>
    <r>
      <rPr>
        <sz val="11"/>
        <rFont val="WenQuanYi Zen Hei"/>
        <family val="2"/>
      </rPr>
      <t xml:space="preserve">年</t>
    </r>
    <r>
      <rPr>
        <sz val="11"/>
        <rFont val="游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・教育相談</t>
    </r>
    <r>
      <rPr>
        <sz val="11"/>
        <rFont val="游ゴシック"/>
        <family val="3"/>
        <charset val="128"/>
      </rPr>
      <t xml:space="preserve">(1</t>
    </r>
    <r>
      <rPr>
        <sz val="11"/>
        <rFont val="WenQuanYi Zen Hei"/>
        <family val="2"/>
      </rPr>
      <t xml:space="preserve">・</t>
    </r>
    <r>
      <rPr>
        <sz val="11"/>
        <rFont val="游ゴシック"/>
        <family val="3"/>
        <charset val="128"/>
      </rPr>
      <t xml:space="preserve">2</t>
    </r>
    <r>
      <rPr>
        <sz val="11"/>
        <rFont val="WenQuanYi Zen Hei"/>
        <family val="2"/>
      </rPr>
      <t xml:space="preserve">年</t>
    </r>
    <r>
      <rPr>
        <sz val="11"/>
        <rFont val="游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・ノー部活ウィーク</t>
    </r>
  </si>
  <si>
    <t xml:space="preserve">入学説明会・ノー部活ウィーク</t>
  </si>
  <si>
    <t xml:space="preserve">道総学いれるか</t>
  </si>
  <si>
    <r>
      <rPr>
        <sz val="11"/>
        <rFont val="WenQuanYi Zen Hei"/>
        <family val="2"/>
      </rPr>
      <t xml:space="preserve">▼実力テスト③</t>
    </r>
    <r>
      <rPr>
        <sz val="11"/>
        <rFont val="游ゴシック"/>
        <family val="3"/>
        <charset val="128"/>
      </rPr>
      <t xml:space="preserve">(3</t>
    </r>
    <r>
      <rPr>
        <sz val="11"/>
        <rFont val="WenQuanYi Zen Hei"/>
        <family val="2"/>
      </rPr>
      <t xml:space="preserve">年</t>
    </r>
    <r>
      <rPr>
        <sz val="11"/>
        <rFont val="游ゴシック"/>
        <family val="3"/>
        <charset val="128"/>
      </rPr>
      <t xml:space="preserve">)</t>
    </r>
  </si>
  <si>
    <t xml:space="preserve">勤労感謝の日</t>
  </si>
  <si>
    <r>
      <rPr>
        <sz val="11"/>
        <rFont val="WenQuanYi Zen Hei"/>
        <family val="2"/>
      </rPr>
      <t xml:space="preserve">（栄養教員新採研）・</t>
    </r>
    <r>
      <rPr>
        <sz val="11"/>
        <rFont val="游ゴシック"/>
        <family val="3"/>
        <charset val="128"/>
      </rPr>
      <t xml:space="preserve">3</t>
    </r>
    <r>
      <rPr>
        <sz val="11"/>
        <rFont val="WenQuanYi Zen Hei"/>
        <family val="2"/>
      </rPr>
      <t xml:space="preserve">年成績一覧表提出</t>
    </r>
  </si>
  <si>
    <t xml:space="preserve">県民の日学校ホリデー</t>
  </si>
  <si>
    <r>
      <rPr>
        <sz val="11"/>
        <rFont val="WenQuanYi Zen Hei"/>
        <family val="2"/>
      </rPr>
      <t xml:space="preserve">保護者会</t>
    </r>
    <r>
      <rPr>
        <sz val="11"/>
        <rFont val="游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全</t>
    </r>
    <r>
      <rPr>
        <sz val="11"/>
        <rFont val="游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・</t>
    </r>
    <r>
      <rPr>
        <sz val="11"/>
        <rFont val="游ゴシック"/>
        <family val="3"/>
        <charset val="128"/>
      </rPr>
      <t xml:space="preserve">1</t>
    </r>
    <r>
      <rPr>
        <sz val="11"/>
        <rFont val="WenQuanYi Zen Hei"/>
        <family val="2"/>
      </rPr>
      <t xml:space="preserve">･</t>
    </r>
    <r>
      <rPr>
        <sz val="11"/>
        <rFont val="游ゴシック"/>
        <family val="3"/>
        <charset val="128"/>
      </rPr>
      <t xml:space="preserve">2</t>
    </r>
    <r>
      <rPr>
        <sz val="11"/>
        <rFont val="WenQuanYi Zen Hei"/>
        <family val="2"/>
      </rPr>
      <t xml:space="preserve">年成績一覧表提出</t>
    </r>
  </si>
  <si>
    <r>
      <rPr>
        <sz val="11"/>
        <rFont val="WenQuanYi Zen Hei"/>
        <family val="2"/>
      </rPr>
      <t xml:space="preserve">保護者会</t>
    </r>
    <r>
      <rPr>
        <sz val="11"/>
        <rFont val="游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全</t>
    </r>
    <r>
      <rPr>
        <sz val="11"/>
        <rFont val="游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・第２回いじめ防対会議</t>
    </r>
  </si>
  <si>
    <r>
      <rPr>
        <sz val="11"/>
        <rFont val="WenQuanYi Zen Hei"/>
        <family val="2"/>
      </rPr>
      <t xml:space="preserve">保護者会</t>
    </r>
    <r>
      <rPr>
        <sz val="11"/>
        <rFont val="游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全</t>
    </r>
    <r>
      <rPr>
        <sz val="11"/>
        <rFont val="游ゴシック"/>
        <family val="3"/>
        <charset val="128"/>
      </rPr>
      <t xml:space="preserve">)</t>
    </r>
  </si>
  <si>
    <r>
      <rPr>
        <sz val="11"/>
        <rFont val="WenQuanYi Zen Hei"/>
        <family val="2"/>
      </rPr>
      <t xml:space="preserve">通知表</t>
    </r>
    <r>
      <rPr>
        <sz val="11"/>
        <rFont val="游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仮</t>
    </r>
    <r>
      <rPr>
        <sz val="11"/>
        <rFont val="游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提出</t>
    </r>
  </si>
  <si>
    <r>
      <rPr>
        <sz val="11"/>
        <rFont val="WenQuanYi Zen Hei"/>
        <family val="2"/>
      </rPr>
      <t xml:space="preserve">通知表</t>
    </r>
    <r>
      <rPr>
        <sz val="11"/>
        <rFont val="游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本</t>
    </r>
    <r>
      <rPr>
        <sz val="11"/>
        <rFont val="游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提出</t>
    </r>
  </si>
  <si>
    <t xml:space="preserve">進学相談</t>
  </si>
  <si>
    <t xml:space="preserve">冬季休業開始</t>
  </si>
  <si>
    <t xml:space="preserve">元日</t>
  </si>
  <si>
    <t xml:space="preserve">始業式　　　　　・ノー部活デー</t>
  </si>
  <si>
    <t xml:space="preserve">成人の日</t>
  </si>
  <si>
    <r>
      <rPr>
        <sz val="11"/>
        <rFont val="WenQuanYi Zen Hei"/>
        <family val="2"/>
      </rPr>
      <t xml:space="preserve">保護者会</t>
    </r>
    <r>
      <rPr>
        <sz val="11"/>
        <rFont val="游ゴシック"/>
        <family val="3"/>
        <charset val="128"/>
      </rPr>
      <t xml:space="preserve">(3</t>
    </r>
    <r>
      <rPr>
        <sz val="11"/>
        <rFont val="WenQuanYi Zen Hei"/>
        <family val="2"/>
      </rPr>
      <t xml:space="preserve">年</t>
    </r>
    <r>
      <rPr>
        <sz val="11"/>
        <rFont val="游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・ノー部活デー</t>
    </r>
  </si>
  <si>
    <r>
      <rPr>
        <sz val="11"/>
        <rFont val="WenQuanYi Zen Hei"/>
        <family val="2"/>
      </rPr>
      <t xml:space="preserve">保護者会</t>
    </r>
    <r>
      <rPr>
        <sz val="11"/>
        <rFont val="游ゴシック"/>
        <family val="3"/>
        <charset val="128"/>
      </rPr>
      <t xml:space="preserve">(3</t>
    </r>
    <r>
      <rPr>
        <sz val="11"/>
        <rFont val="WenQuanYi Zen Hei"/>
        <family val="2"/>
      </rPr>
      <t xml:space="preserve">年</t>
    </r>
    <r>
      <rPr>
        <sz val="11"/>
        <rFont val="游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・【私立専修推薦･特色入試】</t>
    </r>
  </si>
  <si>
    <r>
      <rPr>
        <sz val="11"/>
        <rFont val="WenQuanYi Zen Hei"/>
        <family val="2"/>
      </rPr>
      <t xml:space="preserve">保護者会</t>
    </r>
    <r>
      <rPr>
        <sz val="11"/>
        <rFont val="游ゴシック"/>
        <family val="3"/>
        <charset val="128"/>
      </rPr>
      <t xml:space="preserve">(3</t>
    </r>
    <r>
      <rPr>
        <sz val="11"/>
        <rFont val="WenQuanYi Zen Hei"/>
        <family val="2"/>
      </rPr>
      <t xml:space="preserve">年</t>
    </r>
    <r>
      <rPr>
        <sz val="11"/>
        <rFont val="游ゴシック"/>
        <family val="3"/>
        <charset val="128"/>
      </rPr>
      <t xml:space="preserve">)</t>
    </r>
  </si>
  <si>
    <r>
      <rPr>
        <sz val="11"/>
        <rFont val="WenQuanYi Zen Hei"/>
        <family val="2"/>
      </rPr>
      <t xml:space="preserve">職場体験（</t>
    </r>
    <r>
      <rPr>
        <sz val="11"/>
        <rFont val="游ゴシック"/>
        <family val="3"/>
        <charset val="128"/>
      </rPr>
      <t xml:space="preserve">2</t>
    </r>
    <r>
      <rPr>
        <sz val="11"/>
        <rFont val="WenQuanYi Zen Hei"/>
        <family val="2"/>
      </rPr>
      <t xml:space="preserve">年）・【私立専修一般入試】</t>
    </r>
  </si>
  <si>
    <r>
      <rPr>
        <sz val="11"/>
        <rFont val="WenQuanYi Zen Hei"/>
        <family val="2"/>
      </rPr>
      <t xml:space="preserve">職場訪問</t>
    </r>
    <r>
      <rPr>
        <sz val="11"/>
        <rFont val="游ゴシック"/>
        <family val="3"/>
        <charset val="128"/>
      </rPr>
      <t xml:space="preserve">(1</t>
    </r>
    <r>
      <rPr>
        <sz val="11"/>
        <rFont val="WenQuanYi Zen Hei"/>
        <family val="2"/>
      </rPr>
      <t xml:space="preserve">年</t>
    </r>
    <r>
      <rPr>
        <sz val="11"/>
        <rFont val="游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・職場体験（</t>
    </r>
    <r>
      <rPr>
        <sz val="11"/>
        <rFont val="游ゴシック"/>
        <family val="3"/>
        <charset val="128"/>
      </rPr>
      <t xml:space="preserve">2</t>
    </r>
    <r>
      <rPr>
        <sz val="11"/>
        <rFont val="WenQuanYi Zen Hei"/>
        <family val="2"/>
      </rPr>
      <t xml:space="preserve">年）・【私立専修一般入試】</t>
    </r>
  </si>
  <si>
    <t xml:space="preserve">【私立専修一般入試】</t>
  </si>
  <si>
    <t xml:space="preserve">【通信制前期入試】</t>
  </si>
  <si>
    <r>
      <rPr>
        <sz val="11"/>
        <rFont val="WenQuanYi Zen Hei"/>
        <family val="2"/>
      </rPr>
      <t xml:space="preserve">▼実力テスト④</t>
    </r>
    <r>
      <rPr>
        <sz val="11"/>
        <rFont val="游ゴシック"/>
        <family val="3"/>
        <charset val="128"/>
      </rPr>
      <t xml:space="preserve">(3</t>
    </r>
    <r>
      <rPr>
        <sz val="11"/>
        <rFont val="WenQuanYi Zen Hei"/>
        <family val="2"/>
      </rPr>
      <t xml:space="preserve">年</t>
    </r>
    <r>
      <rPr>
        <sz val="11"/>
        <rFont val="游ゴシック"/>
        <family val="3"/>
        <charset val="128"/>
      </rPr>
      <t xml:space="preserve">)</t>
    </r>
  </si>
  <si>
    <r>
      <rPr>
        <sz val="11"/>
        <rFont val="WenQuanYi Zen Hei"/>
        <family val="2"/>
      </rPr>
      <t xml:space="preserve">【守山高等部産業科・</t>
    </r>
    <r>
      <rPr>
        <sz val="11"/>
        <rFont val="游ゴシック"/>
        <family val="3"/>
        <charset val="128"/>
      </rPr>
      <t xml:space="preserve">
</t>
    </r>
    <r>
      <rPr>
        <sz val="11"/>
        <rFont val="WenQuanYi Zen Hei"/>
        <family val="2"/>
      </rPr>
      <t xml:space="preserve">　若宮高等支援学校入学者選考】</t>
    </r>
  </si>
  <si>
    <t xml:space="preserve">選挙管理委員会・【通信制前期合格発表】</t>
  </si>
  <si>
    <r>
      <rPr>
        <sz val="11"/>
        <rFont val="WenQuanYi Zen Hei"/>
        <family val="2"/>
      </rPr>
      <t xml:space="preserve">第２回</t>
    </r>
    <r>
      <rPr>
        <sz val="11"/>
        <rFont val="游ゴシック"/>
        <family val="3"/>
        <charset val="128"/>
      </rPr>
      <t xml:space="preserve">NCS</t>
    </r>
    <r>
      <rPr>
        <sz val="11"/>
        <rFont val="WenQuanYi Zen Hei"/>
        <family val="2"/>
      </rPr>
      <t xml:space="preserve">会議</t>
    </r>
  </si>
  <si>
    <t xml:space="preserve">【公立推薦･特色入試】</t>
  </si>
  <si>
    <t xml:space="preserve">【公立推薦･特色合格発表】</t>
  </si>
  <si>
    <t xml:space="preserve">建国記念の日</t>
  </si>
  <si>
    <r>
      <rPr>
        <sz val="11"/>
        <rFont val="WenQuanYi Zen Hei"/>
        <family val="2"/>
      </rPr>
      <t xml:space="preserve">※【定時制１次入試】・ノー部活ウィーク・</t>
    </r>
    <r>
      <rPr>
        <sz val="11"/>
        <rFont val="游ゴシック"/>
        <family val="3"/>
        <charset val="128"/>
      </rPr>
      <t xml:space="preserve">3</t>
    </r>
    <r>
      <rPr>
        <sz val="11"/>
        <rFont val="WenQuanYi Zen Hei"/>
        <family val="2"/>
      </rPr>
      <t xml:space="preserve">年成績一覧表提出</t>
    </r>
  </si>
  <si>
    <r>
      <rPr>
        <sz val="11"/>
        <rFont val="WenQuanYi Zen Hei"/>
        <family val="2"/>
      </rPr>
      <t xml:space="preserve">【市立特別支援学校</t>
    </r>
    <r>
      <rPr>
        <sz val="11"/>
        <rFont val="游ゴシック"/>
        <family val="3"/>
        <charset val="128"/>
      </rPr>
      <t xml:space="preserve">
</t>
    </r>
    <r>
      <rPr>
        <sz val="11"/>
        <rFont val="WenQuanYi Zen Hei"/>
        <family val="2"/>
      </rPr>
      <t xml:space="preserve">　　入学検査および面接】・ノー部活ウィーク</t>
    </r>
  </si>
  <si>
    <t xml:space="preserve">【公立一般志願変更】・ノー部活ウィーク</t>
  </si>
  <si>
    <r>
      <rPr>
        <sz val="11"/>
        <rFont val="WenQuanYi Zen Hei"/>
        <family val="2"/>
      </rPr>
      <t xml:space="preserve">学年末テスト</t>
    </r>
    <r>
      <rPr>
        <sz val="11"/>
        <rFont val="游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１･２年</t>
    </r>
    <r>
      <rPr>
        <sz val="11"/>
        <rFont val="游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・【定時制合格発表】・▼ＡＥＴ離任式</t>
    </r>
  </si>
  <si>
    <r>
      <rPr>
        <sz val="11"/>
        <rFont val="WenQuanYi Zen Hei"/>
        <family val="2"/>
      </rPr>
      <t xml:space="preserve">学年末テスト</t>
    </r>
    <r>
      <rPr>
        <sz val="11"/>
        <rFont val="游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１･２年</t>
    </r>
    <r>
      <rPr>
        <sz val="11"/>
        <rFont val="游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・</t>
    </r>
    <r>
      <rPr>
        <sz val="11"/>
        <rFont val="游ゴシック"/>
        <family val="3"/>
        <charset val="128"/>
      </rPr>
      <t xml:space="preserve">3</t>
    </r>
    <r>
      <rPr>
        <sz val="11"/>
        <rFont val="WenQuanYi Zen Hei"/>
        <family val="2"/>
      </rPr>
      <t xml:space="preserve">年通知表</t>
    </r>
    <r>
      <rPr>
        <sz val="11"/>
        <rFont val="游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仮</t>
    </r>
    <r>
      <rPr>
        <sz val="11"/>
        <rFont val="游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提出</t>
    </r>
  </si>
  <si>
    <r>
      <rPr>
        <sz val="11"/>
        <rFont val="WenQuanYi Zen Hei"/>
        <family val="2"/>
      </rPr>
      <t xml:space="preserve">学年保護者会</t>
    </r>
    <r>
      <rPr>
        <sz val="11"/>
        <rFont val="游ゴシック"/>
        <family val="3"/>
        <charset val="128"/>
      </rPr>
      <t xml:space="preserve">(1</t>
    </r>
    <r>
      <rPr>
        <sz val="11"/>
        <rFont val="WenQuanYi Zen Hei"/>
        <family val="2"/>
      </rPr>
      <t xml:space="preserve">年</t>
    </r>
    <r>
      <rPr>
        <sz val="11"/>
        <rFont val="游ゴシック"/>
        <family val="3"/>
        <charset val="128"/>
      </rPr>
      <t xml:space="preserve">)</t>
    </r>
  </si>
  <si>
    <t xml:space="preserve">天皇誕生日</t>
  </si>
  <si>
    <r>
      <rPr>
        <sz val="11"/>
        <rFont val="WenQuanYi Zen Hei"/>
        <family val="2"/>
      </rPr>
      <t xml:space="preserve">※【公立一般学力検査】・【公立一般Ａ面接】</t>
    </r>
    <r>
      <rPr>
        <sz val="11"/>
        <rFont val="游ゴシック"/>
        <family val="3"/>
        <charset val="128"/>
      </rPr>
      <t xml:space="preserve">
</t>
    </r>
    <r>
      <rPr>
        <sz val="11"/>
        <rFont val="WenQuanYi Zen Hei"/>
        <family val="2"/>
      </rPr>
      <t xml:space="preserve">　　　　</t>
    </r>
    <r>
      <rPr>
        <sz val="11"/>
        <rFont val="游ゴシック"/>
        <family val="3"/>
        <charset val="128"/>
      </rPr>
      <t xml:space="preserve">3</t>
    </r>
    <r>
      <rPr>
        <sz val="11"/>
        <rFont val="WenQuanYi Zen Hei"/>
        <family val="2"/>
      </rPr>
      <t xml:space="preserve">年通知表</t>
    </r>
    <r>
      <rPr>
        <sz val="11"/>
        <rFont val="游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本</t>
    </r>
    <r>
      <rPr>
        <sz val="11"/>
        <rFont val="游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提出</t>
    </r>
  </si>
  <si>
    <r>
      <rPr>
        <sz val="11"/>
        <rFont val="游ゴシック"/>
        <family val="3"/>
        <charset val="128"/>
      </rPr>
      <t xml:space="preserve">3</t>
    </r>
    <r>
      <rPr>
        <sz val="11"/>
        <rFont val="WenQuanYi Zen Hei"/>
        <family val="2"/>
      </rPr>
      <t xml:space="preserve">送会リハ①・【公立一般Ｂ面接】</t>
    </r>
  </si>
  <si>
    <r>
      <rPr>
        <sz val="11"/>
        <rFont val="游ゴシック"/>
        <family val="3"/>
        <charset val="128"/>
      </rPr>
      <t xml:space="preserve">3</t>
    </r>
    <r>
      <rPr>
        <sz val="11"/>
        <rFont val="WenQuanYi Zen Hei"/>
        <family val="2"/>
      </rPr>
      <t xml:space="preserve">送会準備・リハ②</t>
    </r>
  </si>
  <si>
    <r>
      <rPr>
        <sz val="11"/>
        <rFont val="游ゴシック"/>
        <family val="3"/>
        <charset val="128"/>
      </rPr>
      <t xml:space="preserve">3</t>
    </r>
    <r>
      <rPr>
        <sz val="11"/>
        <rFont val="WenQuanYi Zen Hei"/>
        <family val="2"/>
      </rPr>
      <t xml:space="preserve">年生を送る会</t>
    </r>
  </si>
  <si>
    <r>
      <rPr>
        <sz val="11"/>
        <rFont val="游ゴシック"/>
        <family val="3"/>
        <charset val="128"/>
      </rPr>
      <t xml:space="preserve">1</t>
    </r>
    <r>
      <rPr>
        <sz val="11"/>
        <rFont val="WenQuanYi Zen Hei"/>
        <family val="2"/>
      </rPr>
      <t xml:space="preserve">･</t>
    </r>
    <r>
      <rPr>
        <sz val="11"/>
        <rFont val="游ゴシック"/>
        <family val="3"/>
        <charset val="128"/>
      </rPr>
      <t xml:space="preserve">2</t>
    </r>
    <r>
      <rPr>
        <sz val="11"/>
        <rFont val="WenQuanYi Zen Hei"/>
        <family val="2"/>
      </rPr>
      <t xml:space="preserve">年成績一覧表提出</t>
    </r>
  </si>
  <si>
    <t xml:space="preserve">【公立一般合格発表】・卒業式準備</t>
  </si>
  <si>
    <r>
      <rPr>
        <sz val="11"/>
        <rFont val="WenQuanYi Zen Hei"/>
        <family val="2"/>
      </rPr>
      <t xml:space="preserve">卒業式・</t>
    </r>
    <r>
      <rPr>
        <sz val="11"/>
        <rFont val="游ゴシック"/>
        <family val="3"/>
        <charset val="128"/>
      </rPr>
      <t xml:space="preserve">1</t>
    </r>
    <r>
      <rPr>
        <sz val="11"/>
        <rFont val="WenQuanYi Zen Hei"/>
        <family val="2"/>
      </rPr>
      <t xml:space="preserve">･</t>
    </r>
    <r>
      <rPr>
        <sz val="11"/>
        <rFont val="游ゴシック"/>
        <family val="3"/>
        <charset val="128"/>
      </rPr>
      <t xml:space="preserve">2</t>
    </r>
    <r>
      <rPr>
        <sz val="11"/>
        <rFont val="WenQuanYi Zen Hei"/>
        <family val="2"/>
      </rPr>
      <t xml:space="preserve">年通知表（本）提出</t>
    </r>
  </si>
  <si>
    <r>
      <rPr>
        <sz val="11"/>
        <rFont val="WenQuanYi Zen Hei"/>
        <family val="2"/>
      </rPr>
      <t xml:space="preserve">選挙管理委員会・▼小中連絡会</t>
    </r>
    <r>
      <rPr>
        <sz val="11"/>
        <rFont val="游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汐路</t>
    </r>
    <r>
      <rPr>
        <sz val="11"/>
        <rFont val="游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・▼小中連絡会</t>
    </r>
    <r>
      <rPr>
        <sz val="11"/>
        <rFont val="游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陽明</t>
    </r>
    <r>
      <rPr>
        <sz val="11"/>
        <rFont val="游ゴシック"/>
        <family val="3"/>
        <charset val="128"/>
      </rPr>
      <t xml:space="preserve">)</t>
    </r>
  </si>
  <si>
    <r>
      <rPr>
        <sz val="11"/>
        <rFont val="WenQuanYi Zen Hei"/>
        <family val="2"/>
      </rPr>
      <t xml:space="preserve">学年保護者会</t>
    </r>
    <r>
      <rPr>
        <sz val="11"/>
        <rFont val="游ゴシック"/>
        <family val="3"/>
        <charset val="128"/>
      </rPr>
      <t xml:space="preserve">(2</t>
    </r>
    <r>
      <rPr>
        <sz val="11"/>
        <rFont val="WenQuanYi Zen Hei"/>
        <family val="2"/>
      </rPr>
      <t xml:space="preserve">年</t>
    </r>
    <r>
      <rPr>
        <sz val="11"/>
        <rFont val="游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・立候補者連絡会</t>
    </r>
  </si>
  <si>
    <r>
      <rPr>
        <sz val="11"/>
        <rFont val="WenQuanYi Zen Hei"/>
        <family val="2"/>
      </rPr>
      <t xml:space="preserve">立会演説会・選管・</t>
    </r>
    <r>
      <rPr>
        <sz val="11"/>
        <rFont val="游ゴシック"/>
        <family val="3"/>
        <charset val="128"/>
      </rPr>
      <t xml:space="preserve">1</t>
    </r>
    <r>
      <rPr>
        <sz val="11"/>
        <rFont val="WenQuanYi Zen Hei"/>
        <family val="2"/>
      </rPr>
      <t xml:space="preserve">･</t>
    </r>
    <r>
      <rPr>
        <sz val="11"/>
        <rFont val="游ゴシック"/>
        <family val="3"/>
        <charset val="128"/>
      </rPr>
      <t xml:space="preserve">2</t>
    </r>
    <r>
      <rPr>
        <sz val="11"/>
        <rFont val="WenQuanYi Zen Hei"/>
        <family val="2"/>
      </rPr>
      <t xml:space="preserve">年通知表（本）提出</t>
    </r>
  </si>
  <si>
    <r>
      <rPr>
        <sz val="11"/>
        <rFont val="游ゴシック"/>
        <family val="3"/>
        <charset val="128"/>
      </rPr>
      <t xml:space="preserve">R7</t>
    </r>
    <r>
      <rPr>
        <sz val="11"/>
        <rFont val="WenQuanYi Zen Hei"/>
        <family val="2"/>
      </rPr>
      <t xml:space="preserve">生徒会オリ</t>
    </r>
    <r>
      <rPr>
        <sz val="11"/>
        <rFont val="游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リハ</t>
    </r>
    <r>
      <rPr>
        <sz val="11"/>
        <rFont val="游ゴシック"/>
        <family val="3"/>
        <charset val="128"/>
      </rPr>
      <t xml:space="preserve">)</t>
    </r>
    <r>
      <rPr>
        <sz val="11"/>
        <rFont val="WenQuanYi Zen Hei"/>
        <family val="2"/>
      </rPr>
      <t xml:space="preserve">・【全日制･定時制２次選抜】</t>
    </r>
  </si>
  <si>
    <t xml:space="preserve">【全日制･定時制２次合格発表】</t>
  </si>
  <si>
    <r>
      <rPr>
        <sz val="11"/>
        <rFont val="游ゴシック"/>
        <family val="3"/>
        <charset val="128"/>
      </rPr>
      <t xml:space="preserve">(</t>
    </r>
    <r>
      <rPr>
        <sz val="11"/>
        <rFont val="WenQuanYi Zen Hei"/>
        <family val="2"/>
      </rPr>
      <t xml:space="preserve">小学校卒業式</t>
    </r>
    <r>
      <rPr>
        <sz val="11"/>
        <rFont val="游ゴシック"/>
        <family val="3"/>
        <charset val="128"/>
      </rPr>
      <t xml:space="preserve">)</t>
    </r>
  </si>
  <si>
    <t xml:space="preserve">春分の日</t>
  </si>
  <si>
    <t xml:space="preserve">【通信制後期入試】</t>
  </si>
  <si>
    <t xml:space="preserve">修了式・離任式・【通信制後期合格発表】</t>
  </si>
  <si>
    <t xml:space="preserve">学年末休業開始</t>
  </si>
  <si>
    <t xml:space="preserve">教育カレンダー　時間数</t>
  </si>
  <si>
    <t xml:space="preserve">１年</t>
  </si>
  <si>
    <t xml:space="preserve">２年</t>
  </si>
  <si>
    <t xml:space="preserve">３年</t>
  </si>
  <si>
    <r>
      <rPr>
        <sz val="11"/>
        <color theme="1"/>
        <rFont val="WenQuanYi Zen Hei"/>
        <family val="2"/>
      </rPr>
      <t xml:space="preserve">＜確認テストまで（授業開始</t>
    </r>
    <r>
      <rPr>
        <sz val="11"/>
        <color theme="1"/>
        <rFont val="游ゴシック"/>
        <family val="2"/>
        <charset val="128"/>
      </rPr>
      <t xml:space="preserve">4/14</t>
    </r>
    <r>
      <rPr>
        <sz val="11"/>
        <color theme="1"/>
        <rFont val="WenQuanYi Zen Hei"/>
        <family val="2"/>
      </rPr>
      <t xml:space="preserve">）＞</t>
    </r>
  </si>
  <si>
    <t xml:space="preserve">道徳</t>
  </si>
  <si>
    <t xml:space="preserve">総合２３</t>
  </si>
  <si>
    <t xml:space="preserve">定期テスト①</t>
  </si>
  <si>
    <t xml:space="preserve">総合</t>
  </si>
  <si>
    <t xml:space="preserve">木６</t>
  </si>
  <si>
    <t xml:space="preserve">＜確テ～１期末テ＞</t>
  </si>
  <si>
    <t xml:space="preserve">＜１期末テまで　累計＞</t>
  </si>
  <si>
    <t xml:space="preserve">定期テスト②</t>
  </si>
  <si>
    <t xml:space="preserve">＜１期末テ～２期中テ＞</t>
  </si>
  <si>
    <t xml:space="preserve">＜２期中テまで　累計＞</t>
  </si>
  <si>
    <t xml:space="preserve">定期テスト③</t>
  </si>
  <si>
    <t xml:space="preserve">＜２期中テ～２期末テ＞</t>
  </si>
  <si>
    <t xml:space="preserve">＜２期末テまで　累計＞</t>
  </si>
  <si>
    <t xml:space="preserve">定期テスト④</t>
  </si>
  <si>
    <r>
      <rPr>
        <sz val="11"/>
        <color theme="1"/>
        <rFont val="WenQuanYi Zen Hei"/>
        <family val="2"/>
      </rPr>
      <t xml:space="preserve">＜２期末テ～</t>
    </r>
    <r>
      <rPr>
        <sz val="11"/>
        <color theme="1"/>
        <rFont val="游ゴシック"/>
        <family val="2"/>
        <charset val="128"/>
      </rPr>
      <t xml:space="preserve">12</t>
    </r>
    <r>
      <rPr>
        <sz val="11"/>
        <color theme="1"/>
        <rFont val="WenQuanYi Zen Hei"/>
        <family val="2"/>
      </rPr>
      <t xml:space="preserve">月末＞</t>
    </r>
  </si>
  <si>
    <r>
      <rPr>
        <sz val="11"/>
        <color theme="1"/>
        <rFont val="WenQuanYi Zen Hei"/>
        <family val="2"/>
      </rPr>
      <t xml:space="preserve">＜</t>
    </r>
    <r>
      <rPr>
        <sz val="11"/>
        <color theme="1"/>
        <rFont val="游ゴシック"/>
        <family val="2"/>
        <charset val="128"/>
      </rPr>
      <t xml:space="preserve">12</t>
    </r>
    <r>
      <rPr>
        <sz val="11"/>
        <color theme="1"/>
        <rFont val="WenQuanYi Zen Hei"/>
        <family val="2"/>
      </rPr>
      <t xml:space="preserve">月末まで　累計＞</t>
    </r>
  </si>
  <si>
    <r>
      <rPr>
        <sz val="11"/>
        <color theme="1"/>
        <rFont val="游ゴシック"/>
        <family val="2"/>
        <charset val="128"/>
      </rPr>
      <t xml:space="preserve">2</t>
    </r>
    <r>
      <rPr>
        <sz val="11"/>
        <color theme="1"/>
        <rFont val="WenQuanYi Zen Hei"/>
        <family val="2"/>
      </rPr>
      <t xml:space="preserve">学期終業式</t>
    </r>
  </si>
  <si>
    <r>
      <rPr>
        <sz val="11"/>
        <color theme="1"/>
        <rFont val="WenQuanYi Zen Hei"/>
        <family val="2"/>
      </rPr>
      <t xml:space="preserve">＜</t>
    </r>
    <r>
      <rPr>
        <sz val="11"/>
        <color theme="1"/>
        <rFont val="游ゴシック"/>
        <family val="2"/>
        <charset val="128"/>
      </rPr>
      <t xml:space="preserve">1</t>
    </r>
    <r>
      <rPr>
        <sz val="11"/>
        <color theme="1"/>
        <rFont val="WenQuanYi Zen Hei"/>
        <family val="2"/>
      </rPr>
      <t xml:space="preserve">月初め～１２年学年末テ＞</t>
    </r>
  </si>
  <si>
    <t xml:space="preserve">＜１２年学年末テまで　累計＞</t>
  </si>
  <si>
    <r>
      <rPr>
        <sz val="11"/>
        <color theme="1"/>
        <rFont val="游ゴシック"/>
        <family val="2"/>
        <charset val="128"/>
      </rPr>
      <t xml:space="preserve">12</t>
    </r>
    <r>
      <rPr>
        <sz val="11"/>
        <color theme="1"/>
        <rFont val="WenQuanYi Zen Hei"/>
        <family val="2"/>
      </rPr>
      <t xml:space="preserve">年定期テスト⑤</t>
    </r>
  </si>
  <si>
    <t xml:space="preserve">＜１２年学年末テスト後＞</t>
  </si>
  <si>
    <r>
      <rPr>
        <sz val="11"/>
        <color theme="1"/>
        <rFont val="WenQuanYi Zen Hei"/>
        <family val="2"/>
      </rPr>
      <t xml:space="preserve">＜</t>
    </r>
    <r>
      <rPr>
        <sz val="11"/>
        <color theme="1"/>
        <rFont val="游ゴシック"/>
        <family val="2"/>
        <charset val="128"/>
      </rPr>
      <t xml:space="preserve">1</t>
    </r>
    <r>
      <rPr>
        <sz val="11"/>
        <color theme="1"/>
        <rFont val="WenQuanYi Zen Hei"/>
        <family val="2"/>
      </rPr>
      <t xml:space="preserve">年間　　累計＞</t>
    </r>
  </si>
  <si>
    <t xml:space="preserve">修了式</t>
  </si>
  <si>
    <t xml:space="preserve">アジパラ観戦</t>
  </si>
  <si>
    <t xml:space="preserve">３　月</t>
  </si>
  <si>
    <r>
      <rPr>
        <sz val="11"/>
        <color theme="1"/>
        <rFont val="游ゴシック"/>
        <family val="2"/>
        <charset val="128"/>
      </rPr>
      <t xml:space="preserve">1</t>
    </r>
    <r>
      <rPr>
        <sz val="11"/>
        <color theme="1"/>
        <rFont val="WenQuanYi Zen Hei"/>
        <family val="2"/>
      </rPr>
      <t xml:space="preserve">行目</t>
    </r>
  </si>
  <si>
    <t xml:space="preserve">会議</t>
  </si>
  <si>
    <t xml:space="preserve">貼り付け用データ</t>
  </si>
  <si>
    <r>
      <rPr>
        <sz val="12"/>
        <color rgb="FFFF0000"/>
        <rFont val="ＭＳ Ｐゴシック"/>
        <family val="3"/>
        <charset val="128"/>
      </rPr>
      <t xml:space="preserve">3</t>
    </r>
    <r>
      <rPr>
        <sz val="12"/>
        <color rgb="FFFF0000"/>
        <rFont val="WenQuanYi Zen Hei"/>
        <family val="2"/>
      </rPr>
      <t xml:space="preserve">送会準備・リハ②</t>
    </r>
  </si>
  <si>
    <r>
      <rPr>
        <sz val="12"/>
        <color rgb="FFFF0000"/>
        <rFont val="ＭＳ Ｐゴシック"/>
        <family val="3"/>
        <charset val="128"/>
      </rPr>
      <t xml:space="preserve">3</t>
    </r>
    <r>
      <rPr>
        <sz val="12"/>
        <color rgb="FFFF0000"/>
        <rFont val="WenQuanYi Zen Hei"/>
        <family val="2"/>
      </rPr>
      <t xml:space="preserve">年生を送る会</t>
    </r>
  </si>
  <si>
    <t xml:space="preserve">卒業式準備</t>
  </si>
  <si>
    <t xml:space="preserve">卒業式</t>
  </si>
  <si>
    <t xml:space="preserve">定</t>
  </si>
  <si>
    <r>
      <rPr>
        <sz val="12"/>
        <color rgb="FF0070C0"/>
        <rFont val="ＭＳ Ｐゴシック"/>
        <family val="3"/>
        <charset val="128"/>
      </rPr>
      <t xml:space="preserve">1</t>
    </r>
    <r>
      <rPr>
        <sz val="12"/>
        <color rgb="FF0070C0"/>
        <rFont val="WenQuanYi Zen Hei"/>
        <family val="2"/>
      </rPr>
      <t xml:space="preserve">･</t>
    </r>
    <r>
      <rPr>
        <sz val="12"/>
        <color rgb="FF0070C0"/>
        <rFont val="ＭＳ Ｐゴシック"/>
        <family val="3"/>
        <charset val="128"/>
      </rPr>
      <t xml:space="preserve">2</t>
    </r>
    <r>
      <rPr>
        <sz val="12"/>
        <color rgb="FF0070C0"/>
        <rFont val="WenQuanYi Zen Hei"/>
        <family val="2"/>
      </rPr>
      <t xml:space="preserve">年成績一覧表提出</t>
    </r>
  </si>
  <si>
    <t xml:space="preserve">進認</t>
  </si>
  <si>
    <t xml:space="preserve">【公立一般合格発表】</t>
  </si>
  <si>
    <r>
      <rPr>
        <sz val="12"/>
        <rFont val="WenQuanYi Zen Hei"/>
        <family val="2"/>
      </rPr>
      <t xml:space="preserve">職</t>
    </r>
    <r>
      <rPr>
        <sz val="12"/>
        <rFont val="ＭＳ Ｐゴシック"/>
        <family val="3"/>
        <charset val="128"/>
      </rPr>
      <t xml:space="preserve">11</t>
    </r>
  </si>
  <si>
    <r>
      <rPr>
        <sz val="12"/>
        <color rgb="FFFF0000"/>
        <rFont val="WenQuanYi Zen Hei"/>
        <family val="2"/>
      </rPr>
      <t xml:space="preserve">選挙管理委員会
　　　▼小中連絡会</t>
    </r>
    <r>
      <rPr>
        <sz val="12"/>
        <color rgb="FFFF0000"/>
        <rFont val="ＭＳ Ｐゴシック"/>
        <family val="3"/>
        <charset val="128"/>
      </rPr>
      <t xml:space="preserve">(</t>
    </r>
    <r>
      <rPr>
        <sz val="12"/>
        <color rgb="FFFF0000"/>
        <rFont val="WenQuanYi Zen Hei"/>
        <family val="2"/>
      </rPr>
      <t xml:space="preserve">汐路</t>
    </r>
    <r>
      <rPr>
        <sz val="12"/>
        <color rgb="FFFF0000"/>
        <rFont val="ＭＳ Ｐゴシック"/>
        <family val="3"/>
        <charset val="128"/>
      </rPr>
      <t xml:space="preserve">)</t>
    </r>
  </si>
  <si>
    <r>
      <rPr>
        <sz val="12"/>
        <color rgb="FF0070C0"/>
        <rFont val="ＭＳ Ｐゴシック"/>
        <family val="3"/>
        <charset val="128"/>
      </rPr>
      <t xml:space="preserve">1</t>
    </r>
    <r>
      <rPr>
        <sz val="12"/>
        <color rgb="FF0070C0"/>
        <rFont val="WenQuanYi Zen Hei"/>
        <family val="2"/>
      </rPr>
      <t xml:space="preserve">･</t>
    </r>
    <r>
      <rPr>
        <sz val="12"/>
        <color rgb="FF0070C0"/>
        <rFont val="ＭＳ Ｐゴシック"/>
        <family val="3"/>
        <charset val="128"/>
      </rPr>
      <t xml:space="preserve">2</t>
    </r>
    <r>
      <rPr>
        <sz val="12"/>
        <color rgb="FF0070C0"/>
        <rFont val="WenQuanYi Zen Hei"/>
        <family val="2"/>
      </rPr>
      <t xml:space="preserve">年通知表（本）提出</t>
    </r>
  </si>
  <si>
    <r>
      <rPr>
        <sz val="12"/>
        <color rgb="FFFF0000"/>
        <rFont val="WenQuanYi Zen Hei"/>
        <family val="2"/>
      </rPr>
      <t xml:space="preserve">▼小中連絡会</t>
    </r>
    <r>
      <rPr>
        <sz val="12"/>
        <color rgb="FFFF0000"/>
        <rFont val="ＭＳ Ｐゴシック"/>
        <family val="3"/>
        <charset val="128"/>
      </rPr>
      <t xml:space="preserve">(</t>
    </r>
    <r>
      <rPr>
        <sz val="12"/>
        <color rgb="FFFF0000"/>
        <rFont val="WenQuanYi Zen Hei"/>
        <family val="2"/>
      </rPr>
      <t xml:space="preserve">陽明</t>
    </r>
    <r>
      <rPr>
        <sz val="12"/>
        <color rgb="FFFF0000"/>
        <rFont val="ＭＳ Ｐゴシック"/>
        <family val="3"/>
        <charset val="128"/>
      </rPr>
      <t xml:space="preserve">)</t>
    </r>
  </si>
  <si>
    <r>
      <rPr>
        <sz val="12"/>
        <color rgb="FFFF0000"/>
        <rFont val="WenQuanYi Zen Hei"/>
        <family val="2"/>
      </rPr>
      <t xml:space="preserve">学年保護者会</t>
    </r>
    <r>
      <rPr>
        <sz val="12"/>
        <color rgb="FFFF0000"/>
        <rFont val="ＭＳ Ｐゴシック"/>
        <family val="3"/>
        <charset val="128"/>
      </rPr>
      <t xml:space="preserve">(2</t>
    </r>
    <r>
      <rPr>
        <sz val="12"/>
        <color rgb="FFFF0000"/>
        <rFont val="WenQuanYi Zen Hei"/>
        <family val="2"/>
      </rPr>
      <t xml:space="preserve">年</t>
    </r>
    <r>
      <rPr>
        <sz val="12"/>
        <color rgb="FFFF0000"/>
        <rFont val="ＭＳ Ｐゴシック"/>
        <family val="3"/>
        <charset val="128"/>
      </rPr>
      <t xml:space="preserve">)</t>
    </r>
  </si>
  <si>
    <t xml:space="preserve">立候補者連絡会</t>
  </si>
  <si>
    <t xml:space="preserve">委</t>
  </si>
  <si>
    <r>
      <rPr>
        <sz val="12"/>
        <rFont val="WenQuanYi Zen Hei"/>
        <family val="2"/>
      </rPr>
      <t xml:space="preserve">編</t>
    </r>
    <r>
      <rPr>
        <sz val="12"/>
        <rFont val="ＭＳ Ｐゴシック"/>
        <family val="3"/>
        <charset val="128"/>
      </rPr>
      <t xml:space="preserve">1</t>
    </r>
  </si>
  <si>
    <t xml:space="preserve">立会演説会・選管</t>
  </si>
  <si>
    <r>
      <rPr>
        <sz val="12"/>
        <color rgb="FFFF0000"/>
        <rFont val="ＭＳ Ｐゴシック"/>
        <family val="3"/>
        <charset val="128"/>
      </rPr>
      <t xml:space="preserve">R7</t>
    </r>
    <r>
      <rPr>
        <sz val="12"/>
        <color rgb="FFFF0000"/>
        <rFont val="WenQuanYi Zen Hei"/>
        <family val="2"/>
      </rPr>
      <t xml:space="preserve">生徒会オリ</t>
    </r>
    <r>
      <rPr>
        <sz val="12"/>
        <color rgb="FFFF0000"/>
        <rFont val="ＭＳ Ｐゴシック"/>
        <family val="3"/>
        <charset val="128"/>
      </rPr>
      <t xml:space="preserve">(</t>
    </r>
    <r>
      <rPr>
        <sz val="12"/>
        <color rgb="FFFF0000"/>
        <rFont val="WenQuanYi Zen Hei"/>
        <family val="2"/>
      </rPr>
      <t xml:space="preserve">リハ</t>
    </r>
    <r>
      <rPr>
        <sz val="12"/>
        <color rgb="FFFF0000"/>
        <rFont val="ＭＳ Ｐゴシック"/>
        <family val="3"/>
        <charset val="128"/>
      </rPr>
      <t xml:space="preserve">)</t>
    </r>
  </si>
  <si>
    <t xml:space="preserve">【全日制･定時制２次選抜】</t>
  </si>
  <si>
    <r>
      <rPr>
        <sz val="12"/>
        <rFont val="WenQuanYi Zen Hei"/>
        <family val="2"/>
      </rPr>
      <t xml:space="preserve">編</t>
    </r>
    <r>
      <rPr>
        <sz val="12"/>
        <rFont val="ＭＳ Ｐゴシック"/>
        <family val="3"/>
        <charset val="128"/>
      </rPr>
      <t xml:space="preserve">2</t>
    </r>
  </si>
  <si>
    <r>
      <rPr>
        <sz val="12"/>
        <color rgb="FFFF0000"/>
        <rFont val="ＭＳ Ｐゴシック"/>
        <family val="3"/>
        <charset val="128"/>
      </rPr>
      <t xml:space="preserve">(</t>
    </r>
    <r>
      <rPr>
        <sz val="12"/>
        <color rgb="FFFF0000"/>
        <rFont val="WenQuanYi Zen Hei"/>
        <family val="2"/>
      </rPr>
      <t xml:space="preserve">小学校卒業式</t>
    </r>
    <r>
      <rPr>
        <sz val="12"/>
        <color rgb="FFFF0000"/>
        <rFont val="ＭＳ Ｐゴシック"/>
        <family val="3"/>
        <charset val="128"/>
      </rPr>
      <t xml:space="preserve">)</t>
    </r>
  </si>
  <si>
    <t xml:space="preserve">採</t>
  </si>
  <si>
    <t xml:space="preserve">日曜日祝日による休業日</t>
  </si>
  <si>
    <t xml:space="preserve">修了式・離任式</t>
  </si>
  <si>
    <t xml:space="preserve">【通信制後期合格発表】</t>
  </si>
  <si>
    <t xml:space="preserve">旧運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</si>
</sst>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General"/>
    <numFmt numFmtId="167" formatCode="0"/>
  </numFmts>
  <fonts count="32">
    <font>
      <sz val="11"/>
      <color theme="1"/>
      <name val="游ゴシック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1"/>
      <name val="游ゴシック"/>
      <family val="3"/>
      <charset val="128"/>
    </font>
    <font>
      <sz val="11"/>
      <name val="WenQuanYi Zen Hei"/>
      <family val="2"/>
    </font>
    <font>
      <b val="true"/>
      <sz val="10"/>
      <name val="WenQuanYi Zen Hei"/>
      <family val="2"/>
    </font>
    <font>
      <b val="true"/>
      <sz val="10"/>
      <name val="Cambria"/>
      <family val="0"/>
      <charset val="1"/>
    </font>
    <font>
      <sz val="11"/>
      <color theme="1"/>
      <name val="游ゴシック"/>
      <family val="3"/>
      <charset val="128"/>
    </font>
    <font>
      <sz val="11"/>
      <color theme="1"/>
      <name val="WenQuanYi Zen Hei"/>
      <family val="2"/>
    </font>
    <font>
      <sz val="10"/>
      <color theme="1"/>
      <name val="游ゴシック"/>
      <family val="3"/>
      <charset val="128"/>
    </font>
    <font>
      <b val="true"/>
      <sz val="11"/>
      <color rgb="FFFF0000"/>
      <name val="游ゴシック"/>
      <family val="3"/>
      <charset val="128"/>
    </font>
    <font>
      <sz val="10"/>
      <name val="Arial"/>
      <family val="2"/>
    </font>
    <font>
      <sz val="10"/>
      <name val="WenQuanYi Zen Hei"/>
      <family val="2"/>
    </font>
    <font>
      <sz val="14"/>
      <color theme="1"/>
      <name val="WenQuanYi Zen Hei"/>
      <family val="2"/>
    </font>
    <font>
      <sz val="14"/>
      <color theme="1"/>
      <name val="游ゴシック"/>
      <family val="2"/>
      <charset val="128"/>
    </font>
    <font>
      <sz val="11"/>
      <color rgb="FFFF0000"/>
      <name val="游ゴシック"/>
      <family val="2"/>
      <charset val="128"/>
    </font>
    <font>
      <b val="true"/>
      <sz val="18"/>
      <name val="ＭＳ Ｐゴシック"/>
      <family val="3"/>
      <charset val="128"/>
    </font>
    <font>
      <b val="true"/>
      <sz val="18"/>
      <name val="WenQuanYi Zen Hei"/>
      <family val="2"/>
    </font>
    <font>
      <sz val="16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z val="12"/>
      <color rgb="FFFF0000"/>
      <name val="WenQuanYi Zen Hei"/>
      <family val="2"/>
    </font>
    <font>
      <sz val="12"/>
      <name val="ＭＳ Ｐゴシック"/>
      <family val="3"/>
      <charset val="128"/>
    </font>
    <font>
      <sz val="16"/>
      <name val="WenQuanYi Zen Hei"/>
      <family val="2"/>
    </font>
    <font>
      <sz val="12"/>
      <name val="WenQuanYi Zen Hei"/>
      <family val="2"/>
    </font>
    <font>
      <sz val="12"/>
      <color rgb="FF0070C0"/>
      <name val="ＭＳ Ｐゴシック"/>
      <family val="3"/>
      <charset val="128"/>
    </font>
    <font>
      <sz val="12"/>
      <color rgb="FF0070C0"/>
      <name val="WenQuanYi Zen Hei"/>
      <family val="2"/>
    </font>
    <font>
      <sz val="12"/>
      <color theme="1"/>
      <name val="ＭＳ Ｐゴシック"/>
      <family val="3"/>
      <charset val="128"/>
    </font>
    <font>
      <sz val="12"/>
      <color theme="1"/>
      <name val="WenQuanYi Zen Hei"/>
      <family val="2"/>
    </font>
    <font>
      <sz val="12"/>
      <color rgb="FF000000"/>
      <name val="ＭＳ Ｐゴシック"/>
      <family val="3"/>
      <charset val="128"/>
    </font>
    <font>
      <sz val="12"/>
      <color rgb="FF000000"/>
      <name val="WenQuanYi Zen He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 tint="-0.15"/>
        <bgColor rgb="FFF8CBAD"/>
      </patternFill>
    </fill>
    <fill>
      <patternFill patternType="solid">
        <fgColor rgb="FFFFC000"/>
        <bgColor rgb="FFFF9900"/>
      </patternFill>
    </fill>
    <fill>
      <patternFill patternType="solid">
        <fgColor rgb="FF9BC2E6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theme="5" tint="0.5999"/>
        <bgColor rgb="FFD9D9D9"/>
      </patternFill>
    </fill>
    <fill>
      <patternFill patternType="solid">
        <fgColor rgb="FF92D050"/>
        <bgColor rgb="FFC0C0C0"/>
      </patternFill>
    </fill>
  </fills>
  <borders count="6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true" diagonalDown="false">
      <left style="thin"/>
      <right style="thin"/>
      <top style="thin"/>
      <bottom style="medium"/>
      <diagonal style="thin"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2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2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4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4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3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2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9" fillId="0" borderId="5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5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5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3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3" fillId="0" borderId="5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24" fillId="0" borderId="5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1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3" fillId="0" borderId="5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5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4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3" fillId="0" borderId="58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3" fillId="0" borderId="5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0" xfId="2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7" fontId="22" fillId="0" borderId="42" xfId="2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7" fontId="23" fillId="0" borderId="5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0" borderId="20" xfId="2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7" fontId="25" fillId="0" borderId="5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26" fillId="0" borderId="56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8" borderId="5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8" borderId="2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3" fillId="8" borderId="5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8" borderId="5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8" borderId="1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3" fillId="8" borderId="5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8" borderId="20" xfId="2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7" fontId="23" fillId="8" borderId="4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5" fillId="0" borderId="13" xfId="2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7" fontId="25" fillId="0" borderId="5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0" borderId="2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6" fillId="0" borderId="1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21" fillId="0" borderId="2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23" fillId="0" borderId="58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21" fillId="0" borderId="1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22" fillId="0" borderId="59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0" borderId="2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3" fillId="0" borderId="58" xfId="2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7" fontId="22" fillId="0" borderId="1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3" fillId="0" borderId="2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5" fillId="0" borderId="58" xfId="2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7" fontId="28" fillId="0" borderId="1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3" fillId="8" borderId="20" xfId="2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7" fontId="23" fillId="8" borderId="58" xfId="2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7" fontId="25" fillId="8" borderId="2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8" borderId="4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6" fillId="0" borderId="59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0" borderId="20" xfId="2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7" fontId="29" fillId="0" borderId="14" xfId="2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7" fontId="30" fillId="0" borderId="2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5" fillId="8" borderId="20" xfId="2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7" fontId="25" fillId="8" borderId="20" xfId="2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7" fontId="31" fillId="0" borderId="2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9" fillId="0" borderId="4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3" fillId="0" borderId="4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8" fillId="8" borderId="5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0" borderId="5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3" fillId="0" borderId="1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3" fillId="0" borderId="42" xfId="2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7" fontId="24" fillId="0" borderId="6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0" borderId="6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3" fillId="0" borderId="62" xfId="2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3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BC2E6"/>
      <rgbColor rgb="FFFF99CC"/>
      <rgbColor rgb="FFCC99FF"/>
      <rgbColor rgb="FFF8CBAD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テーマ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69"/>
  <sheetViews>
    <sheetView showFormulas="false" showGridLines="true" showRowColHeaders="true" showZeros="true" rightToLeft="false" tabSelected="false" showOutlineSymbols="true" defaultGridColor="true" view="pageBreakPreview" topLeftCell="A234" colorId="64" zoomScale="100" zoomScaleNormal="85" zoomScalePageLayoutView="100" workbookViewId="0">
      <selection pane="topLeft" activeCell="I240" activeCellId="0" sqref="I240"/>
    </sheetView>
  </sheetViews>
  <sheetFormatPr defaultColWidth="9" defaultRowHeight="17.25" zeroHeight="false" outlineLevelRow="0" outlineLevelCol="0"/>
  <cols>
    <col collapsed="false" customWidth="true" hidden="false" outlineLevel="0" max="1" min="1" style="1" width="8.76"/>
    <col collapsed="false" customWidth="true" hidden="false" outlineLevel="0" max="2" min="2" style="1" width="3.5"/>
    <col collapsed="false" customWidth="true" hidden="false" outlineLevel="0" max="3" min="3" style="2" width="23.25"/>
    <col collapsed="false" customWidth="true" hidden="false" outlineLevel="0" max="4" min="4" style="3" width="4.37"/>
    <col collapsed="false" customWidth="true" hidden="false" outlineLevel="0" max="21" min="5" style="1" width="4.37"/>
    <col collapsed="false" customWidth="false" hidden="false" outlineLevel="0" max="22" min="22" style="4" width="9"/>
    <col collapsed="false" customWidth="true" hidden="false" outlineLevel="0" max="23" min="23" style="4" width="13.37"/>
    <col collapsed="false" customWidth="true" hidden="false" outlineLevel="0" max="43" min="24" style="4" width="4.37"/>
    <col collapsed="false" customWidth="false" hidden="false" outlineLevel="0" max="16384" min="44" style="4" width="9"/>
  </cols>
  <sheetData>
    <row r="1" customFormat="false" ht="18" hidden="false" customHeight="true" outlineLevel="0" collapsed="false">
      <c r="A1" s="5"/>
      <c r="B1" s="6"/>
      <c r="C1" s="7"/>
      <c r="D1" s="6" t="s">
        <v>0</v>
      </c>
      <c r="E1" s="6"/>
      <c r="F1" s="6"/>
      <c r="G1" s="6"/>
      <c r="H1" s="6"/>
      <c r="I1" s="6"/>
      <c r="J1" s="6" t="s">
        <v>1</v>
      </c>
      <c r="K1" s="6"/>
      <c r="L1" s="6"/>
      <c r="M1" s="6"/>
      <c r="N1" s="6"/>
      <c r="O1" s="6"/>
      <c r="P1" s="8" t="s">
        <v>2</v>
      </c>
      <c r="Q1" s="8"/>
      <c r="R1" s="8"/>
      <c r="S1" s="8"/>
      <c r="T1" s="8"/>
      <c r="U1" s="8"/>
    </row>
    <row r="2" customFormat="false" ht="18" hidden="false" customHeight="true" outlineLevel="0" collapsed="false">
      <c r="A2" s="9" t="s">
        <v>3</v>
      </c>
      <c r="B2" s="10" t="s">
        <v>4</v>
      </c>
      <c r="C2" s="11"/>
      <c r="D2" s="9" t="n">
        <v>1</v>
      </c>
      <c r="E2" s="12" t="n">
        <v>2</v>
      </c>
      <c r="F2" s="12" t="n">
        <v>3</v>
      </c>
      <c r="G2" s="12" t="n">
        <v>4</v>
      </c>
      <c r="H2" s="12" t="n">
        <v>5</v>
      </c>
      <c r="I2" s="13" t="n">
        <v>6</v>
      </c>
      <c r="J2" s="9" t="n">
        <v>1</v>
      </c>
      <c r="K2" s="12" t="n">
        <v>2</v>
      </c>
      <c r="L2" s="12" t="n">
        <v>3</v>
      </c>
      <c r="M2" s="12" t="n">
        <v>4</v>
      </c>
      <c r="N2" s="12" t="n">
        <v>5</v>
      </c>
      <c r="O2" s="10" t="n">
        <v>6</v>
      </c>
      <c r="P2" s="9" t="n">
        <v>1</v>
      </c>
      <c r="Q2" s="12" t="n">
        <v>2</v>
      </c>
      <c r="R2" s="12" t="n">
        <v>3</v>
      </c>
      <c r="S2" s="12" t="n">
        <v>4</v>
      </c>
      <c r="T2" s="12" t="n">
        <v>5</v>
      </c>
      <c r="U2" s="10" t="n">
        <v>6</v>
      </c>
      <c r="W2" s="14" t="s">
        <v>5</v>
      </c>
    </row>
    <row r="3" customFormat="false" ht="17.25" hidden="false" customHeight="false" outlineLevel="0" collapsed="false">
      <c r="A3" s="15" t="n">
        <v>46478</v>
      </c>
      <c r="B3" s="16" t="s">
        <v>6</v>
      </c>
      <c r="C3" s="17" t="s">
        <v>7</v>
      </c>
      <c r="D3" s="18"/>
      <c r="E3" s="19"/>
      <c r="F3" s="19"/>
      <c r="G3" s="19"/>
      <c r="H3" s="19"/>
      <c r="I3" s="20"/>
      <c r="J3" s="18"/>
      <c r="K3" s="19"/>
      <c r="L3" s="19"/>
      <c r="M3" s="19"/>
      <c r="N3" s="19"/>
      <c r="O3" s="21"/>
      <c r="P3" s="18"/>
      <c r="Q3" s="19"/>
      <c r="R3" s="19"/>
      <c r="S3" s="19"/>
      <c r="T3" s="19"/>
      <c r="U3" s="21"/>
    </row>
    <row r="4" customFormat="false" ht="17.25" hidden="false" customHeight="false" outlineLevel="0" collapsed="false">
      <c r="A4" s="15" t="n">
        <v>46479</v>
      </c>
      <c r="B4" s="16" t="s">
        <v>8</v>
      </c>
      <c r="C4" s="17" t="s">
        <v>9</v>
      </c>
      <c r="D4" s="22"/>
      <c r="E4" s="23"/>
      <c r="F4" s="23"/>
      <c r="G4" s="23"/>
      <c r="H4" s="23"/>
      <c r="I4" s="24"/>
      <c r="J4" s="22"/>
      <c r="K4" s="23"/>
      <c r="L4" s="23"/>
      <c r="M4" s="23"/>
      <c r="N4" s="23"/>
      <c r="O4" s="25"/>
      <c r="P4" s="22"/>
      <c r="Q4" s="23"/>
      <c r="R4" s="23"/>
      <c r="S4" s="23"/>
      <c r="T4" s="23"/>
      <c r="U4" s="25"/>
    </row>
    <row r="5" customFormat="false" ht="17.25" hidden="false" customHeight="false" outlineLevel="0" collapsed="false">
      <c r="A5" s="26" t="n">
        <v>46480</v>
      </c>
      <c r="B5" s="27" t="s">
        <v>10</v>
      </c>
      <c r="C5" s="17" t="s">
        <v>11</v>
      </c>
      <c r="D5" s="22"/>
      <c r="E5" s="23"/>
      <c r="F5" s="23"/>
      <c r="G5" s="23"/>
      <c r="H5" s="23"/>
      <c r="I5" s="24"/>
      <c r="J5" s="22"/>
      <c r="K5" s="23"/>
      <c r="L5" s="23"/>
      <c r="M5" s="23"/>
      <c r="N5" s="23"/>
      <c r="O5" s="25"/>
      <c r="P5" s="22"/>
      <c r="Q5" s="23"/>
      <c r="R5" s="23"/>
      <c r="S5" s="23"/>
      <c r="T5" s="23"/>
      <c r="U5" s="25"/>
    </row>
    <row r="6" customFormat="false" ht="17.25" hidden="false" customHeight="false" outlineLevel="0" collapsed="false">
      <c r="A6" s="26" t="n">
        <v>46481</v>
      </c>
      <c r="B6" s="27" t="s">
        <v>4</v>
      </c>
      <c r="C6" s="17" t="s">
        <v>12</v>
      </c>
      <c r="D6" s="22"/>
      <c r="E6" s="23"/>
      <c r="F6" s="23"/>
      <c r="G6" s="23"/>
      <c r="H6" s="23"/>
      <c r="I6" s="24"/>
      <c r="J6" s="22"/>
      <c r="K6" s="23"/>
      <c r="L6" s="23"/>
      <c r="M6" s="23"/>
      <c r="N6" s="23"/>
      <c r="O6" s="25"/>
      <c r="P6" s="22"/>
      <c r="Q6" s="23"/>
      <c r="R6" s="23"/>
      <c r="S6" s="23"/>
      <c r="T6" s="23"/>
      <c r="U6" s="25"/>
    </row>
    <row r="7" customFormat="false" ht="17.25" hidden="false" customHeight="false" outlineLevel="0" collapsed="false">
      <c r="A7" s="15" t="n">
        <v>46482</v>
      </c>
      <c r="B7" s="16" t="s">
        <v>3</v>
      </c>
      <c r="C7" s="28"/>
      <c r="D7" s="22"/>
      <c r="E7" s="23"/>
      <c r="F7" s="23"/>
      <c r="G7" s="23"/>
      <c r="H7" s="23"/>
      <c r="I7" s="24"/>
      <c r="J7" s="22"/>
      <c r="K7" s="23"/>
      <c r="L7" s="23"/>
      <c r="M7" s="23"/>
      <c r="N7" s="23"/>
      <c r="O7" s="25"/>
      <c r="P7" s="22"/>
      <c r="Q7" s="23"/>
      <c r="R7" s="23"/>
      <c r="S7" s="23"/>
      <c r="T7" s="23"/>
      <c r="U7" s="25"/>
      <c r="W7" s="29" t="s">
        <v>13</v>
      </c>
    </row>
    <row r="8" customFormat="false" ht="17.25" hidden="false" customHeight="false" outlineLevel="0" collapsed="false">
      <c r="A8" s="15" t="n">
        <v>46483</v>
      </c>
      <c r="B8" s="16" t="s">
        <v>14</v>
      </c>
      <c r="C8" s="30" t="s">
        <v>15</v>
      </c>
      <c r="D8" s="31"/>
      <c r="E8" s="32"/>
      <c r="F8" s="32"/>
      <c r="G8" s="32"/>
      <c r="H8" s="32"/>
      <c r="I8" s="33"/>
      <c r="J8" s="31"/>
      <c r="K8" s="34" t="s">
        <v>16</v>
      </c>
      <c r="L8" s="35"/>
      <c r="M8" s="36"/>
      <c r="N8" s="32"/>
      <c r="O8" s="37"/>
      <c r="P8" s="31"/>
      <c r="Q8" s="38" t="s">
        <v>16</v>
      </c>
      <c r="R8" s="35"/>
      <c r="S8" s="36"/>
      <c r="T8" s="32"/>
      <c r="U8" s="37"/>
    </row>
    <row r="9" customFormat="false" ht="17.25" hidden="false" customHeight="false" outlineLevel="0" collapsed="false">
      <c r="A9" s="15" t="n">
        <v>46484</v>
      </c>
      <c r="B9" s="16" t="s">
        <v>17</v>
      </c>
      <c r="C9" s="30" t="s">
        <v>18</v>
      </c>
      <c r="D9" s="39"/>
      <c r="E9" s="36"/>
      <c r="F9" s="38" t="s">
        <v>16</v>
      </c>
      <c r="G9" s="32"/>
      <c r="H9" s="32"/>
      <c r="I9" s="33"/>
      <c r="J9" s="40" t="s">
        <v>16</v>
      </c>
      <c r="K9" s="41" t="s">
        <v>16</v>
      </c>
      <c r="L9" s="42" t="s">
        <v>16</v>
      </c>
      <c r="M9" s="38" t="s">
        <v>16</v>
      </c>
      <c r="N9" s="32"/>
      <c r="O9" s="37"/>
      <c r="P9" s="40" t="s">
        <v>16</v>
      </c>
      <c r="Q9" s="41" t="s">
        <v>16</v>
      </c>
      <c r="R9" s="42" t="s">
        <v>16</v>
      </c>
      <c r="S9" s="38" t="s">
        <v>16</v>
      </c>
      <c r="T9" s="32"/>
      <c r="U9" s="37"/>
      <c r="X9" s="29" t="s">
        <v>19</v>
      </c>
      <c r="Y9" s="29" t="s">
        <v>20</v>
      </c>
      <c r="Z9" s="29" t="s">
        <v>21</v>
      </c>
      <c r="AA9" s="29" t="s">
        <v>22</v>
      </c>
      <c r="AB9" s="29" t="s">
        <v>23</v>
      </c>
      <c r="AC9" s="29" t="s">
        <v>7</v>
      </c>
      <c r="AD9" s="29" t="s">
        <v>19</v>
      </c>
      <c r="AE9" s="29" t="s">
        <v>20</v>
      </c>
      <c r="AF9" s="29" t="s">
        <v>21</v>
      </c>
      <c r="AG9" s="29" t="s">
        <v>22</v>
      </c>
      <c r="AH9" s="29" t="s">
        <v>23</v>
      </c>
      <c r="AI9" s="29" t="s">
        <v>7</v>
      </c>
      <c r="AJ9" s="29" t="s">
        <v>19</v>
      </c>
      <c r="AK9" s="29" t="s">
        <v>20</v>
      </c>
      <c r="AL9" s="29" t="s">
        <v>21</v>
      </c>
      <c r="AM9" s="29" t="s">
        <v>22</v>
      </c>
      <c r="AN9" s="29" t="s">
        <v>23</v>
      </c>
      <c r="AO9" s="29" t="s">
        <v>7</v>
      </c>
    </row>
    <row r="10" customFormat="false" ht="17.25" hidden="false" customHeight="false" outlineLevel="0" collapsed="false">
      <c r="A10" s="15" t="n">
        <v>46485</v>
      </c>
      <c r="B10" s="16" t="s">
        <v>6</v>
      </c>
      <c r="C10" s="30" t="s">
        <v>24</v>
      </c>
      <c r="D10" s="31"/>
      <c r="E10" s="32"/>
      <c r="F10" s="38" t="s">
        <v>16</v>
      </c>
      <c r="G10" s="38" t="s">
        <v>16</v>
      </c>
      <c r="H10" s="32"/>
      <c r="I10" s="33"/>
      <c r="J10" s="31"/>
      <c r="K10" s="38" t="s">
        <v>16</v>
      </c>
      <c r="L10" s="32"/>
      <c r="M10" s="38" t="s">
        <v>16</v>
      </c>
      <c r="N10" s="32"/>
      <c r="O10" s="37"/>
      <c r="P10" s="31"/>
      <c r="Q10" s="38" t="s">
        <v>16</v>
      </c>
      <c r="R10" s="35"/>
      <c r="S10" s="36"/>
      <c r="T10" s="32"/>
      <c r="U10" s="37"/>
      <c r="X10" s="29" t="s">
        <v>25</v>
      </c>
      <c r="Y10" s="29" t="s">
        <v>26</v>
      </c>
      <c r="Z10" s="29" t="s">
        <v>27</v>
      </c>
      <c r="AA10" s="29" t="s">
        <v>28</v>
      </c>
      <c r="AB10" s="29" t="s">
        <v>29</v>
      </c>
      <c r="AC10" s="29" t="s">
        <v>9</v>
      </c>
      <c r="AD10" s="29" t="s">
        <v>25</v>
      </c>
      <c r="AE10" s="29" t="s">
        <v>26</v>
      </c>
      <c r="AF10" s="29" t="s">
        <v>27</v>
      </c>
      <c r="AG10" s="29" t="s">
        <v>28</v>
      </c>
      <c r="AH10" s="29" t="s">
        <v>29</v>
      </c>
      <c r="AI10" s="29" t="s">
        <v>9</v>
      </c>
      <c r="AJ10" s="29" t="s">
        <v>25</v>
      </c>
      <c r="AK10" s="29" t="s">
        <v>26</v>
      </c>
      <c r="AL10" s="29" t="s">
        <v>27</v>
      </c>
      <c r="AM10" s="29" t="s">
        <v>28</v>
      </c>
      <c r="AN10" s="29" t="s">
        <v>29</v>
      </c>
      <c r="AO10" s="29" t="s">
        <v>9</v>
      </c>
    </row>
    <row r="11" customFormat="false" ht="17.25" hidden="false" customHeight="false" outlineLevel="0" collapsed="false">
      <c r="A11" s="15" t="n">
        <v>46486</v>
      </c>
      <c r="B11" s="16" t="s">
        <v>8</v>
      </c>
      <c r="C11" s="30" t="s">
        <v>30</v>
      </c>
      <c r="D11" s="43" t="s">
        <v>16</v>
      </c>
      <c r="E11" s="32"/>
      <c r="F11" s="35"/>
      <c r="G11" s="36"/>
      <c r="H11" s="32"/>
      <c r="I11" s="33"/>
      <c r="J11" s="31"/>
      <c r="K11" s="32"/>
      <c r="L11" s="38" t="s">
        <v>16</v>
      </c>
      <c r="M11" s="38" t="s">
        <v>16</v>
      </c>
      <c r="N11" s="32"/>
      <c r="O11" s="37"/>
      <c r="P11" s="31"/>
      <c r="Q11" s="38" t="s">
        <v>16</v>
      </c>
      <c r="R11" s="32"/>
      <c r="S11" s="38" t="s">
        <v>16</v>
      </c>
      <c r="T11" s="32"/>
      <c r="U11" s="37"/>
      <c r="X11" s="29" t="s">
        <v>31</v>
      </c>
      <c r="Y11" s="29" t="s">
        <v>32</v>
      </c>
      <c r="Z11" s="29" t="s">
        <v>33</v>
      </c>
      <c r="AA11" s="29" t="s">
        <v>34</v>
      </c>
      <c r="AB11" s="29" t="s">
        <v>35</v>
      </c>
      <c r="AC11" s="29" t="s">
        <v>11</v>
      </c>
      <c r="AD11" s="29" t="s">
        <v>31</v>
      </c>
      <c r="AE11" s="29" t="s">
        <v>32</v>
      </c>
      <c r="AF11" s="29" t="s">
        <v>33</v>
      </c>
      <c r="AG11" s="29" t="s">
        <v>34</v>
      </c>
      <c r="AH11" s="29" t="s">
        <v>35</v>
      </c>
      <c r="AI11" s="29" t="s">
        <v>11</v>
      </c>
      <c r="AJ11" s="29" t="s">
        <v>31</v>
      </c>
      <c r="AK11" s="29" t="s">
        <v>32</v>
      </c>
      <c r="AL11" s="29" t="s">
        <v>33</v>
      </c>
      <c r="AM11" s="29" t="s">
        <v>34</v>
      </c>
      <c r="AN11" s="29" t="s">
        <v>35</v>
      </c>
      <c r="AO11" s="29" t="s">
        <v>11</v>
      </c>
    </row>
    <row r="12" customFormat="false" ht="17.25" hidden="false" customHeight="false" outlineLevel="0" collapsed="false">
      <c r="A12" s="26" t="n">
        <v>46487</v>
      </c>
      <c r="B12" s="27" t="s">
        <v>10</v>
      </c>
      <c r="C12" s="17"/>
      <c r="D12" s="39"/>
      <c r="E12" s="32"/>
      <c r="F12" s="32"/>
      <c r="G12" s="32"/>
      <c r="H12" s="32"/>
      <c r="I12" s="33"/>
      <c r="J12" s="31"/>
      <c r="K12" s="32"/>
      <c r="L12" s="35"/>
      <c r="M12" s="36"/>
      <c r="N12" s="32"/>
      <c r="O12" s="37"/>
      <c r="P12" s="31"/>
      <c r="Q12" s="32"/>
      <c r="R12" s="32"/>
      <c r="S12" s="32"/>
      <c r="T12" s="32"/>
      <c r="U12" s="37"/>
      <c r="X12" s="29" t="s">
        <v>36</v>
      </c>
      <c r="Y12" s="29" t="s">
        <v>37</v>
      </c>
      <c r="Z12" s="29" t="s">
        <v>38</v>
      </c>
      <c r="AA12" s="29" t="s">
        <v>39</v>
      </c>
      <c r="AB12" s="29" t="s">
        <v>40</v>
      </c>
      <c r="AD12" s="29" t="s">
        <v>36</v>
      </c>
      <c r="AE12" s="29" t="s">
        <v>37</v>
      </c>
      <c r="AF12" s="29" t="s">
        <v>38</v>
      </c>
      <c r="AG12" s="29" t="s">
        <v>39</v>
      </c>
      <c r="AH12" s="29" t="s">
        <v>40</v>
      </c>
      <c r="AJ12" s="29" t="s">
        <v>36</v>
      </c>
      <c r="AK12" s="29" t="s">
        <v>37</v>
      </c>
      <c r="AL12" s="29" t="s">
        <v>38</v>
      </c>
      <c r="AM12" s="29" t="s">
        <v>39</v>
      </c>
      <c r="AN12" s="29" t="s">
        <v>40</v>
      </c>
    </row>
    <row r="13" customFormat="false" ht="17.25" hidden="false" customHeight="false" outlineLevel="0" collapsed="false">
      <c r="A13" s="26" t="n">
        <v>46488</v>
      </c>
      <c r="B13" s="27" t="s">
        <v>4</v>
      </c>
      <c r="C13" s="17"/>
      <c r="D13" s="22"/>
      <c r="E13" s="23"/>
      <c r="F13" s="23"/>
      <c r="G13" s="23"/>
      <c r="H13" s="23"/>
      <c r="I13" s="24"/>
      <c r="J13" s="22"/>
      <c r="K13" s="23"/>
      <c r="L13" s="23"/>
      <c r="M13" s="23"/>
      <c r="N13" s="23"/>
      <c r="O13" s="25"/>
      <c r="P13" s="22"/>
      <c r="Q13" s="23"/>
      <c r="R13" s="23"/>
      <c r="S13" s="23"/>
      <c r="T13" s="23"/>
      <c r="U13" s="25"/>
      <c r="X13" s="29" t="s">
        <v>41</v>
      </c>
      <c r="Y13" s="29" t="s">
        <v>42</v>
      </c>
      <c r="Z13" s="29" t="s">
        <v>43</v>
      </c>
      <c r="AA13" s="29" t="s">
        <v>44</v>
      </c>
      <c r="AB13" s="29" t="s">
        <v>45</v>
      </c>
      <c r="AC13" s="29" t="s">
        <v>12</v>
      </c>
      <c r="AD13" s="29" t="s">
        <v>41</v>
      </c>
      <c r="AE13" s="29" t="s">
        <v>42</v>
      </c>
      <c r="AF13" s="29" t="s">
        <v>43</v>
      </c>
      <c r="AG13" s="29" t="s">
        <v>44</v>
      </c>
      <c r="AH13" s="29" t="s">
        <v>45</v>
      </c>
      <c r="AI13" s="29" t="s">
        <v>12</v>
      </c>
      <c r="AJ13" s="29" t="s">
        <v>41</v>
      </c>
      <c r="AK13" s="29" t="s">
        <v>42</v>
      </c>
      <c r="AL13" s="29" t="s">
        <v>43</v>
      </c>
      <c r="AM13" s="29" t="s">
        <v>44</v>
      </c>
      <c r="AN13" s="29" t="s">
        <v>45</v>
      </c>
      <c r="AO13" s="29" t="s">
        <v>12</v>
      </c>
    </row>
    <row r="14" customFormat="false" ht="17.25" hidden="false" customHeight="false" outlineLevel="0" collapsed="false">
      <c r="A14" s="15" t="n">
        <v>46489</v>
      </c>
      <c r="B14" s="16" t="s">
        <v>3</v>
      </c>
      <c r="C14" s="30" t="s">
        <v>46</v>
      </c>
      <c r="D14" s="44" t="s">
        <v>16</v>
      </c>
      <c r="E14" s="23"/>
      <c r="F14" s="23"/>
      <c r="G14" s="45" t="s">
        <v>16</v>
      </c>
      <c r="H14" s="23"/>
      <c r="I14" s="24"/>
      <c r="J14" s="44" t="s">
        <v>16</v>
      </c>
      <c r="K14" s="23"/>
      <c r="L14" s="23"/>
      <c r="M14" s="23"/>
      <c r="N14" s="23"/>
      <c r="O14" s="25"/>
      <c r="P14" s="22"/>
      <c r="Q14" s="23"/>
      <c r="R14" s="45" t="s">
        <v>16</v>
      </c>
      <c r="S14" s="45" t="s">
        <v>16</v>
      </c>
      <c r="T14" s="23"/>
      <c r="U14" s="25"/>
    </row>
    <row r="15" customFormat="false" ht="17.25" hidden="false" customHeight="false" outlineLevel="0" collapsed="false">
      <c r="A15" s="15" t="n">
        <v>46490</v>
      </c>
      <c r="B15" s="16" t="s">
        <v>14</v>
      </c>
      <c r="C15" s="30" t="s">
        <v>47</v>
      </c>
      <c r="D15" s="43" t="s">
        <v>16</v>
      </c>
      <c r="E15" s="38" t="s">
        <v>16</v>
      </c>
      <c r="F15" s="38" t="s">
        <v>16</v>
      </c>
      <c r="G15" s="38" t="s">
        <v>16</v>
      </c>
      <c r="H15" s="38" t="s">
        <v>16</v>
      </c>
      <c r="I15" s="34" t="s">
        <v>16</v>
      </c>
      <c r="J15" s="43" t="s">
        <v>16</v>
      </c>
      <c r="K15" s="38" t="s">
        <v>16</v>
      </c>
      <c r="L15" s="38" t="s">
        <v>16</v>
      </c>
      <c r="M15" s="38" t="s">
        <v>16</v>
      </c>
      <c r="N15" s="38" t="s">
        <v>16</v>
      </c>
      <c r="O15" s="46" t="s">
        <v>16</v>
      </c>
      <c r="P15" s="43" t="s">
        <v>16</v>
      </c>
      <c r="Q15" s="38" t="s">
        <v>16</v>
      </c>
      <c r="R15" s="38" t="s">
        <v>16</v>
      </c>
      <c r="S15" s="38" t="s">
        <v>16</v>
      </c>
      <c r="T15" s="38" t="s">
        <v>16</v>
      </c>
      <c r="U15" s="46" t="s">
        <v>16</v>
      </c>
    </row>
    <row r="16" customFormat="false" ht="17.25" hidden="false" customHeight="false" outlineLevel="0" collapsed="false">
      <c r="A16" s="15" t="n">
        <v>46491</v>
      </c>
      <c r="B16" s="16" t="s">
        <v>17</v>
      </c>
      <c r="C16" s="30" t="s">
        <v>48</v>
      </c>
      <c r="D16" s="43" t="s">
        <v>31</v>
      </c>
      <c r="E16" s="38" t="s">
        <v>32</v>
      </c>
      <c r="F16" s="47" t="s">
        <v>7</v>
      </c>
      <c r="G16" s="38" t="s">
        <v>34</v>
      </c>
      <c r="H16" s="38" t="s">
        <v>35</v>
      </c>
      <c r="I16" s="34" t="s">
        <v>11</v>
      </c>
      <c r="J16" s="43" t="s">
        <v>31</v>
      </c>
      <c r="K16" s="38" t="s">
        <v>32</v>
      </c>
      <c r="L16" s="47" t="s">
        <v>7</v>
      </c>
      <c r="M16" s="38" t="s">
        <v>34</v>
      </c>
      <c r="N16" s="38" t="s">
        <v>35</v>
      </c>
      <c r="O16" s="46" t="s">
        <v>11</v>
      </c>
      <c r="P16" s="43" t="s">
        <v>31</v>
      </c>
      <c r="Q16" s="38" t="s">
        <v>32</v>
      </c>
      <c r="R16" s="47" t="s">
        <v>7</v>
      </c>
      <c r="S16" s="38" t="s">
        <v>34</v>
      </c>
      <c r="T16" s="38" t="s">
        <v>35</v>
      </c>
      <c r="U16" s="46" t="s">
        <v>11</v>
      </c>
    </row>
    <row r="17" customFormat="false" ht="17.25" hidden="false" customHeight="false" outlineLevel="0" collapsed="false">
      <c r="A17" s="15" t="n">
        <v>46492</v>
      </c>
      <c r="B17" s="16" t="s">
        <v>6</v>
      </c>
      <c r="C17" s="30" t="s">
        <v>49</v>
      </c>
      <c r="D17" s="44" t="s">
        <v>36</v>
      </c>
      <c r="E17" s="45" t="s">
        <v>37</v>
      </c>
      <c r="F17" s="45" t="s">
        <v>38</v>
      </c>
      <c r="G17" s="45" t="s">
        <v>39</v>
      </c>
      <c r="H17" s="45" t="s">
        <v>40</v>
      </c>
      <c r="I17" s="24"/>
      <c r="J17" s="44" t="s">
        <v>36</v>
      </c>
      <c r="K17" s="45" t="s">
        <v>37</v>
      </c>
      <c r="L17" s="45" t="s">
        <v>38</v>
      </c>
      <c r="M17" s="45" t="s">
        <v>39</v>
      </c>
      <c r="N17" s="45" t="s">
        <v>40</v>
      </c>
      <c r="O17" s="25"/>
      <c r="P17" s="22"/>
      <c r="Q17" s="23"/>
      <c r="R17" s="23"/>
      <c r="S17" s="45" t="s">
        <v>39</v>
      </c>
      <c r="T17" s="45" t="s">
        <v>40</v>
      </c>
      <c r="U17" s="25"/>
      <c r="V17" s="48"/>
    </row>
    <row r="18" customFormat="false" ht="17.25" hidden="false" customHeight="false" outlineLevel="0" collapsed="false">
      <c r="A18" s="15" t="n">
        <v>46493</v>
      </c>
      <c r="B18" s="16" t="s">
        <v>8</v>
      </c>
      <c r="C18" s="30" t="s">
        <v>50</v>
      </c>
      <c r="D18" s="44" t="s">
        <v>41</v>
      </c>
      <c r="E18" s="45" t="s">
        <v>42</v>
      </c>
      <c r="F18" s="45" t="s">
        <v>43</v>
      </c>
      <c r="G18" s="45" t="s">
        <v>44</v>
      </c>
      <c r="H18" s="45" t="s">
        <v>45</v>
      </c>
      <c r="I18" s="33"/>
      <c r="J18" s="44" t="s">
        <v>41</v>
      </c>
      <c r="K18" s="45" t="s">
        <v>42</v>
      </c>
      <c r="L18" s="45" t="s">
        <v>43</v>
      </c>
      <c r="M18" s="45" t="s">
        <v>44</v>
      </c>
      <c r="N18" s="45" t="s">
        <v>45</v>
      </c>
      <c r="O18" s="37"/>
      <c r="P18" s="44" t="s">
        <v>41</v>
      </c>
      <c r="Q18" s="45" t="s">
        <v>42</v>
      </c>
      <c r="R18" s="45" t="s">
        <v>43</v>
      </c>
      <c r="S18" s="45" t="s">
        <v>44</v>
      </c>
      <c r="T18" s="45" t="s">
        <v>45</v>
      </c>
      <c r="U18" s="37"/>
    </row>
    <row r="19" customFormat="false" ht="17.25" hidden="false" customHeight="false" outlineLevel="0" collapsed="false">
      <c r="A19" s="26" t="n">
        <v>46494</v>
      </c>
      <c r="B19" s="27" t="s">
        <v>10</v>
      </c>
      <c r="C19" s="17"/>
      <c r="D19" s="22"/>
      <c r="E19" s="23"/>
      <c r="F19" s="23"/>
      <c r="G19" s="23"/>
      <c r="H19" s="23"/>
      <c r="I19" s="24"/>
      <c r="J19" s="22"/>
      <c r="K19" s="23"/>
      <c r="L19" s="23"/>
      <c r="M19" s="23"/>
      <c r="N19" s="23"/>
      <c r="O19" s="25"/>
      <c r="P19" s="49"/>
      <c r="Q19" s="50"/>
      <c r="R19" s="50"/>
      <c r="S19" s="50"/>
      <c r="T19" s="50"/>
      <c r="U19" s="51"/>
    </row>
    <row r="20" customFormat="false" ht="17.25" hidden="false" customHeight="false" outlineLevel="0" collapsed="false">
      <c r="A20" s="26" t="n">
        <v>46495</v>
      </c>
      <c r="B20" s="27" t="s">
        <v>4</v>
      </c>
      <c r="C20" s="17"/>
      <c r="D20" s="22"/>
      <c r="E20" s="23"/>
      <c r="F20" s="23"/>
      <c r="G20" s="23"/>
      <c r="H20" s="23"/>
      <c r="I20" s="24"/>
      <c r="J20" s="22"/>
      <c r="K20" s="23"/>
      <c r="L20" s="23"/>
      <c r="M20" s="23"/>
      <c r="N20" s="23"/>
      <c r="O20" s="25"/>
      <c r="P20" s="22"/>
      <c r="Q20" s="23"/>
      <c r="R20" s="23"/>
      <c r="S20" s="23"/>
      <c r="T20" s="23"/>
      <c r="U20" s="25"/>
    </row>
    <row r="21" customFormat="false" ht="17.25" hidden="false" customHeight="false" outlineLevel="0" collapsed="false">
      <c r="A21" s="15" t="n">
        <v>46496</v>
      </c>
      <c r="B21" s="16" t="s">
        <v>3</v>
      </c>
      <c r="C21" s="30" t="s">
        <v>51</v>
      </c>
      <c r="D21" s="44" t="s">
        <v>19</v>
      </c>
      <c r="E21" s="45" t="s">
        <v>20</v>
      </c>
      <c r="F21" s="45" t="s">
        <v>21</v>
      </c>
      <c r="G21" s="45" t="s">
        <v>22</v>
      </c>
      <c r="H21" s="45" t="s">
        <v>23</v>
      </c>
      <c r="I21" s="52" t="s">
        <v>7</v>
      </c>
      <c r="J21" s="44" t="s">
        <v>19</v>
      </c>
      <c r="K21" s="45" t="s">
        <v>20</v>
      </c>
      <c r="L21" s="45" t="s">
        <v>21</v>
      </c>
      <c r="M21" s="45" t="s">
        <v>22</v>
      </c>
      <c r="N21" s="45" t="s">
        <v>23</v>
      </c>
      <c r="O21" s="53" t="s">
        <v>7</v>
      </c>
      <c r="P21" s="44" t="s">
        <v>19</v>
      </c>
      <c r="Q21" s="45" t="s">
        <v>20</v>
      </c>
      <c r="R21" s="45" t="s">
        <v>21</v>
      </c>
      <c r="S21" s="45" t="s">
        <v>22</v>
      </c>
      <c r="T21" s="45" t="s">
        <v>23</v>
      </c>
      <c r="U21" s="53" t="s">
        <v>7</v>
      </c>
    </row>
    <row r="22" customFormat="false" ht="17.25" hidden="false" customHeight="false" outlineLevel="0" collapsed="false">
      <c r="A22" s="15" t="n">
        <v>46497</v>
      </c>
      <c r="B22" s="16" t="s">
        <v>14</v>
      </c>
      <c r="C22" s="30" t="s">
        <v>52</v>
      </c>
      <c r="D22" s="44" t="s">
        <v>25</v>
      </c>
      <c r="E22" s="45" t="s">
        <v>26</v>
      </c>
      <c r="F22" s="45" t="s">
        <v>27</v>
      </c>
      <c r="G22" s="45" t="s">
        <v>28</v>
      </c>
      <c r="H22" s="45" t="s">
        <v>29</v>
      </c>
      <c r="I22" s="52" t="s">
        <v>9</v>
      </c>
      <c r="J22" s="44" t="s">
        <v>25</v>
      </c>
      <c r="K22" s="45" t="s">
        <v>26</v>
      </c>
      <c r="L22" s="45" t="s">
        <v>27</v>
      </c>
      <c r="M22" s="45" t="s">
        <v>28</v>
      </c>
      <c r="N22" s="45" t="s">
        <v>29</v>
      </c>
      <c r="O22" s="54" t="s">
        <v>9</v>
      </c>
      <c r="P22" s="44" t="s">
        <v>25</v>
      </c>
      <c r="Q22" s="45" t="s">
        <v>26</v>
      </c>
      <c r="R22" s="45" t="s">
        <v>27</v>
      </c>
      <c r="S22" s="45" t="s">
        <v>28</v>
      </c>
      <c r="T22" s="45" t="s">
        <v>29</v>
      </c>
      <c r="U22" s="53" t="s">
        <v>9</v>
      </c>
    </row>
    <row r="23" customFormat="false" ht="17.25" hidden="false" customHeight="false" outlineLevel="0" collapsed="false">
      <c r="A23" s="15" t="n">
        <v>46498</v>
      </c>
      <c r="B23" s="16" t="s">
        <v>17</v>
      </c>
      <c r="C23" s="28"/>
      <c r="D23" s="44" t="s">
        <v>31</v>
      </c>
      <c r="E23" s="45" t="s">
        <v>32</v>
      </c>
      <c r="F23" s="45" t="s">
        <v>33</v>
      </c>
      <c r="G23" s="45" t="s">
        <v>34</v>
      </c>
      <c r="H23" s="45" t="s">
        <v>35</v>
      </c>
      <c r="I23" s="52" t="s">
        <v>11</v>
      </c>
      <c r="J23" s="44" t="s">
        <v>31</v>
      </c>
      <c r="K23" s="45" t="s">
        <v>32</v>
      </c>
      <c r="L23" s="45" t="s">
        <v>33</v>
      </c>
      <c r="M23" s="45" t="s">
        <v>34</v>
      </c>
      <c r="N23" s="45" t="s">
        <v>35</v>
      </c>
      <c r="O23" s="53" t="s">
        <v>11</v>
      </c>
      <c r="P23" s="44" t="s">
        <v>31</v>
      </c>
      <c r="Q23" s="45" t="s">
        <v>32</v>
      </c>
      <c r="R23" s="45" t="s">
        <v>33</v>
      </c>
      <c r="S23" s="45" t="s">
        <v>34</v>
      </c>
      <c r="T23" s="45" t="s">
        <v>35</v>
      </c>
      <c r="U23" s="53" t="s">
        <v>11</v>
      </c>
    </row>
    <row r="24" customFormat="false" ht="17.25" hidden="false" customHeight="false" outlineLevel="0" collapsed="false">
      <c r="A24" s="15" t="n">
        <v>46499</v>
      </c>
      <c r="B24" s="16" t="s">
        <v>6</v>
      </c>
      <c r="C24" s="28"/>
      <c r="D24" s="44" t="s">
        <v>36</v>
      </c>
      <c r="E24" s="45" t="s">
        <v>37</v>
      </c>
      <c r="F24" s="45" t="s">
        <v>38</v>
      </c>
      <c r="G24" s="45" t="s">
        <v>39</v>
      </c>
      <c r="H24" s="45" t="s">
        <v>40</v>
      </c>
      <c r="I24" s="24"/>
      <c r="J24" s="44" t="s">
        <v>36</v>
      </c>
      <c r="K24" s="45" t="s">
        <v>37</v>
      </c>
      <c r="L24" s="45" t="s">
        <v>38</v>
      </c>
      <c r="M24" s="45" t="s">
        <v>39</v>
      </c>
      <c r="N24" s="45" t="s">
        <v>40</v>
      </c>
      <c r="O24" s="25"/>
      <c r="P24" s="44" t="s">
        <v>36</v>
      </c>
      <c r="Q24" s="45" t="s">
        <v>37</v>
      </c>
      <c r="R24" s="45" t="s">
        <v>38</v>
      </c>
      <c r="S24" s="45" t="s">
        <v>39</v>
      </c>
      <c r="T24" s="45" t="s">
        <v>40</v>
      </c>
      <c r="U24" s="25"/>
    </row>
    <row r="25" customFormat="false" ht="17.25" hidden="false" customHeight="false" outlineLevel="0" collapsed="false">
      <c r="A25" s="15" t="n">
        <v>46500</v>
      </c>
      <c r="B25" s="16" t="s">
        <v>8</v>
      </c>
      <c r="C25" s="30" t="s">
        <v>53</v>
      </c>
      <c r="D25" s="44" t="s">
        <v>41</v>
      </c>
      <c r="E25" s="45" t="s">
        <v>42</v>
      </c>
      <c r="F25" s="45" t="s">
        <v>43</v>
      </c>
      <c r="G25" s="45" t="s">
        <v>44</v>
      </c>
      <c r="H25" s="52" t="s">
        <v>45</v>
      </c>
      <c r="I25" s="34" t="s">
        <v>12</v>
      </c>
      <c r="J25" s="44" t="s">
        <v>41</v>
      </c>
      <c r="K25" s="45" t="s">
        <v>42</v>
      </c>
      <c r="L25" s="45" t="s">
        <v>43</v>
      </c>
      <c r="M25" s="45" t="s">
        <v>44</v>
      </c>
      <c r="N25" s="53" t="s">
        <v>45</v>
      </c>
      <c r="O25" s="46" t="s">
        <v>12</v>
      </c>
      <c r="P25" s="55" t="s">
        <v>41</v>
      </c>
      <c r="Q25" s="56" t="s">
        <v>42</v>
      </c>
      <c r="R25" s="56" t="s">
        <v>43</v>
      </c>
      <c r="S25" s="57" t="s">
        <v>44</v>
      </c>
      <c r="T25" s="52" t="s">
        <v>45</v>
      </c>
      <c r="U25" s="46" t="s">
        <v>12</v>
      </c>
    </row>
    <row r="26" customFormat="false" ht="17.25" hidden="false" customHeight="false" outlineLevel="0" collapsed="false">
      <c r="A26" s="26" t="n">
        <v>46501</v>
      </c>
      <c r="B26" s="27" t="s">
        <v>10</v>
      </c>
      <c r="C26" s="17"/>
      <c r="D26" s="22"/>
      <c r="E26" s="23"/>
      <c r="F26" s="23"/>
      <c r="G26" s="23"/>
      <c r="H26" s="23"/>
      <c r="I26" s="24"/>
      <c r="J26" s="22"/>
      <c r="K26" s="23"/>
      <c r="L26" s="23"/>
      <c r="M26" s="23"/>
      <c r="N26" s="23"/>
      <c r="O26" s="25"/>
      <c r="P26" s="22"/>
      <c r="Q26" s="23"/>
      <c r="R26" s="23"/>
      <c r="S26" s="23"/>
      <c r="T26" s="23"/>
      <c r="U26" s="25"/>
    </row>
    <row r="27" customFormat="false" ht="17.25" hidden="false" customHeight="false" outlineLevel="0" collapsed="false">
      <c r="A27" s="26" t="n">
        <v>46502</v>
      </c>
      <c r="B27" s="27" t="s">
        <v>4</v>
      </c>
      <c r="C27" s="17"/>
      <c r="D27" s="22"/>
      <c r="E27" s="23"/>
      <c r="F27" s="23"/>
      <c r="G27" s="23"/>
      <c r="H27" s="23"/>
      <c r="I27" s="24"/>
      <c r="J27" s="22"/>
      <c r="K27" s="23"/>
      <c r="L27" s="23"/>
      <c r="M27" s="23"/>
      <c r="N27" s="23"/>
      <c r="O27" s="25"/>
      <c r="P27" s="22"/>
      <c r="Q27" s="23"/>
      <c r="R27" s="23"/>
      <c r="S27" s="23"/>
      <c r="T27" s="23"/>
      <c r="U27" s="25"/>
    </row>
    <row r="28" customFormat="false" ht="17.25" hidden="false" customHeight="false" outlineLevel="0" collapsed="false">
      <c r="A28" s="15" t="n">
        <v>46503</v>
      </c>
      <c r="B28" s="16" t="s">
        <v>3</v>
      </c>
      <c r="C28" s="30" t="s">
        <v>54</v>
      </c>
      <c r="D28" s="44" t="s">
        <v>19</v>
      </c>
      <c r="E28" s="45" t="s">
        <v>20</v>
      </c>
      <c r="F28" s="45" t="s">
        <v>21</v>
      </c>
      <c r="G28" s="45" t="s">
        <v>22</v>
      </c>
      <c r="H28" s="23"/>
      <c r="I28" s="24"/>
      <c r="J28" s="44" t="s">
        <v>19</v>
      </c>
      <c r="K28" s="45" t="s">
        <v>20</v>
      </c>
      <c r="L28" s="45" t="s">
        <v>21</v>
      </c>
      <c r="M28" s="45" t="s">
        <v>22</v>
      </c>
      <c r="N28" s="23"/>
      <c r="O28" s="25"/>
      <c r="P28" s="44" t="s">
        <v>19</v>
      </c>
      <c r="Q28" s="45" t="s">
        <v>20</v>
      </c>
      <c r="R28" s="45" t="s">
        <v>21</v>
      </c>
      <c r="S28" s="45" t="s">
        <v>22</v>
      </c>
      <c r="T28" s="23"/>
      <c r="U28" s="25"/>
    </row>
    <row r="29" customFormat="false" ht="17.25" hidden="false" customHeight="false" outlineLevel="0" collapsed="false">
      <c r="A29" s="15" t="n">
        <v>46504</v>
      </c>
      <c r="B29" s="16" t="s">
        <v>14</v>
      </c>
      <c r="C29" s="30" t="s">
        <v>55</v>
      </c>
      <c r="D29" s="44" t="s">
        <v>25</v>
      </c>
      <c r="E29" s="45" t="s">
        <v>26</v>
      </c>
      <c r="F29" s="45" t="s">
        <v>27</v>
      </c>
      <c r="G29" s="45" t="s">
        <v>28</v>
      </c>
      <c r="H29" s="45" t="s">
        <v>29</v>
      </c>
      <c r="I29" s="52" t="s">
        <v>9</v>
      </c>
      <c r="J29" s="44" t="s">
        <v>25</v>
      </c>
      <c r="K29" s="45" t="s">
        <v>26</v>
      </c>
      <c r="L29" s="45" t="s">
        <v>27</v>
      </c>
      <c r="M29" s="45" t="s">
        <v>28</v>
      </c>
      <c r="N29" s="45" t="s">
        <v>29</v>
      </c>
      <c r="O29" s="53" t="s">
        <v>9</v>
      </c>
      <c r="P29" s="44" t="s">
        <v>25</v>
      </c>
      <c r="Q29" s="45" t="s">
        <v>26</v>
      </c>
      <c r="R29" s="45" t="s">
        <v>27</v>
      </c>
      <c r="S29" s="45" t="s">
        <v>28</v>
      </c>
      <c r="T29" s="45" t="s">
        <v>29</v>
      </c>
      <c r="U29" s="53" t="s">
        <v>9</v>
      </c>
    </row>
    <row r="30" customFormat="false" ht="17.25" hidden="false" customHeight="false" outlineLevel="0" collapsed="false">
      <c r="A30" s="15" t="n">
        <v>46505</v>
      </c>
      <c r="B30" s="16" t="s">
        <v>17</v>
      </c>
      <c r="C30" s="28"/>
      <c r="D30" s="44" t="s">
        <v>31</v>
      </c>
      <c r="E30" s="58" t="s">
        <v>7</v>
      </c>
      <c r="F30" s="45" t="s">
        <v>33</v>
      </c>
      <c r="G30" s="45" t="s">
        <v>34</v>
      </c>
      <c r="H30" s="58" t="s">
        <v>23</v>
      </c>
      <c r="I30" s="52" t="s">
        <v>11</v>
      </c>
      <c r="J30" s="44" t="s">
        <v>31</v>
      </c>
      <c r="K30" s="58" t="s">
        <v>7</v>
      </c>
      <c r="L30" s="45" t="s">
        <v>33</v>
      </c>
      <c r="M30" s="45" t="s">
        <v>34</v>
      </c>
      <c r="N30" s="58" t="s">
        <v>23</v>
      </c>
      <c r="O30" s="53" t="s">
        <v>11</v>
      </c>
      <c r="P30" s="44" t="s">
        <v>31</v>
      </c>
      <c r="Q30" s="58" t="s">
        <v>7</v>
      </c>
      <c r="R30" s="45" t="s">
        <v>33</v>
      </c>
      <c r="S30" s="45" t="s">
        <v>34</v>
      </c>
      <c r="T30" s="58" t="s">
        <v>23</v>
      </c>
      <c r="U30" s="53" t="s">
        <v>11</v>
      </c>
    </row>
    <row r="31" customFormat="false" ht="17.25" hidden="false" customHeight="false" outlineLevel="0" collapsed="false">
      <c r="A31" s="26" t="n">
        <v>46506</v>
      </c>
      <c r="B31" s="27" t="s">
        <v>6</v>
      </c>
      <c r="C31" s="17" t="s">
        <v>56</v>
      </c>
      <c r="D31" s="22"/>
      <c r="E31" s="23"/>
      <c r="F31" s="23"/>
      <c r="G31" s="23"/>
      <c r="H31" s="23"/>
      <c r="I31" s="24"/>
      <c r="J31" s="22"/>
      <c r="K31" s="23"/>
      <c r="L31" s="23"/>
      <c r="M31" s="23"/>
      <c r="N31" s="23"/>
      <c r="O31" s="25"/>
      <c r="P31" s="22"/>
      <c r="Q31" s="23"/>
      <c r="R31" s="23"/>
      <c r="S31" s="23"/>
      <c r="T31" s="23"/>
      <c r="U31" s="25"/>
    </row>
    <row r="32" customFormat="false" ht="18" hidden="false" customHeight="true" outlineLevel="0" collapsed="false">
      <c r="A32" s="15" t="n">
        <v>46507</v>
      </c>
      <c r="B32" s="16" t="s">
        <v>8</v>
      </c>
      <c r="C32" s="30" t="s">
        <v>57</v>
      </c>
      <c r="D32" s="59" t="s">
        <v>36</v>
      </c>
      <c r="E32" s="60" t="s">
        <v>37</v>
      </c>
      <c r="F32" s="60" t="s">
        <v>38</v>
      </c>
      <c r="G32" s="61" t="s">
        <v>44</v>
      </c>
      <c r="H32" s="61" t="s">
        <v>45</v>
      </c>
      <c r="I32" s="62" t="s">
        <v>12</v>
      </c>
      <c r="J32" s="59" t="s">
        <v>36</v>
      </c>
      <c r="K32" s="60" t="s">
        <v>37</v>
      </c>
      <c r="L32" s="60" t="s">
        <v>38</v>
      </c>
      <c r="M32" s="61" t="s">
        <v>44</v>
      </c>
      <c r="N32" s="61" t="s">
        <v>45</v>
      </c>
      <c r="O32" s="63" t="s">
        <v>12</v>
      </c>
      <c r="P32" s="59" t="s">
        <v>36</v>
      </c>
      <c r="Q32" s="60" t="s">
        <v>37</v>
      </c>
      <c r="R32" s="60" t="s">
        <v>38</v>
      </c>
      <c r="S32" s="61" t="s">
        <v>44</v>
      </c>
      <c r="T32" s="61" t="s">
        <v>45</v>
      </c>
      <c r="U32" s="63" t="s">
        <v>12</v>
      </c>
    </row>
    <row r="33" customFormat="false" ht="17.25" hidden="false" customHeight="false" outlineLevel="0" collapsed="false">
      <c r="A33" s="26" t="n">
        <v>46508</v>
      </c>
      <c r="B33" s="27" t="s">
        <v>10</v>
      </c>
      <c r="C33" s="17"/>
      <c r="D33" s="64"/>
      <c r="E33" s="65"/>
      <c r="F33" s="65"/>
      <c r="G33" s="65"/>
      <c r="H33" s="65"/>
      <c r="I33" s="66"/>
      <c r="J33" s="64"/>
      <c r="K33" s="65"/>
      <c r="L33" s="65"/>
      <c r="M33" s="65"/>
      <c r="N33" s="65"/>
      <c r="O33" s="67"/>
      <c r="P33" s="64"/>
      <c r="Q33" s="65"/>
      <c r="R33" s="65"/>
      <c r="S33" s="65"/>
      <c r="T33" s="65"/>
      <c r="U33" s="67"/>
    </row>
    <row r="34" customFormat="false" ht="17.25" hidden="false" customHeight="false" outlineLevel="0" collapsed="false">
      <c r="A34" s="26" t="n">
        <v>46509</v>
      </c>
      <c r="B34" s="27" t="s">
        <v>4</v>
      </c>
      <c r="C34" s="17"/>
      <c r="D34" s="22"/>
      <c r="E34" s="23"/>
      <c r="F34" s="23"/>
      <c r="G34" s="23"/>
      <c r="H34" s="23"/>
      <c r="I34" s="24"/>
      <c r="J34" s="22"/>
      <c r="K34" s="23"/>
      <c r="L34" s="23"/>
      <c r="M34" s="23"/>
      <c r="N34" s="23"/>
      <c r="O34" s="25"/>
      <c r="P34" s="22"/>
      <c r="Q34" s="23"/>
      <c r="R34" s="23"/>
      <c r="S34" s="23"/>
      <c r="T34" s="23"/>
      <c r="U34" s="25"/>
    </row>
    <row r="35" customFormat="false" ht="17.25" hidden="false" customHeight="false" outlineLevel="0" collapsed="false">
      <c r="A35" s="26" t="n">
        <v>46510</v>
      </c>
      <c r="B35" s="27" t="s">
        <v>3</v>
      </c>
      <c r="C35" s="17" t="s">
        <v>58</v>
      </c>
      <c r="D35" s="22"/>
      <c r="E35" s="23"/>
      <c r="F35" s="23"/>
      <c r="G35" s="23"/>
      <c r="H35" s="23"/>
      <c r="I35" s="24"/>
      <c r="J35" s="22"/>
      <c r="K35" s="23"/>
      <c r="L35" s="23"/>
      <c r="M35" s="23"/>
      <c r="N35" s="23"/>
      <c r="O35" s="25"/>
      <c r="P35" s="22"/>
      <c r="Q35" s="23"/>
      <c r="R35" s="23"/>
      <c r="S35" s="23"/>
      <c r="T35" s="23"/>
      <c r="U35" s="25"/>
    </row>
    <row r="36" customFormat="false" ht="17.25" hidden="false" customHeight="false" outlineLevel="0" collapsed="false">
      <c r="A36" s="26" t="n">
        <v>46511</v>
      </c>
      <c r="B36" s="27" t="s">
        <v>14</v>
      </c>
      <c r="C36" s="17" t="s">
        <v>59</v>
      </c>
      <c r="D36" s="22"/>
      <c r="E36" s="23"/>
      <c r="F36" s="23"/>
      <c r="G36" s="23"/>
      <c r="H36" s="23"/>
      <c r="I36" s="24"/>
      <c r="J36" s="22"/>
      <c r="K36" s="23"/>
      <c r="L36" s="23"/>
      <c r="M36" s="23"/>
      <c r="N36" s="23"/>
      <c r="O36" s="25"/>
      <c r="P36" s="22"/>
      <c r="Q36" s="23"/>
      <c r="R36" s="23"/>
      <c r="S36" s="23"/>
      <c r="T36" s="23"/>
      <c r="U36" s="25"/>
    </row>
    <row r="37" customFormat="false" ht="17.25" hidden="false" customHeight="false" outlineLevel="0" collapsed="false">
      <c r="A37" s="26" t="n">
        <v>46512</v>
      </c>
      <c r="B37" s="27" t="s">
        <v>17</v>
      </c>
      <c r="C37" s="17" t="s">
        <v>60</v>
      </c>
      <c r="D37" s="22"/>
      <c r="E37" s="23"/>
      <c r="F37" s="23"/>
      <c r="G37" s="23"/>
      <c r="H37" s="23"/>
      <c r="I37" s="24"/>
      <c r="J37" s="22"/>
      <c r="K37" s="23"/>
      <c r="L37" s="23"/>
      <c r="M37" s="23"/>
      <c r="N37" s="23"/>
      <c r="O37" s="25"/>
      <c r="P37" s="22"/>
      <c r="Q37" s="23"/>
      <c r="R37" s="23"/>
      <c r="S37" s="23"/>
      <c r="T37" s="23"/>
      <c r="U37" s="25"/>
    </row>
    <row r="38" customFormat="false" ht="17.25" hidden="false" customHeight="false" outlineLevel="0" collapsed="false">
      <c r="A38" s="15" t="n">
        <v>46513</v>
      </c>
      <c r="B38" s="16" t="s">
        <v>6</v>
      </c>
      <c r="C38" s="30" t="s">
        <v>61</v>
      </c>
      <c r="D38" s="68" t="s">
        <v>19</v>
      </c>
      <c r="E38" s="58" t="s">
        <v>20</v>
      </c>
      <c r="F38" s="58" t="s">
        <v>21</v>
      </c>
      <c r="G38" s="45" t="s">
        <v>39</v>
      </c>
      <c r="H38" s="45" t="s">
        <v>40</v>
      </c>
      <c r="I38" s="24"/>
      <c r="J38" s="68" t="s">
        <v>19</v>
      </c>
      <c r="K38" s="58" t="s">
        <v>20</v>
      </c>
      <c r="L38" s="58" t="s">
        <v>21</v>
      </c>
      <c r="M38" s="45" t="s">
        <v>39</v>
      </c>
      <c r="N38" s="45" t="s">
        <v>40</v>
      </c>
      <c r="O38" s="25"/>
      <c r="P38" s="68" t="s">
        <v>19</v>
      </c>
      <c r="Q38" s="58" t="s">
        <v>20</v>
      </c>
      <c r="R38" s="58" t="s">
        <v>21</v>
      </c>
      <c r="S38" s="45" t="s">
        <v>39</v>
      </c>
      <c r="T38" s="45" t="s">
        <v>40</v>
      </c>
      <c r="U38" s="25"/>
    </row>
    <row r="39" customFormat="false" ht="17.25" hidden="false" customHeight="false" outlineLevel="0" collapsed="false">
      <c r="A39" s="15" t="n">
        <v>46514</v>
      </c>
      <c r="B39" s="16" t="s">
        <v>8</v>
      </c>
      <c r="C39" s="30" t="s">
        <v>62</v>
      </c>
      <c r="D39" s="44" t="s">
        <v>41</v>
      </c>
      <c r="E39" s="45" t="s">
        <v>42</v>
      </c>
      <c r="F39" s="45" t="s">
        <v>43</v>
      </c>
      <c r="G39" s="58" t="s">
        <v>22</v>
      </c>
      <c r="H39" s="58" t="s">
        <v>23</v>
      </c>
      <c r="I39" s="34" t="s">
        <v>12</v>
      </c>
      <c r="J39" s="44" t="s">
        <v>41</v>
      </c>
      <c r="K39" s="45" t="s">
        <v>42</v>
      </c>
      <c r="L39" s="45" t="s">
        <v>43</v>
      </c>
      <c r="M39" s="58" t="s">
        <v>22</v>
      </c>
      <c r="N39" s="58" t="s">
        <v>23</v>
      </c>
      <c r="O39" s="46" t="s">
        <v>12</v>
      </c>
      <c r="P39" s="44" t="s">
        <v>41</v>
      </c>
      <c r="Q39" s="45" t="s">
        <v>42</v>
      </c>
      <c r="R39" s="45" t="s">
        <v>43</v>
      </c>
      <c r="S39" s="58" t="s">
        <v>22</v>
      </c>
      <c r="T39" s="23"/>
      <c r="U39" s="37"/>
    </row>
    <row r="40" customFormat="false" ht="17.25" hidden="false" customHeight="false" outlineLevel="0" collapsed="false">
      <c r="A40" s="26" t="n">
        <v>46515</v>
      </c>
      <c r="B40" s="27" t="s">
        <v>10</v>
      </c>
      <c r="C40" s="17"/>
      <c r="D40" s="69"/>
      <c r="H40" s="23"/>
      <c r="I40" s="33"/>
      <c r="J40" s="69"/>
      <c r="N40" s="23"/>
      <c r="O40" s="37"/>
      <c r="P40" s="69"/>
      <c r="T40" s="23"/>
      <c r="U40" s="37"/>
    </row>
    <row r="41" customFormat="false" ht="17.25" hidden="false" customHeight="false" outlineLevel="0" collapsed="false">
      <c r="A41" s="26" t="n">
        <v>46516</v>
      </c>
      <c r="B41" s="27" t="s">
        <v>4</v>
      </c>
      <c r="C41" s="17"/>
      <c r="D41" s="22"/>
      <c r="E41" s="23"/>
      <c r="F41" s="23"/>
      <c r="G41" s="23"/>
      <c r="H41" s="23"/>
      <c r="I41" s="24"/>
      <c r="J41" s="22"/>
      <c r="K41" s="23"/>
      <c r="L41" s="23"/>
      <c r="M41" s="23"/>
      <c r="N41" s="23"/>
      <c r="O41" s="25"/>
      <c r="P41" s="22"/>
      <c r="Q41" s="23"/>
      <c r="R41" s="23"/>
      <c r="S41" s="23"/>
      <c r="T41" s="23"/>
      <c r="U41" s="25"/>
    </row>
    <row r="42" customFormat="false" ht="17.25" hidden="false" customHeight="false" outlineLevel="0" collapsed="false">
      <c r="A42" s="15" t="n">
        <v>46517</v>
      </c>
      <c r="B42" s="16" t="s">
        <v>3</v>
      </c>
      <c r="C42" s="30" t="s">
        <v>63</v>
      </c>
      <c r="D42" s="22"/>
      <c r="E42" s="23"/>
      <c r="F42" s="23"/>
      <c r="G42" s="23"/>
      <c r="H42" s="23"/>
      <c r="I42" s="24"/>
      <c r="J42" s="22"/>
      <c r="K42" s="23"/>
      <c r="L42" s="23"/>
      <c r="M42" s="23"/>
      <c r="N42" s="23"/>
      <c r="O42" s="25"/>
      <c r="P42" s="22"/>
      <c r="Q42" s="23"/>
      <c r="R42" s="23"/>
      <c r="S42" s="23"/>
      <c r="T42" s="23"/>
      <c r="U42" s="25"/>
    </row>
    <row r="43" customFormat="false" ht="17.25" hidden="false" customHeight="false" outlineLevel="0" collapsed="false">
      <c r="A43" s="15" t="n">
        <v>46518</v>
      </c>
      <c r="B43" s="16" t="s">
        <v>14</v>
      </c>
      <c r="C43" s="30" t="s">
        <v>64</v>
      </c>
      <c r="D43" s="44" t="s">
        <v>25</v>
      </c>
      <c r="E43" s="45" t="s">
        <v>26</v>
      </c>
      <c r="F43" s="45" t="s">
        <v>27</v>
      </c>
      <c r="G43" s="45" t="s">
        <v>28</v>
      </c>
      <c r="H43" s="45" t="s">
        <v>29</v>
      </c>
      <c r="I43" s="52" t="s">
        <v>9</v>
      </c>
      <c r="J43" s="44" t="s">
        <v>25</v>
      </c>
      <c r="K43" s="45" t="s">
        <v>26</v>
      </c>
      <c r="L43" s="45" t="s">
        <v>27</v>
      </c>
      <c r="M43" s="45" t="s">
        <v>28</v>
      </c>
      <c r="N43" s="45" t="s">
        <v>29</v>
      </c>
      <c r="O43" s="54" t="s">
        <v>9</v>
      </c>
      <c r="P43" s="70" t="s">
        <v>25</v>
      </c>
      <c r="Q43" s="71" t="s">
        <v>26</v>
      </c>
      <c r="R43" s="71" t="s">
        <v>27</v>
      </c>
      <c r="S43" s="45" t="s">
        <v>28</v>
      </c>
      <c r="T43" s="45" t="s">
        <v>29</v>
      </c>
      <c r="U43" s="53" t="s">
        <v>9</v>
      </c>
    </row>
    <row r="44" customFormat="false" ht="17.25" hidden="false" customHeight="false" outlineLevel="0" collapsed="false">
      <c r="A44" s="15" t="n">
        <v>46519</v>
      </c>
      <c r="B44" s="16" t="s">
        <v>17</v>
      </c>
      <c r="C44" s="30" t="s">
        <v>65</v>
      </c>
      <c r="D44" s="44" t="s">
        <v>31</v>
      </c>
      <c r="E44" s="45" t="s">
        <v>32</v>
      </c>
      <c r="F44" s="45" t="s">
        <v>33</v>
      </c>
      <c r="G44" s="58" t="s">
        <v>7</v>
      </c>
      <c r="H44" s="45" t="s">
        <v>35</v>
      </c>
      <c r="I44" s="52" t="s">
        <v>11</v>
      </c>
      <c r="J44" s="44" t="s">
        <v>31</v>
      </c>
      <c r="K44" s="45" t="s">
        <v>32</v>
      </c>
      <c r="L44" s="45" t="s">
        <v>33</v>
      </c>
      <c r="M44" s="58" t="s">
        <v>7</v>
      </c>
      <c r="N44" s="45" t="s">
        <v>35</v>
      </c>
      <c r="O44" s="53" t="s">
        <v>11</v>
      </c>
      <c r="P44" s="44" t="s">
        <v>31</v>
      </c>
      <c r="Q44" s="45" t="s">
        <v>32</v>
      </c>
      <c r="R44" s="45" t="s">
        <v>33</v>
      </c>
      <c r="S44" s="58" t="s">
        <v>7</v>
      </c>
      <c r="T44" s="45" t="s">
        <v>35</v>
      </c>
      <c r="U44" s="53" t="s">
        <v>11</v>
      </c>
    </row>
    <row r="45" customFormat="false" ht="17.25" hidden="false" customHeight="false" outlineLevel="0" collapsed="false">
      <c r="A45" s="15" t="n">
        <v>46520</v>
      </c>
      <c r="B45" s="16" t="s">
        <v>6</v>
      </c>
      <c r="C45" s="28"/>
      <c r="D45" s="44" t="s">
        <v>36</v>
      </c>
      <c r="E45" s="45" t="s">
        <v>37</v>
      </c>
      <c r="F45" s="45" t="s">
        <v>38</v>
      </c>
      <c r="G45" s="45" t="s">
        <v>39</v>
      </c>
      <c r="H45" s="58" t="s">
        <v>23</v>
      </c>
      <c r="I45" s="24"/>
      <c r="J45" s="44" t="s">
        <v>36</v>
      </c>
      <c r="K45" s="45" t="s">
        <v>37</v>
      </c>
      <c r="L45" s="45" t="s">
        <v>38</v>
      </c>
      <c r="M45" s="45" t="s">
        <v>39</v>
      </c>
      <c r="N45" s="58" t="s">
        <v>23</v>
      </c>
      <c r="O45" s="25"/>
      <c r="P45" s="44" t="s">
        <v>36</v>
      </c>
      <c r="Q45" s="45" t="s">
        <v>37</v>
      </c>
      <c r="R45" s="45" t="s">
        <v>38</v>
      </c>
      <c r="S45" s="45" t="s">
        <v>39</v>
      </c>
      <c r="T45" s="58" t="s">
        <v>23</v>
      </c>
      <c r="U45" s="25"/>
    </row>
    <row r="46" customFormat="false" ht="17.25" hidden="false" customHeight="false" outlineLevel="0" collapsed="false">
      <c r="A46" s="15" t="n">
        <v>46521</v>
      </c>
      <c r="B46" s="16" t="s">
        <v>8</v>
      </c>
      <c r="C46" s="28"/>
      <c r="D46" s="44" t="s">
        <v>41</v>
      </c>
      <c r="E46" s="45" t="s">
        <v>42</v>
      </c>
      <c r="F46" s="45" t="s">
        <v>43</v>
      </c>
      <c r="G46" s="45" t="s">
        <v>44</v>
      </c>
      <c r="H46" s="45" t="s">
        <v>45</v>
      </c>
      <c r="I46" s="34" t="s">
        <v>12</v>
      </c>
      <c r="J46" s="44" t="s">
        <v>41</v>
      </c>
      <c r="K46" s="45" t="s">
        <v>42</v>
      </c>
      <c r="L46" s="45" t="s">
        <v>43</v>
      </c>
      <c r="M46" s="45" t="s">
        <v>44</v>
      </c>
      <c r="N46" s="45" t="s">
        <v>45</v>
      </c>
      <c r="O46" s="46" t="s">
        <v>12</v>
      </c>
      <c r="P46" s="44" t="s">
        <v>41</v>
      </c>
      <c r="Q46" s="45" t="s">
        <v>42</v>
      </c>
      <c r="R46" s="45" t="s">
        <v>43</v>
      </c>
      <c r="S46" s="45" t="s">
        <v>44</v>
      </c>
      <c r="T46" s="45" t="s">
        <v>45</v>
      </c>
      <c r="U46" s="46" t="s">
        <v>12</v>
      </c>
    </row>
    <row r="47" customFormat="false" ht="17.25" hidden="false" customHeight="false" outlineLevel="0" collapsed="false">
      <c r="A47" s="26" t="n">
        <v>46522</v>
      </c>
      <c r="B47" s="27" t="s">
        <v>10</v>
      </c>
      <c r="C47" s="17"/>
      <c r="D47" s="22"/>
      <c r="E47" s="23"/>
      <c r="F47" s="23"/>
      <c r="G47" s="23"/>
      <c r="H47" s="23"/>
      <c r="I47" s="33"/>
      <c r="J47" s="22"/>
      <c r="K47" s="23"/>
      <c r="L47" s="23"/>
      <c r="M47" s="23"/>
      <c r="N47" s="23"/>
      <c r="O47" s="37"/>
      <c r="P47" s="49"/>
      <c r="Q47" s="50"/>
      <c r="R47" s="50"/>
      <c r="S47" s="50"/>
      <c r="T47" s="50"/>
      <c r="U47" s="37"/>
    </row>
    <row r="48" s="73" customFormat="true" ht="17.25" hidden="false" customHeight="false" outlineLevel="0" collapsed="false">
      <c r="A48" s="26" t="n">
        <v>46523</v>
      </c>
      <c r="B48" s="27" t="s">
        <v>4</v>
      </c>
      <c r="C48" s="17"/>
      <c r="D48" s="22"/>
      <c r="E48" s="23"/>
      <c r="F48" s="23"/>
      <c r="G48" s="23"/>
      <c r="H48" s="50"/>
      <c r="I48" s="72"/>
      <c r="J48" s="22"/>
      <c r="K48" s="23"/>
      <c r="L48" s="23"/>
      <c r="M48" s="23"/>
      <c r="N48" s="23"/>
      <c r="O48" s="25"/>
      <c r="P48" s="49"/>
      <c r="Q48" s="50"/>
      <c r="R48" s="50"/>
      <c r="S48" s="50"/>
      <c r="T48" s="50"/>
      <c r="U48" s="51"/>
    </row>
    <row r="49" customFormat="false" ht="17.25" hidden="false" customHeight="false" outlineLevel="0" collapsed="false">
      <c r="A49" s="15" t="n">
        <v>46524</v>
      </c>
      <c r="B49" s="16" t="s">
        <v>3</v>
      </c>
      <c r="C49" s="30" t="s">
        <v>66</v>
      </c>
      <c r="D49" s="22"/>
      <c r="E49" s="45" t="s">
        <v>20</v>
      </c>
      <c r="F49" s="45" t="s">
        <v>21</v>
      </c>
      <c r="G49" s="45" t="s">
        <v>22</v>
      </c>
      <c r="H49" s="58" t="s">
        <v>29</v>
      </c>
      <c r="I49" s="24"/>
      <c r="J49" s="22"/>
      <c r="K49" s="45" t="s">
        <v>20</v>
      </c>
      <c r="L49" s="45" t="s">
        <v>21</v>
      </c>
      <c r="M49" s="45" t="s">
        <v>22</v>
      </c>
      <c r="N49" s="58" t="s">
        <v>29</v>
      </c>
      <c r="O49" s="25"/>
      <c r="P49" s="49"/>
      <c r="Q49" s="45" t="s">
        <v>20</v>
      </c>
      <c r="R49" s="45" t="s">
        <v>21</v>
      </c>
      <c r="S49" s="45" t="s">
        <v>22</v>
      </c>
      <c r="T49" s="58" t="s">
        <v>29</v>
      </c>
      <c r="U49" s="51"/>
    </row>
    <row r="50" s="73" customFormat="true" ht="17.25" hidden="false" customHeight="false" outlineLevel="0" collapsed="false">
      <c r="A50" s="15" t="n">
        <v>46525</v>
      </c>
      <c r="B50" s="16" t="s">
        <v>14</v>
      </c>
      <c r="C50" s="30" t="s">
        <v>66</v>
      </c>
      <c r="D50" s="55"/>
      <c r="E50" s="45" t="s">
        <v>26</v>
      </c>
      <c r="F50" s="45" t="s">
        <v>27</v>
      </c>
      <c r="G50" s="45" t="s">
        <v>28</v>
      </c>
      <c r="H50" s="58" t="s">
        <v>35</v>
      </c>
      <c r="I50" s="33"/>
      <c r="J50" s="55"/>
      <c r="K50" s="45" t="s">
        <v>26</v>
      </c>
      <c r="L50" s="45" t="s">
        <v>27</v>
      </c>
      <c r="M50" s="45" t="s">
        <v>28</v>
      </c>
      <c r="N50" s="58" t="s">
        <v>35</v>
      </c>
      <c r="O50" s="37"/>
      <c r="P50" s="55"/>
      <c r="Q50" s="45" t="s">
        <v>26</v>
      </c>
      <c r="R50" s="45" t="s">
        <v>27</v>
      </c>
      <c r="S50" s="45" t="s">
        <v>28</v>
      </c>
      <c r="T50" s="58" t="s">
        <v>35</v>
      </c>
      <c r="U50" s="37"/>
    </row>
    <row r="51" customFormat="false" ht="17.25" hidden="false" customHeight="false" outlineLevel="0" collapsed="false">
      <c r="A51" s="15" t="n">
        <v>46526</v>
      </c>
      <c r="B51" s="16" t="s">
        <v>17</v>
      </c>
      <c r="C51" s="30" t="s">
        <v>67</v>
      </c>
      <c r="D51" s="22"/>
      <c r="E51" s="45" t="s">
        <v>32</v>
      </c>
      <c r="F51" s="45" t="s">
        <v>33</v>
      </c>
      <c r="G51" s="45" t="s">
        <v>34</v>
      </c>
      <c r="H51" s="58" t="s">
        <v>40</v>
      </c>
      <c r="I51" s="33"/>
      <c r="J51" s="22"/>
      <c r="K51" s="45" t="s">
        <v>32</v>
      </c>
      <c r="L51" s="45" t="s">
        <v>33</v>
      </c>
      <c r="M51" s="45" t="s">
        <v>34</v>
      </c>
      <c r="N51" s="58" t="s">
        <v>40</v>
      </c>
      <c r="O51" s="37"/>
      <c r="P51" s="22"/>
      <c r="Q51" s="45" t="s">
        <v>32</v>
      </c>
      <c r="R51" s="45" t="s">
        <v>33</v>
      </c>
      <c r="S51" s="45" t="s">
        <v>34</v>
      </c>
      <c r="T51" s="58" t="s">
        <v>40</v>
      </c>
      <c r="U51" s="37"/>
    </row>
    <row r="52" customFormat="false" ht="17.25" hidden="false" customHeight="false" outlineLevel="0" collapsed="false">
      <c r="A52" s="15" t="n">
        <v>46527</v>
      </c>
      <c r="B52" s="16" t="s">
        <v>6</v>
      </c>
      <c r="C52" s="30" t="s">
        <v>68</v>
      </c>
      <c r="D52" s="44" t="s">
        <v>36</v>
      </c>
      <c r="E52" s="45" t="s">
        <v>37</v>
      </c>
      <c r="F52" s="45" t="s">
        <v>38</v>
      </c>
      <c r="G52" s="45" t="s">
        <v>39</v>
      </c>
      <c r="H52" s="45" t="s">
        <v>40</v>
      </c>
      <c r="I52" s="33"/>
      <c r="J52" s="44" t="s">
        <v>36</v>
      </c>
      <c r="K52" s="45" t="s">
        <v>37</v>
      </c>
      <c r="L52" s="45" t="s">
        <v>38</v>
      </c>
      <c r="M52" s="45" t="s">
        <v>39</v>
      </c>
      <c r="N52" s="45" t="s">
        <v>40</v>
      </c>
      <c r="O52" s="37"/>
      <c r="P52" s="44" t="s">
        <v>36</v>
      </c>
      <c r="Q52" s="45" t="s">
        <v>37</v>
      </c>
      <c r="R52" s="45" t="s">
        <v>38</v>
      </c>
      <c r="S52" s="45" t="s">
        <v>39</v>
      </c>
      <c r="T52" s="45" t="s">
        <v>40</v>
      </c>
      <c r="U52" s="37"/>
      <c r="W52" s="7"/>
    </row>
    <row r="53" customFormat="false" ht="17.25" hidden="false" customHeight="false" outlineLevel="0" collapsed="false">
      <c r="A53" s="15" t="n">
        <v>46528</v>
      </c>
      <c r="B53" s="16" t="s">
        <v>8</v>
      </c>
      <c r="C53" s="28"/>
      <c r="D53" s="44" t="s">
        <v>41</v>
      </c>
      <c r="E53" s="45" t="s">
        <v>42</v>
      </c>
      <c r="F53" s="45" t="s">
        <v>43</v>
      </c>
      <c r="G53" s="45" t="s">
        <v>44</v>
      </c>
      <c r="H53" s="45" t="s">
        <v>45</v>
      </c>
      <c r="I53" s="34" t="s">
        <v>12</v>
      </c>
      <c r="J53" s="44" t="s">
        <v>41</v>
      </c>
      <c r="K53" s="45" t="s">
        <v>42</v>
      </c>
      <c r="L53" s="45" t="s">
        <v>43</v>
      </c>
      <c r="M53" s="45" t="s">
        <v>44</v>
      </c>
      <c r="N53" s="45" t="s">
        <v>45</v>
      </c>
      <c r="O53" s="46" t="s">
        <v>12</v>
      </c>
      <c r="P53" s="44" t="s">
        <v>41</v>
      </c>
      <c r="Q53" s="45" t="s">
        <v>42</v>
      </c>
      <c r="R53" s="45" t="s">
        <v>43</v>
      </c>
      <c r="S53" s="45" t="s">
        <v>44</v>
      </c>
      <c r="T53" s="45" t="s">
        <v>45</v>
      </c>
      <c r="U53" s="46" t="s">
        <v>12</v>
      </c>
    </row>
    <row r="54" customFormat="false" ht="17.25" hidden="false" customHeight="false" outlineLevel="0" collapsed="false">
      <c r="A54" s="26" t="n">
        <v>46529</v>
      </c>
      <c r="B54" s="27" t="s">
        <v>10</v>
      </c>
      <c r="C54" s="17"/>
      <c r="D54" s="22"/>
      <c r="E54" s="23"/>
      <c r="F54" s="23"/>
      <c r="G54" s="23"/>
      <c r="H54" s="23"/>
      <c r="I54" s="24"/>
      <c r="J54" s="22"/>
      <c r="K54" s="23"/>
      <c r="L54" s="23"/>
      <c r="M54" s="23"/>
      <c r="N54" s="23"/>
      <c r="O54" s="25"/>
      <c r="P54" s="22"/>
      <c r="Q54" s="23"/>
      <c r="R54" s="23"/>
      <c r="S54" s="23"/>
      <c r="T54" s="23"/>
      <c r="U54" s="25"/>
    </row>
    <row r="55" customFormat="false" ht="17.25" hidden="false" customHeight="false" outlineLevel="0" collapsed="false">
      <c r="A55" s="26" t="n">
        <v>46530</v>
      </c>
      <c r="B55" s="27" t="s">
        <v>4</v>
      </c>
      <c r="C55" s="17"/>
      <c r="D55" s="22"/>
      <c r="E55" s="23"/>
      <c r="F55" s="23"/>
      <c r="G55" s="23"/>
      <c r="H55" s="23"/>
      <c r="I55" s="24"/>
      <c r="J55" s="22"/>
      <c r="K55" s="23"/>
      <c r="L55" s="23"/>
      <c r="M55" s="23"/>
      <c r="N55" s="23"/>
      <c r="O55" s="25"/>
      <c r="P55" s="22"/>
      <c r="Q55" s="23"/>
      <c r="R55" s="23"/>
      <c r="S55" s="23"/>
      <c r="T55" s="23"/>
      <c r="U55" s="25"/>
    </row>
    <row r="56" customFormat="false" ht="17.25" hidden="false" customHeight="false" outlineLevel="0" collapsed="false">
      <c r="A56" s="15" t="n">
        <v>46531</v>
      </c>
      <c r="B56" s="16" t="s">
        <v>3</v>
      </c>
      <c r="C56" s="30" t="s">
        <v>69</v>
      </c>
      <c r="D56" s="44" t="s">
        <v>19</v>
      </c>
      <c r="E56" s="45" t="s">
        <v>20</v>
      </c>
      <c r="F56" s="45" t="s">
        <v>21</v>
      </c>
      <c r="G56" s="45" t="s">
        <v>22</v>
      </c>
      <c r="H56" s="45" t="s">
        <v>23</v>
      </c>
      <c r="I56" s="52" t="s">
        <v>7</v>
      </c>
      <c r="J56" s="44" t="s">
        <v>19</v>
      </c>
      <c r="K56" s="45" t="s">
        <v>20</v>
      </c>
      <c r="L56" s="45" t="s">
        <v>21</v>
      </c>
      <c r="M56" s="45" t="s">
        <v>22</v>
      </c>
      <c r="N56" s="45" t="s">
        <v>23</v>
      </c>
      <c r="O56" s="53" t="s">
        <v>7</v>
      </c>
      <c r="P56" s="44" t="s">
        <v>19</v>
      </c>
      <c r="Q56" s="45" t="s">
        <v>20</v>
      </c>
      <c r="R56" s="45" t="s">
        <v>21</v>
      </c>
      <c r="S56" s="45" t="s">
        <v>22</v>
      </c>
      <c r="T56" s="45" t="s">
        <v>23</v>
      </c>
      <c r="U56" s="53" t="s">
        <v>7</v>
      </c>
    </row>
    <row r="57" customFormat="false" ht="17.25" hidden="false" customHeight="false" outlineLevel="0" collapsed="false">
      <c r="A57" s="15" t="n">
        <v>46532</v>
      </c>
      <c r="B57" s="16" t="s">
        <v>14</v>
      </c>
      <c r="C57" s="28"/>
      <c r="D57" s="44" t="s">
        <v>25</v>
      </c>
      <c r="E57" s="45" t="s">
        <v>26</v>
      </c>
      <c r="F57" s="45" t="s">
        <v>27</v>
      </c>
      <c r="G57" s="45" t="s">
        <v>28</v>
      </c>
      <c r="H57" s="52" t="s">
        <v>29</v>
      </c>
      <c r="I57" s="74" t="s">
        <v>12</v>
      </c>
      <c r="J57" s="44" t="s">
        <v>25</v>
      </c>
      <c r="K57" s="45" t="s">
        <v>26</v>
      </c>
      <c r="L57" s="45" t="s">
        <v>27</v>
      </c>
      <c r="M57" s="45" t="s">
        <v>28</v>
      </c>
      <c r="N57" s="52" t="s">
        <v>29</v>
      </c>
      <c r="O57" s="75" t="s">
        <v>12</v>
      </c>
      <c r="P57" s="44" t="s">
        <v>25</v>
      </c>
      <c r="Q57" s="45" t="s">
        <v>26</v>
      </c>
      <c r="R57" s="45" t="s">
        <v>27</v>
      </c>
      <c r="S57" s="45" t="s">
        <v>28</v>
      </c>
      <c r="T57" s="52" t="s">
        <v>29</v>
      </c>
      <c r="U57" s="75" t="s">
        <v>12</v>
      </c>
    </row>
    <row r="58" customFormat="false" ht="17.25" hidden="false" customHeight="false" outlineLevel="0" collapsed="false">
      <c r="A58" s="15" t="n">
        <v>46533</v>
      </c>
      <c r="B58" s="16" t="s">
        <v>17</v>
      </c>
      <c r="C58" s="28"/>
      <c r="D58" s="44" t="s">
        <v>31</v>
      </c>
      <c r="E58" s="45" t="s">
        <v>32</v>
      </c>
      <c r="F58" s="45" t="s">
        <v>33</v>
      </c>
      <c r="G58" s="45" t="s">
        <v>34</v>
      </c>
      <c r="H58" s="45" t="s">
        <v>35</v>
      </c>
      <c r="I58" s="52" t="s">
        <v>11</v>
      </c>
      <c r="J58" s="76" t="s">
        <v>31</v>
      </c>
      <c r="K58" s="56" t="s">
        <v>32</v>
      </c>
      <c r="L58" s="57" t="s">
        <v>33</v>
      </c>
      <c r="M58" s="45" t="s">
        <v>34</v>
      </c>
      <c r="N58" s="45" t="s">
        <v>35</v>
      </c>
      <c r="O58" s="53" t="s">
        <v>11</v>
      </c>
      <c r="P58" s="44" t="s">
        <v>31</v>
      </c>
      <c r="Q58" s="45" t="s">
        <v>32</v>
      </c>
      <c r="R58" s="45" t="s">
        <v>33</v>
      </c>
      <c r="S58" s="45" t="s">
        <v>34</v>
      </c>
      <c r="T58" s="45" t="s">
        <v>35</v>
      </c>
      <c r="U58" s="53" t="s">
        <v>11</v>
      </c>
    </row>
    <row r="59" customFormat="false" ht="17.25" hidden="false" customHeight="false" outlineLevel="0" collapsed="false">
      <c r="A59" s="15" t="n">
        <v>46534</v>
      </c>
      <c r="B59" s="16" t="s">
        <v>6</v>
      </c>
      <c r="C59" s="30" t="s">
        <v>70</v>
      </c>
      <c r="D59" s="44" t="s">
        <v>36</v>
      </c>
      <c r="E59" s="58" t="s">
        <v>26</v>
      </c>
      <c r="F59" s="58" t="s">
        <v>27</v>
      </c>
      <c r="G59" s="45" t="s">
        <v>39</v>
      </c>
      <c r="H59" s="45" t="s">
        <v>40</v>
      </c>
      <c r="I59" s="24"/>
      <c r="J59" s="76" t="s">
        <v>36</v>
      </c>
      <c r="K59" s="77" t="s">
        <v>26</v>
      </c>
      <c r="L59" s="77" t="s">
        <v>27</v>
      </c>
      <c r="M59" s="56" t="s">
        <v>39</v>
      </c>
      <c r="N59" s="56" t="s">
        <v>40</v>
      </c>
      <c r="O59" s="78"/>
      <c r="P59" s="44" t="s">
        <v>36</v>
      </c>
      <c r="Q59" s="58" t="s">
        <v>26</v>
      </c>
      <c r="R59" s="58" t="s">
        <v>27</v>
      </c>
      <c r="S59" s="45" t="s">
        <v>39</v>
      </c>
      <c r="T59" s="45" t="s">
        <v>40</v>
      </c>
      <c r="U59" s="25"/>
    </row>
    <row r="60" customFormat="false" ht="17.25" hidden="false" customHeight="false" outlineLevel="0" collapsed="false">
      <c r="A60" s="15" t="n">
        <v>46535</v>
      </c>
      <c r="B60" s="16" t="s">
        <v>8</v>
      </c>
      <c r="C60" s="30" t="s">
        <v>71</v>
      </c>
      <c r="D60" s="44" t="s">
        <v>41</v>
      </c>
      <c r="E60" s="45" t="s">
        <v>42</v>
      </c>
      <c r="F60" s="45" t="s">
        <v>43</v>
      </c>
      <c r="G60" s="45" t="s">
        <v>44</v>
      </c>
      <c r="H60" s="45" t="s">
        <v>45</v>
      </c>
      <c r="I60" s="52" t="s">
        <v>12</v>
      </c>
      <c r="J60" s="76" t="s">
        <v>41</v>
      </c>
      <c r="K60" s="56" t="s">
        <v>42</v>
      </c>
      <c r="L60" s="56" t="s">
        <v>43</v>
      </c>
      <c r="M60" s="56" t="s">
        <v>44</v>
      </c>
      <c r="N60" s="56" t="s">
        <v>45</v>
      </c>
      <c r="O60" s="79" t="s">
        <v>12</v>
      </c>
      <c r="P60" s="44" t="s">
        <v>41</v>
      </c>
      <c r="Q60" s="45" t="s">
        <v>42</v>
      </c>
      <c r="R60" s="45" t="s">
        <v>43</v>
      </c>
      <c r="S60" s="45" t="s">
        <v>44</v>
      </c>
      <c r="T60" s="45" t="s">
        <v>45</v>
      </c>
      <c r="U60" s="53" t="s">
        <v>12</v>
      </c>
    </row>
    <row r="61" customFormat="false" ht="17.25" hidden="false" customHeight="false" outlineLevel="0" collapsed="false">
      <c r="A61" s="26" t="n">
        <v>46536</v>
      </c>
      <c r="B61" s="27" t="s">
        <v>10</v>
      </c>
      <c r="C61" s="17"/>
      <c r="D61" s="22"/>
      <c r="E61" s="23"/>
      <c r="F61" s="23"/>
      <c r="G61" s="23"/>
      <c r="H61" s="23"/>
      <c r="I61" s="24"/>
      <c r="J61" s="76"/>
      <c r="K61" s="56"/>
      <c r="L61" s="56"/>
      <c r="M61" s="56"/>
      <c r="N61" s="56"/>
      <c r="O61" s="78"/>
      <c r="P61" s="22"/>
      <c r="Q61" s="23"/>
      <c r="R61" s="23"/>
      <c r="S61" s="23"/>
      <c r="T61" s="23"/>
      <c r="U61" s="25"/>
    </row>
    <row r="62" customFormat="false" ht="17.25" hidden="false" customHeight="false" outlineLevel="0" collapsed="false">
      <c r="A62" s="26" t="n">
        <v>46537</v>
      </c>
      <c r="B62" s="27" t="s">
        <v>4</v>
      </c>
      <c r="C62" s="17"/>
      <c r="D62" s="22"/>
      <c r="E62" s="23"/>
      <c r="F62" s="23"/>
      <c r="G62" s="23"/>
      <c r="H62" s="23"/>
      <c r="I62" s="24"/>
      <c r="J62" s="22"/>
      <c r="K62" s="23"/>
      <c r="L62" s="23"/>
      <c r="M62" s="23"/>
      <c r="N62" s="23"/>
      <c r="O62" s="25"/>
      <c r="P62" s="22"/>
      <c r="Q62" s="23"/>
      <c r="R62" s="23"/>
      <c r="S62" s="23"/>
      <c r="T62" s="23"/>
      <c r="U62" s="25"/>
    </row>
    <row r="63" customFormat="false" ht="18" hidden="false" customHeight="true" outlineLevel="0" collapsed="false">
      <c r="A63" s="15" t="n">
        <v>46538</v>
      </c>
      <c r="B63" s="16" t="s">
        <v>3</v>
      </c>
      <c r="C63" s="30" t="s">
        <v>72</v>
      </c>
      <c r="D63" s="80" t="s">
        <v>19</v>
      </c>
      <c r="E63" s="81" t="s">
        <v>20</v>
      </c>
      <c r="F63" s="81" t="s">
        <v>21</v>
      </c>
      <c r="G63" s="81" t="s">
        <v>22</v>
      </c>
      <c r="H63" s="81"/>
      <c r="I63" s="82"/>
      <c r="J63" s="80" t="s">
        <v>19</v>
      </c>
      <c r="K63" s="81" t="s">
        <v>20</v>
      </c>
      <c r="L63" s="81" t="s">
        <v>21</v>
      </c>
      <c r="M63" s="81" t="s">
        <v>22</v>
      </c>
      <c r="N63" s="81"/>
      <c r="O63" s="83"/>
      <c r="P63" s="80" t="s">
        <v>19</v>
      </c>
      <c r="Q63" s="81" t="s">
        <v>20</v>
      </c>
      <c r="R63" s="81" t="s">
        <v>21</v>
      </c>
      <c r="S63" s="81" t="s">
        <v>22</v>
      </c>
      <c r="T63" s="81"/>
      <c r="U63" s="83"/>
    </row>
    <row r="64" customFormat="false" ht="17.25" hidden="false" customHeight="false" outlineLevel="0" collapsed="false">
      <c r="A64" s="15" t="n">
        <v>46539</v>
      </c>
      <c r="B64" s="16" t="s">
        <v>14</v>
      </c>
      <c r="C64" s="30" t="s">
        <v>72</v>
      </c>
      <c r="D64" s="84" t="s">
        <v>25</v>
      </c>
      <c r="E64" s="85" t="s">
        <v>26</v>
      </c>
      <c r="F64" s="85" t="s">
        <v>27</v>
      </c>
      <c r="G64" s="86" t="s">
        <v>12</v>
      </c>
      <c r="H64" s="87"/>
      <c r="I64" s="20"/>
      <c r="J64" s="84" t="s">
        <v>25</v>
      </c>
      <c r="K64" s="85" t="s">
        <v>26</v>
      </c>
      <c r="L64" s="85" t="s">
        <v>27</v>
      </c>
      <c r="M64" s="88" t="s">
        <v>12</v>
      </c>
      <c r="N64" s="87"/>
      <c r="O64" s="21"/>
      <c r="P64" s="84" t="s">
        <v>25</v>
      </c>
      <c r="Q64" s="85" t="s">
        <v>26</v>
      </c>
      <c r="R64" s="85" t="s">
        <v>27</v>
      </c>
      <c r="S64" s="86" t="s">
        <v>12</v>
      </c>
      <c r="T64" s="87"/>
      <c r="U64" s="21"/>
    </row>
    <row r="65" customFormat="false" ht="17.25" hidden="false" customHeight="false" outlineLevel="0" collapsed="false">
      <c r="A65" s="15" t="n">
        <v>46540</v>
      </c>
      <c r="B65" s="16" t="s">
        <v>17</v>
      </c>
      <c r="C65" s="30" t="s">
        <v>72</v>
      </c>
      <c r="D65" s="43" t="s">
        <v>31</v>
      </c>
      <c r="E65" s="32"/>
      <c r="F65" s="32"/>
      <c r="G65" s="38" t="s">
        <v>34</v>
      </c>
      <c r="H65" s="89"/>
      <c r="I65" s="24"/>
      <c r="J65" s="43" t="s">
        <v>31</v>
      </c>
      <c r="K65" s="32"/>
      <c r="L65" s="32"/>
      <c r="M65" s="38" t="s">
        <v>34</v>
      </c>
      <c r="N65" s="89"/>
      <c r="O65" s="25"/>
      <c r="P65" s="43" t="s">
        <v>31</v>
      </c>
      <c r="Q65" s="32"/>
      <c r="R65" s="32"/>
      <c r="S65" s="38" t="s">
        <v>34</v>
      </c>
      <c r="T65" s="89"/>
      <c r="U65" s="25"/>
    </row>
    <row r="66" customFormat="false" ht="17.25" hidden="false" customHeight="false" outlineLevel="0" collapsed="false">
      <c r="A66" s="15" t="n">
        <v>46541</v>
      </c>
      <c r="B66" s="16" t="s">
        <v>6</v>
      </c>
      <c r="C66" s="30" t="s">
        <v>73</v>
      </c>
      <c r="D66" s="68" t="s">
        <v>19</v>
      </c>
      <c r="E66" s="45" t="s">
        <v>37</v>
      </c>
      <c r="F66" s="45" t="s">
        <v>38</v>
      </c>
      <c r="G66" s="45" t="s">
        <v>39</v>
      </c>
      <c r="H66" s="89"/>
      <c r="I66" s="24"/>
      <c r="J66" s="68" t="s">
        <v>19</v>
      </c>
      <c r="K66" s="45" t="s">
        <v>37</v>
      </c>
      <c r="L66" s="45" t="s">
        <v>38</v>
      </c>
      <c r="M66" s="45" t="s">
        <v>39</v>
      </c>
      <c r="N66" s="89"/>
      <c r="O66" s="25"/>
      <c r="P66" s="68" t="s">
        <v>19</v>
      </c>
      <c r="Q66" s="45" t="s">
        <v>37</v>
      </c>
      <c r="R66" s="45" t="s">
        <v>38</v>
      </c>
      <c r="S66" s="45" t="s">
        <v>39</v>
      </c>
      <c r="T66" s="89"/>
      <c r="U66" s="25"/>
      <c r="V66" s="29" t="s">
        <v>74</v>
      </c>
    </row>
    <row r="67" customFormat="false" ht="17.25" hidden="false" customHeight="false" outlineLevel="0" collapsed="false">
      <c r="A67" s="15" t="n">
        <v>46542</v>
      </c>
      <c r="B67" s="16" t="s">
        <v>8</v>
      </c>
      <c r="C67" s="28"/>
      <c r="D67" s="44" t="s">
        <v>41</v>
      </c>
      <c r="E67" s="45" t="s">
        <v>42</v>
      </c>
      <c r="F67" s="45" t="s">
        <v>43</v>
      </c>
      <c r="G67" s="45" t="s">
        <v>44</v>
      </c>
      <c r="H67" s="90" t="s">
        <v>29</v>
      </c>
      <c r="I67" s="74" t="s">
        <v>9</v>
      </c>
      <c r="J67" s="44" t="s">
        <v>41</v>
      </c>
      <c r="K67" s="45" t="s">
        <v>42</v>
      </c>
      <c r="L67" s="45" t="s">
        <v>43</v>
      </c>
      <c r="M67" s="45" t="s">
        <v>44</v>
      </c>
      <c r="N67" s="90" t="s">
        <v>29</v>
      </c>
      <c r="O67" s="75" t="s">
        <v>9</v>
      </c>
      <c r="P67" s="44" t="s">
        <v>41</v>
      </c>
      <c r="Q67" s="45" t="s">
        <v>42</v>
      </c>
      <c r="R67" s="45" t="s">
        <v>43</v>
      </c>
      <c r="S67" s="45" t="s">
        <v>44</v>
      </c>
      <c r="T67" s="90" t="s">
        <v>29</v>
      </c>
      <c r="U67" s="75" t="s">
        <v>9</v>
      </c>
    </row>
    <row r="68" customFormat="false" ht="17.25" hidden="false" customHeight="false" outlineLevel="0" collapsed="false">
      <c r="A68" s="26" t="n">
        <v>46543</v>
      </c>
      <c r="B68" s="27" t="s">
        <v>10</v>
      </c>
      <c r="C68" s="17"/>
      <c r="D68" s="22"/>
      <c r="E68" s="23"/>
      <c r="F68" s="23"/>
      <c r="G68" s="23"/>
      <c r="H68" s="89"/>
      <c r="I68" s="24"/>
      <c r="J68" s="22"/>
      <c r="K68" s="23"/>
      <c r="L68" s="23"/>
      <c r="M68" s="23"/>
      <c r="N68" s="89"/>
      <c r="O68" s="25"/>
      <c r="P68" s="22"/>
      <c r="Q68" s="23"/>
      <c r="R68" s="23"/>
      <c r="S68" s="23"/>
      <c r="T68" s="89"/>
      <c r="U68" s="25"/>
    </row>
    <row r="69" customFormat="false" ht="17.25" hidden="false" customHeight="false" outlineLevel="0" collapsed="false">
      <c r="A69" s="26" t="n">
        <v>46544</v>
      </c>
      <c r="B69" s="27" t="s">
        <v>4</v>
      </c>
      <c r="C69" s="17"/>
      <c r="D69" s="22"/>
      <c r="E69" s="23"/>
      <c r="F69" s="23"/>
      <c r="G69" s="23"/>
      <c r="H69" s="23"/>
      <c r="I69" s="24"/>
      <c r="J69" s="49"/>
      <c r="K69" s="50"/>
      <c r="L69" s="50"/>
      <c r="M69" s="50"/>
      <c r="N69" s="50"/>
      <c r="O69" s="51"/>
      <c r="P69" s="22"/>
      <c r="Q69" s="23"/>
      <c r="R69" s="23"/>
      <c r="S69" s="23"/>
      <c r="T69" s="23"/>
      <c r="U69" s="25"/>
    </row>
    <row r="70" customFormat="false" ht="17.25" hidden="false" customHeight="false" outlineLevel="0" collapsed="false">
      <c r="A70" s="15" t="n">
        <v>46545</v>
      </c>
      <c r="B70" s="16" t="s">
        <v>3</v>
      </c>
      <c r="C70" s="30" t="s">
        <v>75</v>
      </c>
      <c r="D70" s="68" t="s">
        <v>7</v>
      </c>
      <c r="E70" s="45" t="s">
        <v>20</v>
      </c>
      <c r="F70" s="45" t="s">
        <v>21</v>
      </c>
      <c r="G70" s="45" t="s">
        <v>22</v>
      </c>
      <c r="H70" s="45" t="s">
        <v>23</v>
      </c>
      <c r="I70" s="74" t="s">
        <v>9</v>
      </c>
      <c r="J70" s="91" t="s">
        <v>7</v>
      </c>
      <c r="K70" s="71" t="s">
        <v>20</v>
      </c>
      <c r="L70" s="71" t="s">
        <v>21</v>
      </c>
      <c r="M70" s="71" t="s">
        <v>22</v>
      </c>
      <c r="N70" s="71" t="s">
        <v>23</v>
      </c>
      <c r="O70" s="92" t="s">
        <v>9</v>
      </c>
      <c r="P70" s="22"/>
      <c r="Q70" s="23"/>
      <c r="R70" s="23"/>
      <c r="S70" s="23"/>
      <c r="T70" s="23"/>
      <c r="U70" s="25"/>
    </row>
    <row r="71" customFormat="false" ht="17.25" hidden="false" customHeight="false" outlineLevel="0" collapsed="false">
      <c r="A71" s="15" t="n">
        <v>46546</v>
      </c>
      <c r="B71" s="16" t="s">
        <v>14</v>
      </c>
      <c r="C71" s="30" t="s">
        <v>76</v>
      </c>
      <c r="D71" s="44" t="s">
        <v>25</v>
      </c>
      <c r="E71" s="45" t="s">
        <v>26</v>
      </c>
      <c r="F71" s="45" t="s">
        <v>27</v>
      </c>
      <c r="G71" s="45" t="s">
        <v>28</v>
      </c>
      <c r="H71" s="45" t="s">
        <v>29</v>
      </c>
      <c r="I71" s="74" t="s">
        <v>11</v>
      </c>
      <c r="J71" s="44" t="s">
        <v>25</v>
      </c>
      <c r="K71" s="45" t="s">
        <v>26</v>
      </c>
      <c r="L71" s="45" t="s">
        <v>27</v>
      </c>
      <c r="M71" s="45" t="s">
        <v>28</v>
      </c>
      <c r="N71" s="45" t="s">
        <v>29</v>
      </c>
      <c r="O71" s="75" t="s">
        <v>11</v>
      </c>
      <c r="P71" s="49"/>
      <c r="Q71" s="50"/>
      <c r="R71" s="50"/>
      <c r="S71" s="23"/>
      <c r="T71" s="23"/>
      <c r="U71" s="25"/>
    </row>
    <row r="72" customFormat="false" ht="17.25" hidden="false" customHeight="false" outlineLevel="0" collapsed="false">
      <c r="A72" s="15" t="n">
        <v>46547</v>
      </c>
      <c r="B72" s="16" t="s">
        <v>17</v>
      </c>
      <c r="C72" s="30" t="s">
        <v>76</v>
      </c>
      <c r="D72" s="68" t="s">
        <v>25</v>
      </c>
      <c r="E72" s="45" t="s">
        <v>32</v>
      </c>
      <c r="F72" s="45" t="s">
        <v>33</v>
      </c>
      <c r="G72" s="45" t="s">
        <v>34</v>
      </c>
      <c r="H72" s="45" t="s">
        <v>35</v>
      </c>
      <c r="I72" s="74" t="s">
        <v>9</v>
      </c>
      <c r="J72" s="68" t="s">
        <v>25</v>
      </c>
      <c r="K72" s="45" t="s">
        <v>32</v>
      </c>
      <c r="L72" s="45" t="s">
        <v>33</v>
      </c>
      <c r="M72" s="45" t="s">
        <v>34</v>
      </c>
      <c r="N72" s="45" t="s">
        <v>35</v>
      </c>
      <c r="O72" s="75" t="s">
        <v>9</v>
      </c>
      <c r="P72" s="22"/>
      <c r="Q72" s="23"/>
      <c r="R72" s="23"/>
      <c r="S72" s="23"/>
      <c r="T72" s="23"/>
      <c r="U72" s="25"/>
    </row>
    <row r="73" customFormat="false" ht="17.25" hidden="false" customHeight="false" outlineLevel="0" collapsed="false">
      <c r="A73" s="15" t="n">
        <v>46548</v>
      </c>
      <c r="B73" s="16" t="s">
        <v>6</v>
      </c>
      <c r="C73" s="30" t="s">
        <v>76</v>
      </c>
      <c r="D73" s="44" t="s">
        <v>36</v>
      </c>
      <c r="E73" s="45" t="s">
        <v>37</v>
      </c>
      <c r="F73" s="45" t="s">
        <v>38</v>
      </c>
      <c r="G73" s="45" t="s">
        <v>39</v>
      </c>
      <c r="H73" s="45" t="s">
        <v>40</v>
      </c>
      <c r="I73" s="24"/>
      <c r="J73" s="44" t="s">
        <v>36</v>
      </c>
      <c r="K73" s="45" t="s">
        <v>37</v>
      </c>
      <c r="L73" s="45" t="s">
        <v>38</v>
      </c>
      <c r="M73" s="45" t="s">
        <v>39</v>
      </c>
      <c r="N73" s="45" t="s">
        <v>40</v>
      </c>
      <c r="O73" s="25"/>
      <c r="P73" s="22"/>
      <c r="Q73" s="23"/>
      <c r="R73" s="23"/>
      <c r="S73" s="23"/>
      <c r="T73" s="23"/>
      <c r="U73" s="25"/>
    </row>
    <row r="74" customFormat="false" ht="17.25" hidden="false" customHeight="false" outlineLevel="0" collapsed="false">
      <c r="A74" s="15" t="n">
        <v>46549</v>
      </c>
      <c r="B74" s="16" t="s">
        <v>8</v>
      </c>
      <c r="C74" s="30" t="s">
        <v>77</v>
      </c>
      <c r="D74" s="68" t="s">
        <v>19</v>
      </c>
      <c r="E74" s="45" t="s">
        <v>42</v>
      </c>
      <c r="F74" s="45" t="s">
        <v>43</v>
      </c>
      <c r="G74" s="45" t="s">
        <v>44</v>
      </c>
      <c r="H74" s="45" t="s">
        <v>45</v>
      </c>
      <c r="I74" s="34" t="s">
        <v>12</v>
      </c>
      <c r="J74" s="68" t="s">
        <v>19</v>
      </c>
      <c r="K74" s="45" t="s">
        <v>42</v>
      </c>
      <c r="L74" s="45" t="s">
        <v>43</v>
      </c>
      <c r="M74" s="45" t="s">
        <v>44</v>
      </c>
      <c r="N74" s="45" t="s">
        <v>45</v>
      </c>
      <c r="O74" s="46" t="s">
        <v>12</v>
      </c>
      <c r="P74" s="22"/>
      <c r="Q74" s="23"/>
      <c r="R74" s="23"/>
      <c r="S74" s="23"/>
      <c r="T74" s="23"/>
      <c r="U74" s="37"/>
    </row>
    <row r="75" customFormat="false" ht="17.25" hidden="false" customHeight="false" outlineLevel="0" collapsed="false">
      <c r="A75" s="26" t="n">
        <v>46550</v>
      </c>
      <c r="B75" s="27" t="s">
        <v>10</v>
      </c>
      <c r="C75" s="17" t="s">
        <v>78</v>
      </c>
      <c r="D75" s="22"/>
      <c r="E75" s="23"/>
      <c r="F75" s="23"/>
      <c r="G75" s="23"/>
      <c r="H75" s="23"/>
      <c r="I75" s="24"/>
      <c r="J75" s="22"/>
      <c r="K75" s="23"/>
      <c r="L75" s="23"/>
      <c r="M75" s="23"/>
      <c r="N75" s="23"/>
      <c r="O75" s="25"/>
      <c r="P75" s="93"/>
      <c r="Q75" s="94"/>
      <c r="R75" s="95"/>
      <c r="S75" s="32"/>
      <c r="T75" s="32"/>
      <c r="U75" s="96"/>
    </row>
    <row r="76" customFormat="false" ht="17.25" hidden="false" customHeight="false" outlineLevel="0" collapsed="false">
      <c r="A76" s="26" t="n">
        <v>46551</v>
      </c>
      <c r="B76" s="27" t="s">
        <v>4</v>
      </c>
      <c r="C76" s="17"/>
      <c r="D76" s="22"/>
      <c r="E76" s="23"/>
      <c r="F76" s="23"/>
      <c r="G76" s="23"/>
      <c r="H76" s="23"/>
      <c r="I76" s="24"/>
      <c r="J76" s="22"/>
      <c r="K76" s="23"/>
      <c r="L76" s="23"/>
      <c r="M76" s="23"/>
      <c r="N76" s="23"/>
      <c r="O76" s="25"/>
      <c r="P76" s="22"/>
      <c r="Q76" s="23"/>
      <c r="R76" s="23"/>
      <c r="S76" s="23"/>
      <c r="T76" s="23"/>
      <c r="U76" s="25"/>
    </row>
    <row r="77" customFormat="false" ht="17.25" hidden="false" customHeight="false" outlineLevel="0" collapsed="false">
      <c r="A77" s="15" t="n">
        <v>46552</v>
      </c>
      <c r="B77" s="16" t="s">
        <v>3</v>
      </c>
      <c r="C77" s="30" t="s">
        <v>79</v>
      </c>
      <c r="D77" s="68" t="s">
        <v>11</v>
      </c>
      <c r="E77" s="45" t="s">
        <v>20</v>
      </c>
      <c r="F77" s="45" t="s">
        <v>21</v>
      </c>
      <c r="G77" s="45" t="s">
        <v>22</v>
      </c>
      <c r="H77" s="45" t="s">
        <v>23</v>
      </c>
      <c r="I77" s="52" t="s">
        <v>7</v>
      </c>
      <c r="J77" s="68" t="s">
        <v>11</v>
      </c>
      <c r="K77" s="45" t="s">
        <v>20</v>
      </c>
      <c r="L77" s="45" t="s">
        <v>21</v>
      </c>
      <c r="M77" s="45" t="s">
        <v>22</v>
      </c>
      <c r="N77" s="45" t="s">
        <v>23</v>
      </c>
      <c r="O77" s="53" t="s">
        <v>7</v>
      </c>
      <c r="P77" s="68" t="s">
        <v>11</v>
      </c>
      <c r="Q77" s="45" t="s">
        <v>20</v>
      </c>
      <c r="R77" s="45" t="s">
        <v>21</v>
      </c>
      <c r="S77" s="45" t="s">
        <v>22</v>
      </c>
      <c r="T77" s="45" t="s">
        <v>23</v>
      </c>
      <c r="U77" s="53" t="s">
        <v>7</v>
      </c>
    </row>
    <row r="78" customFormat="false" ht="17.25" hidden="false" customHeight="false" outlineLevel="0" collapsed="false">
      <c r="A78" s="15" t="n">
        <v>46553</v>
      </c>
      <c r="B78" s="16" t="s">
        <v>14</v>
      </c>
      <c r="C78" s="30" t="s">
        <v>80</v>
      </c>
      <c r="D78" s="44" t="s">
        <v>25</v>
      </c>
      <c r="E78" s="45" t="s">
        <v>26</v>
      </c>
      <c r="F78" s="45" t="s">
        <v>27</v>
      </c>
      <c r="G78" s="45" t="s">
        <v>28</v>
      </c>
      <c r="H78" s="45" t="s">
        <v>29</v>
      </c>
      <c r="I78" s="74" t="s">
        <v>11</v>
      </c>
      <c r="J78" s="44" t="s">
        <v>25</v>
      </c>
      <c r="K78" s="45" t="s">
        <v>26</v>
      </c>
      <c r="L78" s="45" t="s">
        <v>27</v>
      </c>
      <c r="M78" s="45" t="s">
        <v>28</v>
      </c>
      <c r="N78" s="45" t="s">
        <v>29</v>
      </c>
      <c r="O78" s="75" t="s">
        <v>11</v>
      </c>
      <c r="P78" s="97" t="s">
        <v>25</v>
      </c>
      <c r="Q78" s="98" t="s">
        <v>26</v>
      </c>
      <c r="R78" s="98" t="s">
        <v>27</v>
      </c>
      <c r="S78" s="56" t="s">
        <v>28</v>
      </c>
      <c r="T78" s="56" t="s">
        <v>29</v>
      </c>
      <c r="U78" s="99" t="s">
        <v>11</v>
      </c>
    </row>
    <row r="79" customFormat="false" ht="17.25" hidden="false" customHeight="false" outlineLevel="0" collapsed="false">
      <c r="A79" s="15" t="n">
        <v>46554</v>
      </c>
      <c r="B79" s="16" t="s">
        <v>17</v>
      </c>
      <c r="C79" s="30" t="s">
        <v>81</v>
      </c>
      <c r="D79" s="44" t="s">
        <v>31</v>
      </c>
      <c r="E79" s="45" t="s">
        <v>32</v>
      </c>
      <c r="F79" s="45" t="s">
        <v>33</v>
      </c>
      <c r="G79" s="45" t="s">
        <v>34</v>
      </c>
      <c r="H79" s="45" t="s">
        <v>35</v>
      </c>
      <c r="I79" s="74" t="s">
        <v>7</v>
      </c>
      <c r="J79" s="44" t="s">
        <v>31</v>
      </c>
      <c r="K79" s="45" t="s">
        <v>32</v>
      </c>
      <c r="L79" s="45" t="s">
        <v>33</v>
      </c>
      <c r="M79" s="45" t="s">
        <v>34</v>
      </c>
      <c r="N79" s="45" t="s">
        <v>35</v>
      </c>
      <c r="O79" s="75" t="s">
        <v>7</v>
      </c>
      <c r="P79" s="97" t="s">
        <v>31</v>
      </c>
      <c r="Q79" s="98" t="s">
        <v>32</v>
      </c>
      <c r="R79" s="98" t="s">
        <v>33</v>
      </c>
      <c r="S79" s="56" t="s">
        <v>34</v>
      </c>
      <c r="T79" s="56" t="s">
        <v>35</v>
      </c>
      <c r="U79" s="99" t="s">
        <v>7</v>
      </c>
    </row>
    <row r="80" customFormat="false" ht="17.25" hidden="false" customHeight="false" outlineLevel="0" collapsed="false">
      <c r="A80" s="15" t="n">
        <v>46555</v>
      </c>
      <c r="B80" s="16" t="s">
        <v>6</v>
      </c>
      <c r="C80" s="30" t="s">
        <v>82</v>
      </c>
      <c r="D80" s="44" t="s">
        <v>36</v>
      </c>
      <c r="E80" s="45" t="s">
        <v>37</v>
      </c>
      <c r="F80" s="45" t="s">
        <v>38</v>
      </c>
      <c r="G80" s="45" t="s">
        <v>39</v>
      </c>
      <c r="H80" s="45" t="s">
        <v>40</v>
      </c>
      <c r="I80" s="24"/>
      <c r="J80" s="44" t="s">
        <v>36</v>
      </c>
      <c r="K80" s="45" t="s">
        <v>37</v>
      </c>
      <c r="L80" s="45" t="s">
        <v>38</v>
      </c>
      <c r="M80" s="45" t="s">
        <v>39</v>
      </c>
      <c r="N80" s="45" t="s">
        <v>40</v>
      </c>
      <c r="O80" s="25"/>
      <c r="P80" s="93"/>
      <c r="Q80" s="94"/>
      <c r="R80" s="94"/>
      <c r="S80" s="56"/>
      <c r="T80" s="56"/>
      <c r="U80" s="78"/>
    </row>
    <row r="81" customFormat="false" ht="17.25" hidden="false" customHeight="false" outlineLevel="0" collapsed="false">
      <c r="A81" s="15" t="n">
        <v>46556</v>
      </c>
      <c r="B81" s="16" t="s">
        <v>8</v>
      </c>
      <c r="C81" s="30" t="s">
        <v>83</v>
      </c>
      <c r="D81" s="44" t="s">
        <v>41</v>
      </c>
      <c r="E81" s="45" t="s">
        <v>42</v>
      </c>
      <c r="F81" s="45" t="s">
        <v>43</v>
      </c>
      <c r="G81" s="45" t="s">
        <v>44</v>
      </c>
      <c r="H81" s="45" t="s">
        <v>45</v>
      </c>
      <c r="I81" s="100" t="s">
        <v>9</v>
      </c>
      <c r="J81" s="44" t="s">
        <v>41</v>
      </c>
      <c r="K81" s="45" t="s">
        <v>42</v>
      </c>
      <c r="L81" s="45" t="s">
        <v>43</v>
      </c>
      <c r="M81" s="45" t="s">
        <v>44</v>
      </c>
      <c r="N81" s="45" t="s">
        <v>45</v>
      </c>
      <c r="O81" s="101" t="s">
        <v>9</v>
      </c>
      <c r="P81" s="102" t="s">
        <v>41</v>
      </c>
      <c r="Q81" s="103" t="s">
        <v>42</v>
      </c>
      <c r="R81" s="103" t="s">
        <v>43</v>
      </c>
      <c r="S81" s="103" t="s">
        <v>44</v>
      </c>
      <c r="T81" s="103" t="s">
        <v>45</v>
      </c>
      <c r="U81" s="104" t="s">
        <v>9</v>
      </c>
    </row>
    <row r="82" customFormat="false" ht="17.25" hidden="false" customHeight="false" outlineLevel="0" collapsed="false">
      <c r="A82" s="26" t="n">
        <v>46557</v>
      </c>
      <c r="B82" s="27" t="s">
        <v>10</v>
      </c>
      <c r="C82" s="17"/>
      <c r="D82" s="22"/>
      <c r="E82" s="23"/>
      <c r="F82" s="23"/>
      <c r="G82" s="23"/>
      <c r="H82" s="23"/>
      <c r="I82" s="24"/>
      <c r="J82" s="22"/>
      <c r="K82" s="23"/>
      <c r="L82" s="23"/>
      <c r="M82" s="23"/>
      <c r="N82" s="23"/>
      <c r="O82" s="25"/>
      <c r="P82" s="49"/>
      <c r="Q82" s="50"/>
      <c r="R82" s="50"/>
      <c r="S82" s="50"/>
      <c r="T82" s="50"/>
      <c r="U82" s="51"/>
    </row>
    <row r="83" customFormat="false" ht="17.25" hidden="false" customHeight="false" outlineLevel="0" collapsed="false">
      <c r="A83" s="26" t="n">
        <v>46558</v>
      </c>
      <c r="B83" s="27" t="s">
        <v>4</v>
      </c>
      <c r="C83" s="17"/>
      <c r="D83" s="22"/>
      <c r="E83" s="23"/>
      <c r="F83" s="23"/>
      <c r="G83" s="23"/>
      <c r="H83" s="23"/>
      <c r="I83" s="24"/>
      <c r="J83" s="22"/>
      <c r="K83" s="23"/>
      <c r="L83" s="23"/>
      <c r="M83" s="23"/>
      <c r="N83" s="23"/>
      <c r="O83" s="25"/>
      <c r="P83" s="22"/>
      <c r="Q83" s="23"/>
      <c r="R83" s="23"/>
      <c r="S83" s="23"/>
      <c r="T83" s="23"/>
      <c r="U83" s="25"/>
    </row>
    <row r="84" customFormat="false" ht="17.25" hidden="false" customHeight="false" outlineLevel="0" collapsed="false">
      <c r="A84" s="15" t="n">
        <v>46559</v>
      </c>
      <c r="B84" s="16" t="s">
        <v>3</v>
      </c>
      <c r="C84" s="30" t="s">
        <v>84</v>
      </c>
      <c r="D84" s="44" t="s">
        <v>19</v>
      </c>
      <c r="E84" s="45" t="s">
        <v>20</v>
      </c>
      <c r="F84" s="45" t="s">
        <v>21</v>
      </c>
      <c r="G84" s="45" t="s">
        <v>22</v>
      </c>
      <c r="H84" s="45" t="s">
        <v>23</v>
      </c>
      <c r="I84" s="74" t="s">
        <v>11</v>
      </c>
      <c r="J84" s="44" t="s">
        <v>19</v>
      </c>
      <c r="K84" s="45" t="s">
        <v>20</v>
      </c>
      <c r="L84" s="45" t="s">
        <v>21</v>
      </c>
      <c r="M84" s="45" t="s">
        <v>22</v>
      </c>
      <c r="N84" s="45" t="s">
        <v>23</v>
      </c>
      <c r="O84" s="75" t="s">
        <v>11</v>
      </c>
      <c r="P84" s="44" t="s">
        <v>19</v>
      </c>
      <c r="Q84" s="45" t="s">
        <v>20</v>
      </c>
      <c r="R84" s="45" t="s">
        <v>21</v>
      </c>
      <c r="S84" s="45" t="s">
        <v>22</v>
      </c>
      <c r="T84" s="45" t="s">
        <v>23</v>
      </c>
      <c r="U84" s="75" t="s">
        <v>11</v>
      </c>
    </row>
    <row r="85" customFormat="false" ht="17.25" hidden="false" customHeight="false" outlineLevel="0" collapsed="false">
      <c r="A85" s="15" t="n">
        <v>46560</v>
      </c>
      <c r="B85" s="16" t="s">
        <v>14</v>
      </c>
      <c r="C85" s="30" t="s">
        <v>85</v>
      </c>
      <c r="D85" s="68" t="s">
        <v>36</v>
      </c>
      <c r="E85" s="58" t="s">
        <v>37</v>
      </c>
      <c r="F85" s="58" t="s">
        <v>38</v>
      </c>
      <c r="G85" s="45" t="s">
        <v>28</v>
      </c>
      <c r="H85" s="58" t="s">
        <v>40</v>
      </c>
      <c r="I85" s="34" t="s">
        <v>9</v>
      </c>
      <c r="J85" s="68" t="s">
        <v>36</v>
      </c>
      <c r="K85" s="58" t="s">
        <v>37</v>
      </c>
      <c r="L85" s="58" t="s">
        <v>38</v>
      </c>
      <c r="M85" s="45" t="s">
        <v>28</v>
      </c>
      <c r="N85" s="58" t="s">
        <v>40</v>
      </c>
      <c r="O85" s="46" t="s">
        <v>9</v>
      </c>
      <c r="P85" s="91" t="s">
        <v>36</v>
      </c>
      <c r="Q85" s="105" t="s">
        <v>37</v>
      </c>
      <c r="R85" s="105" t="s">
        <v>38</v>
      </c>
      <c r="S85" s="45" t="s">
        <v>28</v>
      </c>
      <c r="T85" s="58" t="s">
        <v>40</v>
      </c>
      <c r="U85" s="46" t="s">
        <v>9</v>
      </c>
    </row>
    <row r="86" customFormat="false" ht="17.25" hidden="false" customHeight="false" outlineLevel="0" collapsed="false">
      <c r="A86" s="15" t="n">
        <v>46561</v>
      </c>
      <c r="B86" s="16" t="s">
        <v>17</v>
      </c>
      <c r="C86" s="30" t="s">
        <v>84</v>
      </c>
      <c r="D86" s="44" t="s">
        <v>31</v>
      </c>
      <c r="E86" s="45" t="s">
        <v>32</v>
      </c>
      <c r="F86" s="45" t="s">
        <v>33</v>
      </c>
      <c r="G86" s="45" t="s">
        <v>34</v>
      </c>
      <c r="H86" s="45" t="s">
        <v>35</v>
      </c>
      <c r="I86" s="74" t="s">
        <v>7</v>
      </c>
      <c r="J86" s="44" t="s">
        <v>31</v>
      </c>
      <c r="K86" s="45" t="s">
        <v>32</v>
      </c>
      <c r="L86" s="45" t="s">
        <v>33</v>
      </c>
      <c r="M86" s="45" t="s">
        <v>34</v>
      </c>
      <c r="N86" s="45" t="s">
        <v>35</v>
      </c>
      <c r="O86" s="75" t="s">
        <v>7</v>
      </c>
      <c r="P86" s="44" t="s">
        <v>31</v>
      </c>
      <c r="Q86" s="45" t="s">
        <v>32</v>
      </c>
      <c r="R86" s="45" t="s">
        <v>33</v>
      </c>
      <c r="S86" s="45" t="s">
        <v>34</v>
      </c>
      <c r="T86" s="45" t="s">
        <v>35</v>
      </c>
      <c r="U86" s="75" t="s">
        <v>7</v>
      </c>
    </row>
    <row r="87" customFormat="false" ht="17.25" hidden="false" customHeight="false" outlineLevel="0" collapsed="false">
      <c r="A87" s="15" t="n">
        <v>46562</v>
      </c>
      <c r="B87" s="16" t="s">
        <v>6</v>
      </c>
      <c r="C87" s="30" t="s">
        <v>86</v>
      </c>
      <c r="D87" s="22"/>
      <c r="E87" s="23"/>
      <c r="F87" s="23"/>
      <c r="G87" s="23"/>
      <c r="H87" s="23"/>
      <c r="I87" s="24"/>
      <c r="J87" s="22"/>
      <c r="K87" s="23"/>
      <c r="L87" s="23"/>
      <c r="M87" s="23"/>
      <c r="N87" s="23"/>
      <c r="O87" s="25"/>
      <c r="P87" s="22"/>
      <c r="Q87" s="23"/>
      <c r="R87" s="23"/>
      <c r="S87" s="23"/>
      <c r="T87" s="23"/>
      <c r="U87" s="25"/>
    </row>
    <row r="88" s="73" customFormat="true" ht="17.25" hidden="false" customHeight="false" outlineLevel="0" collapsed="false">
      <c r="A88" s="15" t="n">
        <v>46563</v>
      </c>
      <c r="B88" s="16" t="s">
        <v>8</v>
      </c>
      <c r="C88" s="30" t="s">
        <v>86</v>
      </c>
      <c r="D88" s="22"/>
      <c r="E88" s="23"/>
      <c r="F88" s="23"/>
      <c r="G88" s="23"/>
      <c r="H88" s="23"/>
      <c r="I88" s="33"/>
      <c r="J88" s="22"/>
      <c r="K88" s="23"/>
      <c r="L88" s="23"/>
      <c r="M88" s="23"/>
      <c r="N88" s="23"/>
      <c r="O88" s="37"/>
      <c r="P88" s="22"/>
      <c r="Q88" s="23"/>
      <c r="R88" s="23"/>
      <c r="S88" s="23"/>
      <c r="T88" s="23"/>
      <c r="U88" s="37"/>
    </row>
    <row r="89" customFormat="false" ht="17.25" hidden="false" customHeight="false" outlineLevel="0" collapsed="false">
      <c r="A89" s="26" t="n">
        <v>46564</v>
      </c>
      <c r="B89" s="27" t="s">
        <v>10</v>
      </c>
      <c r="C89" s="17"/>
      <c r="D89" s="22"/>
      <c r="G89" s="23"/>
      <c r="H89" s="23"/>
      <c r="I89" s="24"/>
      <c r="J89" s="22"/>
      <c r="M89" s="23"/>
      <c r="N89" s="23"/>
      <c r="O89" s="25"/>
      <c r="P89" s="49"/>
      <c r="Q89" s="50"/>
      <c r="R89" s="50"/>
      <c r="S89" s="23"/>
      <c r="T89" s="23"/>
      <c r="U89" s="25"/>
    </row>
    <row r="90" customFormat="false" ht="17.25" hidden="false" customHeight="false" outlineLevel="0" collapsed="false">
      <c r="A90" s="26" t="n">
        <v>46565</v>
      </c>
      <c r="B90" s="27" t="s">
        <v>4</v>
      </c>
      <c r="C90" s="17"/>
      <c r="D90" s="49"/>
      <c r="E90" s="50"/>
      <c r="F90" s="50"/>
      <c r="G90" s="23"/>
      <c r="H90" s="23"/>
      <c r="I90" s="24"/>
      <c r="J90" s="49"/>
      <c r="K90" s="50"/>
      <c r="L90" s="50"/>
      <c r="M90" s="23"/>
      <c r="N90" s="23"/>
      <c r="O90" s="25"/>
      <c r="P90" s="49"/>
      <c r="Q90" s="50"/>
      <c r="R90" s="50"/>
      <c r="S90" s="23"/>
      <c r="T90" s="23"/>
      <c r="U90" s="25"/>
    </row>
    <row r="91" customFormat="false" ht="17.25" hidden="false" customHeight="false" outlineLevel="0" collapsed="false">
      <c r="A91" s="15" t="n">
        <v>46566</v>
      </c>
      <c r="B91" s="16" t="s">
        <v>3</v>
      </c>
      <c r="C91" s="30" t="s">
        <v>86</v>
      </c>
      <c r="D91" s="22"/>
      <c r="E91" s="23"/>
      <c r="F91" s="23"/>
      <c r="G91" s="23"/>
      <c r="H91" s="23"/>
      <c r="I91" s="24"/>
      <c r="J91" s="22"/>
      <c r="K91" s="23"/>
      <c r="L91" s="23"/>
      <c r="M91" s="23"/>
      <c r="N91" s="23"/>
      <c r="O91" s="25"/>
      <c r="P91" s="22"/>
      <c r="Q91" s="23"/>
      <c r="R91" s="23"/>
      <c r="S91" s="23"/>
      <c r="T91" s="23"/>
      <c r="U91" s="25"/>
    </row>
    <row r="92" customFormat="false" ht="17.25" hidden="false" customHeight="false" outlineLevel="0" collapsed="false">
      <c r="A92" s="15" t="n">
        <v>46567</v>
      </c>
      <c r="B92" s="16" t="s">
        <v>14</v>
      </c>
      <c r="C92" s="28"/>
      <c r="D92" s="106" t="s">
        <v>25</v>
      </c>
      <c r="E92" s="107" t="s">
        <v>26</v>
      </c>
      <c r="F92" s="107" t="s">
        <v>27</v>
      </c>
      <c r="G92" s="107" t="s">
        <v>28</v>
      </c>
      <c r="H92" s="107" t="s">
        <v>29</v>
      </c>
      <c r="I92" s="52" t="s">
        <v>9</v>
      </c>
      <c r="J92" s="44" t="s">
        <v>25</v>
      </c>
      <c r="K92" s="103" t="s">
        <v>26</v>
      </c>
      <c r="L92" s="103" t="s">
        <v>27</v>
      </c>
      <c r="M92" s="45" t="s">
        <v>28</v>
      </c>
      <c r="N92" s="45" t="s">
        <v>29</v>
      </c>
      <c r="O92" s="53" t="s">
        <v>9</v>
      </c>
      <c r="P92" s="70" t="s">
        <v>25</v>
      </c>
      <c r="Q92" s="71" t="s">
        <v>26</v>
      </c>
      <c r="R92" s="71" t="s">
        <v>27</v>
      </c>
      <c r="S92" s="45" t="s">
        <v>28</v>
      </c>
      <c r="T92" s="45" t="s">
        <v>29</v>
      </c>
      <c r="U92" s="53" t="s">
        <v>9</v>
      </c>
    </row>
    <row r="93" customFormat="false" ht="18" hidden="false" customHeight="true" outlineLevel="0" collapsed="false">
      <c r="A93" s="15" t="n">
        <v>46568</v>
      </c>
      <c r="B93" s="16" t="s">
        <v>17</v>
      </c>
      <c r="C93" s="30" t="s">
        <v>87</v>
      </c>
      <c r="D93" s="80" t="s">
        <v>31</v>
      </c>
      <c r="E93" s="81" t="s">
        <v>32</v>
      </c>
      <c r="F93" s="81" t="s">
        <v>33</v>
      </c>
      <c r="G93" s="81" t="s">
        <v>34</v>
      </c>
      <c r="H93" s="81" t="s">
        <v>35</v>
      </c>
      <c r="I93" s="108" t="s">
        <v>11</v>
      </c>
      <c r="J93" s="80" t="s">
        <v>31</v>
      </c>
      <c r="K93" s="81" t="s">
        <v>32</v>
      </c>
      <c r="L93" s="81" t="s">
        <v>33</v>
      </c>
      <c r="M93" s="81" t="s">
        <v>34</v>
      </c>
      <c r="N93" s="81" t="s">
        <v>35</v>
      </c>
      <c r="O93" s="109" t="s">
        <v>11</v>
      </c>
      <c r="P93" s="80" t="s">
        <v>31</v>
      </c>
      <c r="Q93" s="81" t="s">
        <v>32</v>
      </c>
      <c r="R93" s="81" t="s">
        <v>33</v>
      </c>
      <c r="S93" s="81" t="s">
        <v>34</v>
      </c>
      <c r="T93" s="81" t="s">
        <v>35</v>
      </c>
      <c r="U93" s="109" t="s">
        <v>11</v>
      </c>
    </row>
    <row r="94" customFormat="false" ht="17.25" hidden="false" customHeight="false" outlineLevel="0" collapsed="false">
      <c r="A94" s="15" t="n">
        <v>46569</v>
      </c>
      <c r="B94" s="16" t="s">
        <v>6</v>
      </c>
      <c r="C94" s="28"/>
      <c r="D94" s="110" t="s">
        <v>36</v>
      </c>
      <c r="E94" s="111" t="s">
        <v>37</v>
      </c>
      <c r="F94" s="111" t="s">
        <v>38</v>
      </c>
      <c r="G94" s="112" t="s">
        <v>28</v>
      </c>
      <c r="H94" s="111" t="s">
        <v>40</v>
      </c>
      <c r="I94" s="20"/>
      <c r="J94" s="110" t="s">
        <v>36</v>
      </c>
      <c r="K94" s="111" t="s">
        <v>37</v>
      </c>
      <c r="L94" s="111" t="s">
        <v>38</v>
      </c>
      <c r="M94" s="112" t="s">
        <v>28</v>
      </c>
      <c r="N94" s="111" t="s">
        <v>40</v>
      </c>
      <c r="O94" s="21"/>
      <c r="P94" s="110" t="s">
        <v>36</v>
      </c>
      <c r="Q94" s="111" t="s">
        <v>37</v>
      </c>
      <c r="R94" s="111" t="s">
        <v>38</v>
      </c>
      <c r="S94" s="112" t="s">
        <v>28</v>
      </c>
      <c r="T94" s="111" t="s">
        <v>40</v>
      </c>
      <c r="U94" s="21"/>
    </row>
    <row r="95" customFormat="false" ht="17.25" hidden="false" customHeight="false" outlineLevel="0" collapsed="false">
      <c r="A95" s="15" t="n">
        <v>46570</v>
      </c>
      <c r="B95" s="16" t="s">
        <v>8</v>
      </c>
      <c r="C95" s="30" t="s">
        <v>88</v>
      </c>
      <c r="D95" s="106" t="s">
        <v>41</v>
      </c>
      <c r="E95" s="107" t="s">
        <v>42</v>
      </c>
      <c r="F95" s="107" t="s">
        <v>43</v>
      </c>
      <c r="G95" s="113" t="s">
        <v>39</v>
      </c>
      <c r="H95" s="107" t="s">
        <v>45</v>
      </c>
      <c r="I95" s="34" t="s">
        <v>12</v>
      </c>
      <c r="J95" s="44" t="s">
        <v>41</v>
      </c>
      <c r="K95" s="45" t="s">
        <v>42</v>
      </c>
      <c r="L95" s="45" t="s">
        <v>43</v>
      </c>
      <c r="M95" s="58" t="s">
        <v>39</v>
      </c>
      <c r="N95" s="45" t="s">
        <v>45</v>
      </c>
      <c r="O95" s="46" t="s">
        <v>12</v>
      </c>
      <c r="P95" s="44" t="s">
        <v>41</v>
      </c>
      <c r="Q95" s="45" t="s">
        <v>42</v>
      </c>
      <c r="R95" s="45" t="s">
        <v>43</v>
      </c>
      <c r="S95" s="58" t="s">
        <v>39</v>
      </c>
      <c r="T95" s="23"/>
      <c r="U95" s="37"/>
    </row>
    <row r="96" customFormat="false" ht="17.25" hidden="false" customHeight="false" outlineLevel="0" collapsed="false">
      <c r="A96" s="26" t="n">
        <v>46571</v>
      </c>
      <c r="B96" s="27" t="s">
        <v>10</v>
      </c>
      <c r="C96" s="17"/>
      <c r="D96" s="22"/>
      <c r="E96" s="23"/>
      <c r="F96" s="23"/>
      <c r="G96" s="23"/>
      <c r="H96" s="24"/>
      <c r="I96" s="24"/>
      <c r="J96" s="22"/>
      <c r="K96" s="23"/>
      <c r="L96" s="23"/>
      <c r="M96" s="23"/>
      <c r="N96" s="24"/>
      <c r="O96" s="25"/>
      <c r="P96" s="22"/>
      <c r="Q96" s="23"/>
      <c r="R96" s="23"/>
      <c r="S96" s="23"/>
      <c r="T96" s="24"/>
      <c r="U96" s="25"/>
    </row>
    <row r="97" customFormat="false" ht="17.25" hidden="false" customHeight="false" outlineLevel="0" collapsed="false">
      <c r="A97" s="26" t="n">
        <v>46572</v>
      </c>
      <c r="B97" s="27" t="s">
        <v>4</v>
      </c>
      <c r="C97" s="17"/>
      <c r="D97" s="22"/>
      <c r="E97" s="23"/>
      <c r="F97" s="23"/>
      <c r="G97" s="23"/>
      <c r="H97" s="23"/>
      <c r="I97" s="24"/>
      <c r="J97" s="22"/>
      <c r="K97" s="23"/>
      <c r="L97" s="23"/>
      <c r="M97" s="23"/>
      <c r="N97" s="23"/>
      <c r="O97" s="25"/>
      <c r="P97" s="22"/>
      <c r="Q97" s="23"/>
      <c r="R97" s="23"/>
      <c r="S97" s="23"/>
      <c r="T97" s="23"/>
      <c r="U97" s="25"/>
    </row>
    <row r="98" customFormat="false" ht="17.25" hidden="false" customHeight="false" outlineLevel="0" collapsed="false">
      <c r="A98" s="15" t="n">
        <v>46573</v>
      </c>
      <c r="B98" s="16" t="s">
        <v>3</v>
      </c>
      <c r="C98" s="30" t="s">
        <v>89</v>
      </c>
      <c r="D98" s="44" t="s">
        <v>19</v>
      </c>
      <c r="E98" s="45" t="s">
        <v>20</v>
      </c>
      <c r="F98" s="45" t="s">
        <v>21</v>
      </c>
      <c r="G98" s="45" t="s">
        <v>22</v>
      </c>
      <c r="H98" s="23"/>
      <c r="I98" s="24"/>
      <c r="J98" s="44" t="s">
        <v>19</v>
      </c>
      <c r="K98" s="45" t="s">
        <v>20</v>
      </c>
      <c r="L98" s="45" t="s">
        <v>21</v>
      </c>
      <c r="M98" s="45" t="s">
        <v>22</v>
      </c>
      <c r="N98" s="23"/>
      <c r="O98" s="25"/>
      <c r="P98" s="44" t="s">
        <v>19</v>
      </c>
      <c r="Q98" s="45" t="s">
        <v>20</v>
      </c>
      <c r="R98" s="45" t="s">
        <v>21</v>
      </c>
      <c r="S98" s="45" t="s">
        <v>22</v>
      </c>
      <c r="T98" s="23"/>
      <c r="U98" s="25"/>
    </row>
    <row r="99" customFormat="false" ht="17.25" hidden="false" customHeight="false" outlineLevel="0" collapsed="false">
      <c r="A99" s="15" t="n">
        <v>46574</v>
      </c>
      <c r="B99" s="16" t="s">
        <v>14</v>
      </c>
      <c r="C99" s="30" t="s">
        <v>90</v>
      </c>
      <c r="D99" s="44" t="s">
        <v>25</v>
      </c>
      <c r="E99" s="45" t="s">
        <v>26</v>
      </c>
      <c r="F99" s="45" t="s">
        <v>27</v>
      </c>
      <c r="G99" s="45" t="s">
        <v>28</v>
      </c>
      <c r="H99" s="89"/>
      <c r="I99" s="24"/>
      <c r="J99" s="44" t="s">
        <v>25</v>
      </c>
      <c r="K99" s="45" t="s">
        <v>26</v>
      </c>
      <c r="L99" s="45" t="s">
        <v>27</v>
      </c>
      <c r="M99" s="45" t="s">
        <v>28</v>
      </c>
      <c r="N99" s="89"/>
      <c r="O99" s="25"/>
      <c r="P99" s="44" t="s">
        <v>25</v>
      </c>
      <c r="Q99" s="45" t="s">
        <v>26</v>
      </c>
      <c r="R99" s="45" t="s">
        <v>27</v>
      </c>
      <c r="S99" s="45" t="s">
        <v>28</v>
      </c>
      <c r="T99" s="89"/>
      <c r="U99" s="25"/>
    </row>
    <row r="100" customFormat="false" ht="17.25" hidden="false" customHeight="false" outlineLevel="0" collapsed="false">
      <c r="A100" s="15" t="n">
        <v>46575</v>
      </c>
      <c r="B100" s="16" t="s">
        <v>17</v>
      </c>
      <c r="C100" s="30" t="s">
        <v>91</v>
      </c>
      <c r="D100" s="68" t="s">
        <v>12</v>
      </c>
      <c r="E100" s="45" t="s">
        <v>32</v>
      </c>
      <c r="F100" s="45" t="s">
        <v>33</v>
      </c>
      <c r="G100" s="45" t="s">
        <v>34</v>
      </c>
      <c r="H100" s="89"/>
      <c r="I100" s="24"/>
      <c r="J100" s="68" t="s">
        <v>12</v>
      </c>
      <c r="K100" s="45" t="s">
        <v>32</v>
      </c>
      <c r="L100" s="45" t="s">
        <v>33</v>
      </c>
      <c r="M100" s="45" t="s">
        <v>34</v>
      </c>
      <c r="N100" s="89"/>
      <c r="O100" s="25"/>
      <c r="P100" s="68" t="s">
        <v>12</v>
      </c>
      <c r="Q100" s="45" t="s">
        <v>32</v>
      </c>
      <c r="R100" s="45" t="s">
        <v>33</v>
      </c>
      <c r="S100" s="45" t="s">
        <v>34</v>
      </c>
      <c r="T100" s="89"/>
      <c r="U100" s="25"/>
    </row>
    <row r="101" customFormat="false" ht="17.25" hidden="false" customHeight="false" outlineLevel="0" collapsed="false">
      <c r="A101" s="15" t="n">
        <v>46576</v>
      </c>
      <c r="B101" s="16" t="s">
        <v>6</v>
      </c>
      <c r="C101" s="30" t="s">
        <v>92</v>
      </c>
      <c r="D101" s="44" t="s">
        <v>36</v>
      </c>
      <c r="E101" s="45" t="s">
        <v>37</v>
      </c>
      <c r="F101" s="45" t="s">
        <v>38</v>
      </c>
      <c r="G101" s="45" t="s">
        <v>39</v>
      </c>
      <c r="H101" s="89"/>
      <c r="I101" s="24"/>
      <c r="J101" s="44" t="s">
        <v>36</v>
      </c>
      <c r="K101" s="45" t="s">
        <v>37</v>
      </c>
      <c r="L101" s="45" t="s">
        <v>38</v>
      </c>
      <c r="M101" s="45" t="s">
        <v>39</v>
      </c>
      <c r="N101" s="89"/>
      <c r="O101" s="25"/>
      <c r="P101" s="44" t="s">
        <v>36</v>
      </c>
      <c r="Q101" s="45" t="s">
        <v>37</v>
      </c>
      <c r="R101" s="45" t="s">
        <v>38</v>
      </c>
      <c r="S101" s="45" t="s">
        <v>39</v>
      </c>
      <c r="T101" s="89"/>
      <c r="U101" s="25"/>
    </row>
    <row r="102" customFormat="false" ht="17.25" hidden="false" customHeight="false" outlineLevel="0" collapsed="false">
      <c r="A102" s="15" t="n">
        <v>46577</v>
      </c>
      <c r="B102" s="16" t="s">
        <v>8</v>
      </c>
      <c r="C102" s="28"/>
      <c r="D102" s="44" t="s">
        <v>41</v>
      </c>
      <c r="E102" s="45" t="s">
        <v>42</v>
      </c>
      <c r="F102" s="45" t="s">
        <v>43</v>
      </c>
      <c r="G102" s="45" t="s">
        <v>44</v>
      </c>
      <c r="H102" s="90" t="s">
        <v>23</v>
      </c>
      <c r="I102" s="74" t="s">
        <v>7</v>
      </c>
      <c r="J102" s="44" t="s">
        <v>41</v>
      </c>
      <c r="K102" s="45" t="s">
        <v>42</v>
      </c>
      <c r="L102" s="45" t="s">
        <v>43</v>
      </c>
      <c r="M102" s="45" t="s">
        <v>44</v>
      </c>
      <c r="N102" s="90" t="s">
        <v>23</v>
      </c>
      <c r="O102" s="75" t="s">
        <v>7</v>
      </c>
      <c r="P102" s="44" t="s">
        <v>41</v>
      </c>
      <c r="Q102" s="45" t="s">
        <v>42</v>
      </c>
      <c r="R102" s="45" t="s">
        <v>43</v>
      </c>
      <c r="S102" s="45" t="s">
        <v>44</v>
      </c>
      <c r="T102" s="90" t="s">
        <v>23</v>
      </c>
      <c r="U102" s="75" t="s">
        <v>7</v>
      </c>
    </row>
    <row r="103" customFormat="false" ht="17.25" hidden="false" customHeight="false" outlineLevel="0" collapsed="false">
      <c r="A103" s="26" t="n">
        <v>46578</v>
      </c>
      <c r="B103" s="27" t="s">
        <v>10</v>
      </c>
      <c r="C103" s="17"/>
      <c r="D103" s="22"/>
      <c r="E103" s="23"/>
      <c r="F103" s="23"/>
      <c r="G103" s="23"/>
      <c r="H103" s="89"/>
      <c r="I103" s="24"/>
      <c r="J103" s="22"/>
      <c r="K103" s="23"/>
      <c r="L103" s="23"/>
      <c r="M103" s="23"/>
      <c r="N103" s="89"/>
      <c r="O103" s="25"/>
      <c r="P103" s="22"/>
      <c r="Q103" s="23"/>
      <c r="R103" s="23"/>
      <c r="S103" s="23"/>
      <c r="T103" s="89"/>
      <c r="U103" s="25"/>
      <c r="V103" s="57" t="s">
        <v>43</v>
      </c>
      <c r="W103" s="114" t="s">
        <v>45</v>
      </c>
    </row>
    <row r="104" customFormat="false" ht="17.25" hidden="false" customHeight="false" outlineLevel="0" collapsed="false">
      <c r="A104" s="26" t="n">
        <v>46579</v>
      </c>
      <c r="B104" s="27" t="s">
        <v>4</v>
      </c>
      <c r="C104" s="17"/>
      <c r="D104" s="22"/>
      <c r="E104" s="23"/>
      <c r="F104" s="23"/>
      <c r="G104" s="23"/>
      <c r="H104" s="23"/>
      <c r="I104" s="24"/>
      <c r="J104" s="22"/>
      <c r="K104" s="23"/>
      <c r="L104" s="23"/>
      <c r="M104" s="23"/>
      <c r="N104" s="23"/>
      <c r="O104" s="25"/>
      <c r="P104" s="22"/>
      <c r="Q104" s="23"/>
      <c r="R104" s="23"/>
      <c r="S104" s="23"/>
      <c r="T104" s="23"/>
      <c r="U104" s="25"/>
    </row>
    <row r="105" customFormat="false" ht="17.25" hidden="false" customHeight="false" outlineLevel="0" collapsed="false">
      <c r="A105" s="15" t="n">
        <v>46580</v>
      </c>
      <c r="B105" s="16" t="s">
        <v>3</v>
      </c>
      <c r="C105" s="30" t="s">
        <v>93</v>
      </c>
      <c r="D105" s="44" t="s">
        <v>19</v>
      </c>
      <c r="E105" s="45" t="s">
        <v>20</v>
      </c>
      <c r="F105" s="45" t="s">
        <v>21</v>
      </c>
      <c r="G105" s="45" t="s">
        <v>22</v>
      </c>
      <c r="H105" s="45" t="s">
        <v>23</v>
      </c>
      <c r="I105" s="74" t="s">
        <v>9</v>
      </c>
      <c r="J105" s="44" t="s">
        <v>19</v>
      </c>
      <c r="K105" s="45" t="s">
        <v>20</v>
      </c>
      <c r="L105" s="45" t="s">
        <v>21</v>
      </c>
      <c r="M105" s="45" t="s">
        <v>22</v>
      </c>
      <c r="N105" s="45" t="s">
        <v>23</v>
      </c>
      <c r="O105" s="54" t="s">
        <v>9</v>
      </c>
      <c r="P105" s="44" t="s">
        <v>19</v>
      </c>
      <c r="Q105" s="45" t="s">
        <v>20</v>
      </c>
      <c r="R105" s="45" t="s">
        <v>21</v>
      </c>
      <c r="S105" s="45" t="s">
        <v>22</v>
      </c>
      <c r="T105" s="45" t="s">
        <v>23</v>
      </c>
      <c r="U105" s="75" t="s">
        <v>9</v>
      </c>
    </row>
    <row r="106" customFormat="false" ht="17.25" hidden="false" customHeight="false" outlineLevel="0" collapsed="false">
      <c r="A106" s="15" t="n">
        <v>46581</v>
      </c>
      <c r="B106" s="16" t="s">
        <v>14</v>
      </c>
      <c r="C106" s="28"/>
      <c r="D106" s="70" t="s">
        <v>25</v>
      </c>
      <c r="E106" s="71" t="s">
        <v>26</v>
      </c>
      <c r="F106" s="71" t="s">
        <v>27</v>
      </c>
      <c r="G106" s="45" t="s">
        <v>28</v>
      </c>
      <c r="H106" s="58" t="s">
        <v>23</v>
      </c>
      <c r="I106" s="52" t="s">
        <v>9</v>
      </c>
      <c r="J106" s="70" t="s">
        <v>25</v>
      </c>
      <c r="K106" s="71" t="s">
        <v>26</v>
      </c>
      <c r="L106" s="71" t="s">
        <v>27</v>
      </c>
      <c r="M106" s="45" t="s">
        <v>28</v>
      </c>
      <c r="N106" s="58" t="s">
        <v>23</v>
      </c>
      <c r="O106" s="53" t="s">
        <v>9</v>
      </c>
      <c r="P106" s="70" t="s">
        <v>25</v>
      </c>
      <c r="Q106" s="71" t="s">
        <v>26</v>
      </c>
      <c r="R106" s="71" t="s">
        <v>27</v>
      </c>
      <c r="S106" s="45" t="s">
        <v>28</v>
      </c>
      <c r="T106" s="58" t="s">
        <v>23</v>
      </c>
      <c r="U106" s="53" t="s">
        <v>9</v>
      </c>
    </row>
    <row r="107" customFormat="false" ht="17.25" hidden="false" customHeight="false" outlineLevel="0" collapsed="false">
      <c r="A107" s="15" t="n">
        <v>46582</v>
      </c>
      <c r="B107" s="16" t="s">
        <v>17</v>
      </c>
      <c r="C107" s="28"/>
      <c r="D107" s="44" t="s">
        <v>31</v>
      </c>
      <c r="E107" s="58" t="s">
        <v>12</v>
      </c>
      <c r="F107" s="45" t="s">
        <v>33</v>
      </c>
      <c r="G107" s="45" t="s">
        <v>34</v>
      </c>
      <c r="H107" s="58" t="s">
        <v>45</v>
      </c>
      <c r="I107" s="52" t="s">
        <v>11</v>
      </c>
      <c r="J107" s="44" t="s">
        <v>31</v>
      </c>
      <c r="K107" s="58" t="s">
        <v>12</v>
      </c>
      <c r="L107" s="45" t="s">
        <v>33</v>
      </c>
      <c r="M107" s="45" t="s">
        <v>34</v>
      </c>
      <c r="N107" s="58" t="s">
        <v>45</v>
      </c>
      <c r="O107" s="53" t="s">
        <v>11</v>
      </c>
      <c r="P107" s="44" t="s">
        <v>31</v>
      </c>
      <c r="Q107" s="58" t="s">
        <v>12</v>
      </c>
      <c r="R107" s="45" t="s">
        <v>33</v>
      </c>
      <c r="S107" s="45" t="s">
        <v>34</v>
      </c>
      <c r="T107" s="58" t="s">
        <v>45</v>
      </c>
      <c r="U107" s="53" t="s">
        <v>11</v>
      </c>
    </row>
    <row r="108" customFormat="false" ht="17.25" hidden="false" customHeight="false" outlineLevel="0" collapsed="false">
      <c r="A108" s="15" t="n">
        <v>46583</v>
      </c>
      <c r="B108" s="16" t="s">
        <v>6</v>
      </c>
      <c r="C108" s="30" t="s">
        <v>94</v>
      </c>
      <c r="D108" s="44" t="s">
        <v>36</v>
      </c>
      <c r="E108" s="45" t="s">
        <v>37</v>
      </c>
      <c r="F108" s="45" t="s">
        <v>38</v>
      </c>
      <c r="G108" s="45" t="s">
        <v>39</v>
      </c>
      <c r="H108" s="45" t="s">
        <v>40</v>
      </c>
      <c r="I108" s="24"/>
      <c r="J108" s="44" t="s">
        <v>36</v>
      </c>
      <c r="K108" s="45" t="s">
        <v>37</v>
      </c>
      <c r="L108" s="45" t="s">
        <v>38</v>
      </c>
      <c r="M108" s="45" t="s">
        <v>39</v>
      </c>
      <c r="N108" s="45" t="s">
        <v>40</v>
      </c>
      <c r="O108" s="25"/>
      <c r="P108" s="44" t="s">
        <v>36</v>
      </c>
      <c r="Q108" s="45" t="s">
        <v>37</v>
      </c>
      <c r="R108" s="45" t="s">
        <v>38</v>
      </c>
      <c r="S108" s="45" t="s">
        <v>39</v>
      </c>
      <c r="T108" s="45" t="s">
        <v>40</v>
      </c>
      <c r="U108" s="25"/>
    </row>
    <row r="109" customFormat="false" ht="17.25" hidden="false" customHeight="false" outlineLevel="0" collapsed="false">
      <c r="A109" s="15" t="n">
        <v>46584</v>
      </c>
      <c r="B109" s="16" t="s">
        <v>8</v>
      </c>
      <c r="C109" s="30" t="s">
        <v>95</v>
      </c>
      <c r="D109" s="44" t="s">
        <v>41</v>
      </c>
      <c r="E109" s="45" t="s">
        <v>42</v>
      </c>
      <c r="F109" s="23"/>
      <c r="G109" s="45" t="s">
        <v>44</v>
      </c>
      <c r="H109" s="58" t="s">
        <v>35</v>
      </c>
      <c r="I109" s="24"/>
      <c r="J109" s="44" t="s">
        <v>41</v>
      </c>
      <c r="K109" s="45" t="s">
        <v>42</v>
      </c>
      <c r="L109" s="23"/>
      <c r="M109" s="45" t="s">
        <v>44</v>
      </c>
      <c r="N109" s="58" t="s">
        <v>35</v>
      </c>
      <c r="O109" s="25"/>
      <c r="P109" s="44" t="s">
        <v>41</v>
      </c>
      <c r="Q109" s="45" t="s">
        <v>42</v>
      </c>
      <c r="R109" s="23"/>
      <c r="S109" s="45" t="s">
        <v>44</v>
      </c>
      <c r="T109" s="58" t="s">
        <v>35</v>
      </c>
      <c r="U109" s="25"/>
    </row>
    <row r="110" customFormat="false" ht="17.25" hidden="false" customHeight="false" outlineLevel="0" collapsed="false">
      <c r="A110" s="26" t="n">
        <v>46585</v>
      </c>
      <c r="B110" s="27" t="s">
        <v>10</v>
      </c>
      <c r="C110" s="17" t="s">
        <v>79</v>
      </c>
      <c r="D110" s="22"/>
      <c r="E110" s="23"/>
      <c r="I110" s="24"/>
      <c r="J110" s="22"/>
      <c r="K110" s="23"/>
      <c r="O110" s="25"/>
      <c r="P110" s="22"/>
      <c r="Q110" s="23"/>
      <c r="U110" s="25"/>
    </row>
    <row r="111" customFormat="false" ht="17.25" hidden="false" customHeight="false" outlineLevel="0" collapsed="false">
      <c r="A111" s="26" t="n">
        <v>46586</v>
      </c>
      <c r="B111" s="27" t="s">
        <v>4</v>
      </c>
      <c r="C111" s="17"/>
      <c r="D111" s="22"/>
      <c r="E111" s="23"/>
      <c r="F111" s="23"/>
      <c r="G111" s="23"/>
      <c r="H111" s="23"/>
      <c r="I111" s="24"/>
      <c r="J111" s="22"/>
      <c r="K111" s="23"/>
      <c r="L111" s="23"/>
      <c r="M111" s="23"/>
      <c r="N111" s="23"/>
      <c r="O111" s="25"/>
      <c r="P111" s="22"/>
      <c r="Q111" s="23"/>
      <c r="R111" s="23"/>
      <c r="S111" s="23"/>
      <c r="T111" s="23"/>
      <c r="U111" s="25"/>
    </row>
    <row r="112" customFormat="false" ht="17.25" hidden="false" customHeight="false" outlineLevel="0" collapsed="false">
      <c r="A112" s="26" t="n">
        <v>46587</v>
      </c>
      <c r="B112" s="27" t="s">
        <v>3</v>
      </c>
      <c r="C112" s="17" t="s">
        <v>96</v>
      </c>
      <c r="D112" s="22"/>
      <c r="E112" s="23"/>
      <c r="F112" s="23"/>
      <c r="G112" s="23"/>
      <c r="H112" s="23"/>
      <c r="I112" s="24"/>
      <c r="J112" s="22"/>
      <c r="K112" s="23"/>
      <c r="L112" s="23"/>
      <c r="M112" s="23"/>
      <c r="N112" s="23"/>
      <c r="O112" s="25"/>
      <c r="P112" s="22"/>
      <c r="Q112" s="23"/>
      <c r="R112" s="23"/>
      <c r="S112" s="23"/>
      <c r="T112" s="23"/>
      <c r="U112" s="25"/>
    </row>
    <row r="113" customFormat="false" ht="17.25" hidden="false" customHeight="false" outlineLevel="0" collapsed="false">
      <c r="A113" s="15" t="n">
        <v>46588</v>
      </c>
      <c r="B113" s="16" t="s">
        <v>14</v>
      </c>
      <c r="C113" s="30" t="s">
        <v>97</v>
      </c>
      <c r="D113" s="22"/>
      <c r="E113" s="45" t="s">
        <v>26</v>
      </c>
      <c r="F113" s="23"/>
      <c r="G113" s="23"/>
      <c r="H113" s="23"/>
      <c r="I113" s="24"/>
      <c r="J113" s="22"/>
      <c r="K113" s="45" t="s">
        <v>26</v>
      </c>
      <c r="L113" s="23"/>
      <c r="M113" s="23"/>
      <c r="N113" s="23"/>
      <c r="O113" s="25"/>
      <c r="P113" s="22"/>
      <c r="Q113" s="45" t="s">
        <v>26</v>
      </c>
      <c r="R113" s="23"/>
      <c r="S113" s="23"/>
      <c r="T113" s="23"/>
      <c r="U113" s="25"/>
    </row>
    <row r="114" customFormat="false" ht="17.25" hidden="false" customHeight="false" outlineLevel="0" collapsed="false">
      <c r="A114" s="15" t="n">
        <v>46589</v>
      </c>
      <c r="B114" s="16" t="s">
        <v>17</v>
      </c>
      <c r="C114" s="30" t="s">
        <v>98</v>
      </c>
      <c r="D114" s="22"/>
      <c r="E114" s="23"/>
      <c r="F114" s="23"/>
      <c r="G114" s="23"/>
      <c r="H114" s="23"/>
      <c r="I114" s="24"/>
      <c r="J114" s="22"/>
      <c r="K114" s="23"/>
      <c r="L114" s="23"/>
      <c r="M114" s="23"/>
      <c r="N114" s="23"/>
      <c r="O114" s="25"/>
      <c r="P114" s="22"/>
      <c r="Q114" s="23"/>
      <c r="R114" s="23"/>
      <c r="S114" s="23"/>
      <c r="T114" s="23"/>
      <c r="U114" s="25"/>
    </row>
    <row r="115" customFormat="false" ht="17.25" hidden="false" customHeight="false" outlineLevel="0" collapsed="false">
      <c r="A115" s="15" t="n">
        <v>46590</v>
      </c>
      <c r="B115" s="16" t="s">
        <v>6</v>
      </c>
      <c r="C115" s="28"/>
      <c r="D115" s="22"/>
      <c r="E115" s="23"/>
      <c r="F115" s="23"/>
      <c r="G115" s="23"/>
      <c r="H115" s="23"/>
      <c r="I115" s="24"/>
      <c r="J115" s="22"/>
      <c r="K115" s="23"/>
      <c r="L115" s="23"/>
      <c r="M115" s="23"/>
      <c r="N115" s="23"/>
      <c r="O115" s="25"/>
      <c r="P115" s="22"/>
      <c r="Q115" s="23"/>
      <c r="R115" s="23"/>
      <c r="S115" s="23"/>
      <c r="T115" s="23"/>
      <c r="U115" s="25"/>
    </row>
    <row r="116" customFormat="false" ht="17.25" hidden="false" customHeight="false" outlineLevel="0" collapsed="false">
      <c r="A116" s="15" t="n">
        <v>46591</v>
      </c>
      <c r="B116" s="16" t="s">
        <v>8</v>
      </c>
      <c r="C116" s="28"/>
      <c r="D116" s="22"/>
      <c r="E116" s="23"/>
      <c r="F116" s="23"/>
      <c r="G116" s="23"/>
      <c r="H116" s="23"/>
      <c r="I116" s="24"/>
      <c r="J116" s="22"/>
      <c r="K116" s="23"/>
      <c r="L116" s="23"/>
      <c r="M116" s="23"/>
      <c r="N116" s="23"/>
      <c r="O116" s="25"/>
      <c r="P116" s="22"/>
      <c r="Q116" s="23"/>
      <c r="R116" s="23"/>
      <c r="S116" s="23"/>
      <c r="T116" s="23"/>
      <c r="U116" s="25"/>
    </row>
    <row r="117" customFormat="false" ht="17.25" hidden="false" customHeight="false" outlineLevel="0" collapsed="false">
      <c r="A117" s="26" t="n">
        <v>46592</v>
      </c>
      <c r="B117" s="27" t="s">
        <v>10</v>
      </c>
      <c r="C117" s="17"/>
      <c r="D117" s="22"/>
      <c r="E117" s="23"/>
      <c r="F117" s="23"/>
      <c r="G117" s="23"/>
      <c r="H117" s="23"/>
      <c r="I117" s="24"/>
      <c r="J117" s="22"/>
      <c r="K117" s="23"/>
      <c r="L117" s="23"/>
      <c r="M117" s="23"/>
      <c r="N117" s="23"/>
      <c r="O117" s="25"/>
      <c r="P117" s="22"/>
      <c r="Q117" s="23"/>
      <c r="R117" s="23"/>
      <c r="S117" s="23"/>
      <c r="T117" s="23"/>
      <c r="U117" s="25"/>
    </row>
    <row r="118" customFormat="false" ht="17.25" hidden="false" customHeight="false" outlineLevel="0" collapsed="false">
      <c r="A118" s="26" t="n">
        <v>46593</v>
      </c>
      <c r="B118" s="27" t="s">
        <v>4</v>
      </c>
      <c r="C118" s="17"/>
      <c r="D118" s="22"/>
      <c r="E118" s="23"/>
      <c r="F118" s="23"/>
      <c r="G118" s="23"/>
      <c r="H118" s="23"/>
      <c r="I118" s="24"/>
      <c r="J118" s="22"/>
      <c r="K118" s="23"/>
      <c r="L118" s="23"/>
      <c r="M118" s="23"/>
      <c r="N118" s="23"/>
      <c r="O118" s="25"/>
      <c r="P118" s="22"/>
      <c r="Q118" s="23"/>
      <c r="R118" s="23"/>
      <c r="S118" s="23"/>
      <c r="T118" s="23"/>
      <c r="U118" s="25"/>
    </row>
    <row r="119" customFormat="false" ht="17.25" hidden="false" customHeight="false" outlineLevel="0" collapsed="false">
      <c r="A119" s="15" t="n">
        <v>46594</v>
      </c>
      <c r="B119" s="16" t="s">
        <v>3</v>
      </c>
      <c r="C119" s="28"/>
      <c r="D119" s="22"/>
      <c r="E119" s="23"/>
      <c r="F119" s="23"/>
      <c r="G119" s="23"/>
      <c r="H119" s="23"/>
      <c r="I119" s="24"/>
      <c r="J119" s="22"/>
      <c r="K119" s="23"/>
      <c r="L119" s="23"/>
      <c r="M119" s="23"/>
      <c r="N119" s="23"/>
      <c r="O119" s="25"/>
      <c r="P119" s="22"/>
      <c r="Q119" s="23"/>
      <c r="R119" s="23"/>
      <c r="S119" s="23"/>
      <c r="T119" s="23"/>
      <c r="U119" s="25"/>
    </row>
    <row r="120" customFormat="false" ht="17.25" hidden="false" customHeight="false" outlineLevel="0" collapsed="false">
      <c r="A120" s="15" t="n">
        <v>46595</v>
      </c>
      <c r="B120" s="16" t="s">
        <v>14</v>
      </c>
      <c r="C120" s="28"/>
      <c r="D120" s="22"/>
      <c r="E120" s="23"/>
      <c r="F120" s="23"/>
      <c r="G120" s="23"/>
      <c r="H120" s="23"/>
      <c r="I120" s="24"/>
      <c r="J120" s="22"/>
      <c r="K120" s="23"/>
      <c r="L120" s="23"/>
      <c r="M120" s="23"/>
      <c r="N120" s="23"/>
      <c r="O120" s="25"/>
      <c r="P120" s="22"/>
      <c r="Q120" s="23"/>
      <c r="R120" s="23"/>
      <c r="S120" s="23"/>
      <c r="T120" s="23"/>
      <c r="U120" s="25"/>
    </row>
    <row r="121" customFormat="false" ht="17.25" hidden="false" customHeight="false" outlineLevel="0" collapsed="false">
      <c r="A121" s="15" t="n">
        <v>46596</v>
      </c>
      <c r="B121" s="16" t="s">
        <v>17</v>
      </c>
      <c r="C121" s="28"/>
      <c r="D121" s="22"/>
      <c r="E121" s="23"/>
      <c r="F121" s="23"/>
      <c r="G121" s="23"/>
      <c r="H121" s="23"/>
      <c r="I121" s="24"/>
      <c r="J121" s="22"/>
      <c r="K121" s="23"/>
      <c r="L121" s="23"/>
      <c r="M121" s="23"/>
      <c r="N121" s="23"/>
      <c r="O121" s="25"/>
      <c r="P121" s="22"/>
      <c r="Q121" s="23"/>
      <c r="R121" s="23"/>
      <c r="S121" s="23"/>
      <c r="T121" s="23"/>
      <c r="U121" s="25"/>
    </row>
    <row r="122" customFormat="false" ht="17.25" hidden="false" customHeight="false" outlineLevel="0" collapsed="false">
      <c r="A122" s="15" t="n">
        <v>46597</v>
      </c>
      <c r="B122" s="16" t="s">
        <v>6</v>
      </c>
      <c r="C122" s="28"/>
      <c r="D122" s="22"/>
      <c r="E122" s="23"/>
      <c r="F122" s="23"/>
      <c r="G122" s="23"/>
      <c r="H122" s="23"/>
      <c r="I122" s="24"/>
      <c r="J122" s="22"/>
      <c r="K122" s="23"/>
      <c r="L122" s="23"/>
      <c r="M122" s="23"/>
      <c r="N122" s="23"/>
      <c r="O122" s="25"/>
      <c r="P122" s="22"/>
      <c r="Q122" s="23"/>
      <c r="R122" s="23"/>
      <c r="S122" s="23"/>
      <c r="T122" s="23"/>
      <c r="U122" s="25"/>
    </row>
    <row r="123" customFormat="false" ht="17.25" hidden="false" customHeight="false" outlineLevel="0" collapsed="false">
      <c r="A123" s="15" t="n">
        <v>46598</v>
      </c>
      <c r="B123" s="16" t="s">
        <v>8</v>
      </c>
      <c r="C123" s="28"/>
      <c r="D123" s="22"/>
      <c r="E123" s="23"/>
      <c r="F123" s="23"/>
      <c r="G123" s="23"/>
      <c r="H123" s="23"/>
      <c r="I123" s="24"/>
      <c r="J123" s="22"/>
      <c r="K123" s="23"/>
      <c r="L123" s="23"/>
      <c r="M123" s="23"/>
      <c r="N123" s="23"/>
      <c r="O123" s="25"/>
      <c r="P123" s="22"/>
      <c r="Q123" s="23"/>
      <c r="R123" s="23"/>
      <c r="S123" s="23"/>
      <c r="T123" s="23"/>
      <c r="U123" s="25"/>
    </row>
    <row r="124" customFormat="false" ht="17.25" hidden="false" customHeight="false" outlineLevel="0" collapsed="false">
      <c r="A124" s="26" t="n">
        <v>46599</v>
      </c>
      <c r="B124" s="27" t="s">
        <v>10</v>
      </c>
      <c r="C124" s="17"/>
      <c r="D124" s="22"/>
      <c r="E124" s="23"/>
      <c r="F124" s="23"/>
      <c r="G124" s="23"/>
      <c r="H124" s="23"/>
      <c r="I124" s="24"/>
      <c r="J124" s="22"/>
      <c r="K124" s="23"/>
      <c r="L124" s="23"/>
      <c r="M124" s="23"/>
      <c r="N124" s="23"/>
      <c r="O124" s="25"/>
      <c r="P124" s="22"/>
      <c r="Q124" s="23"/>
      <c r="R124" s="23"/>
      <c r="S124" s="23"/>
      <c r="T124" s="23"/>
      <c r="U124" s="25"/>
    </row>
    <row r="125" customFormat="false" ht="17.25" hidden="false" customHeight="false" outlineLevel="0" collapsed="false">
      <c r="A125" s="26" t="n">
        <v>46600</v>
      </c>
      <c r="B125" s="27" t="s">
        <v>4</v>
      </c>
      <c r="C125" s="17"/>
      <c r="D125" s="22"/>
      <c r="E125" s="23"/>
      <c r="F125" s="23"/>
      <c r="G125" s="23"/>
      <c r="H125" s="23"/>
      <c r="I125" s="24"/>
      <c r="J125" s="22"/>
      <c r="K125" s="23"/>
      <c r="L125" s="23"/>
      <c r="M125" s="23"/>
      <c r="N125" s="23"/>
      <c r="O125" s="25"/>
      <c r="P125" s="22"/>
      <c r="Q125" s="23"/>
      <c r="R125" s="23"/>
      <c r="S125" s="23"/>
      <c r="T125" s="23"/>
      <c r="U125" s="25"/>
    </row>
    <row r="126" customFormat="false" ht="17.25" hidden="false" customHeight="false" outlineLevel="0" collapsed="false">
      <c r="A126" s="15" t="n">
        <v>46601</v>
      </c>
      <c r="B126" s="16" t="s">
        <v>3</v>
      </c>
      <c r="C126" s="28"/>
      <c r="D126" s="22"/>
      <c r="E126" s="23"/>
      <c r="F126" s="23"/>
      <c r="G126" s="23"/>
      <c r="H126" s="23"/>
      <c r="I126" s="24"/>
      <c r="J126" s="22"/>
      <c r="K126" s="23"/>
      <c r="L126" s="23"/>
      <c r="M126" s="23"/>
      <c r="N126" s="23"/>
      <c r="O126" s="25"/>
      <c r="P126" s="22"/>
      <c r="Q126" s="23"/>
      <c r="R126" s="23"/>
      <c r="S126" s="23"/>
      <c r="T126" s="23"/>
      <c r="U126" s="25"/>
    </row>
    <row r="127" customFormat="false" ht="17.25" hidden="false" customHeight="false" outlineLevel="0" collapsed="false">
      <c r="A127" s="15" t="n">
        <v>46602</v>
      </c>
      <c r="B127" s="16" t="s">
        <v>14</v>
      </c>
      <c r="C127" s="28"/>
      <c r="D127" s="22"/>
      <c r="E127" s="23"/>
      <c r="F127" s="23"/>
      <c r="G127" s="23"/>
      <c r="H127" s="23"/>
      <c r="I127" s="24"/>
      <c r="J127" s="22"/>
      <c r="K127" s="23"/>
      <c r="L127" s="23"/>
      <c r="M127" s="23"/>
      <c r="N127" s="23"/>
      <c r="O127" s="25"/>
      <c r="P127" s="22"/>
      <c r="Q127" s="23"/>
      <c r="R127" s="23"/>
      <c r="S127" s="23"/>
      <c r="T127" s="23"/>
      <c r="U127" s="25"/>
    </row>
    <row r="128" customFormat="false" ht="17.25" hidden="false" customHeight="false" outlineLevel="0" collapsed="false">
      <c r="A128" s="15" t="n">
        <v>46603</v>
      </c>
      <c r="B128" s="16" t="s">
        <v>17</v>
      </c>
      <c r="C128" s="28"/>
      <c r="D128" s="22"/>
      <c r="E128" s="23"/>
      <c r="F128" s="23"/>
      <c r="G128" s="23"/>
      <c r="H128" s="23"/>
      <c r="I128" s="24"/>
      <c r="J128" s="22"/>
      <c r="K128" s="23"/>
      <c r="L128" s="23"/>
      <c r="M128" s="23"/>
      <c r="N128" s="23"/>
      <c r="O128" s="25"/>
      <c r="P128" s="22"/>
      <c r="Q128" s="23"/>
      <c r="R128" s="23"/>
      <c r="S128" s="23"/>
      <c r="T128" s="23"/>
      <c r="U128" s="25"/>
    </row>
    <row r="129" customFormat="false" ht="17.25" hidden="false" customHeight="false" outlineLevel="0" collapsed="false">
      <c r="A129" s="15" t="n">
        <v>46604</v>
      </c>
      <c r="B129" s="16" t="s">
        <v>6</v>
      </c>
      <c r="C129" s="30" t="s">
        <v>99</v>
      </c>
      <c r="D129" s="22"/>
      <c r="E129" s="23"/>
      <c r="F129" s="23"/>
      <c r="G129" s="23"/>
      <c r="H129" s="23"/>
      <c r="I129" s="24"/>
      <c r="J129" s="22"/>
      <c r="K129" s="23"/>
      <c r="L129" s="23"/>
      <c r="M129" s="23"/>
      <c r="N129" s="23"/>
      <c r="O129" s="25"/>
      <c r="P129" s="22"/>
      <c r="Q129" s="23"/>
      <c r="R129" s="23"/>
      <c r="S129" s="23"/>
      <c r="T129" s="23"/>
      <c r="U129" s="25"/>
    </row>
    <row r="130" customFormat="false" ht="17.25" hidden="false" customHeight="false" outlineLevel="0" collapsed="false">
      <c r="A130" s="15" t="n">
        <v>46605</v>
      </c>
      <c r="B130" s="16" t="s">
        <v>8</v>
      </c>
      <c r="C130" s="30" t="s">
        <v>99</v>
      </c>
      <c r="D130" s="22"/>
      <c r="E130" s="23"/>
      <c r="F130" s="23"/>
      <c r="G130" s="23"/>
      <c r="H130" s="23"/>
      <c r="I130" s="24"/>
      <c r="J130" s="22"/>
      <c r="K130" s="23"/>
      <c r="L130" s="23"/>
      <c r="M130" s="23"/>
      <c r="N130" s="23"/>
      <c r="O130" s="25"/>
      <c r="P130" s="22"/>
      <c r="Q130" s="23"/>
      <c r="R130" s="23"/>
      <c r="S130" s="23"/>
      <c r="T130" s="23"/>
      <c r="U130" s="25"/>
    </row>
    <row r="131" customFormat="false" ht="17.25" hidden="false" customHeight="false" outlineLevel="0" collapsed="false">
      <c r="A131" s="26" t="n">
        <v>46606</v>
      </c>
      <c r="B131" s="27" t="s">
        <v>10</v>
      </c>
      <c r="C131" s="17"/>
      <c r="D131" s="22"/>
      <c r="E131" s="23"/>
      <c r="F131" s="23"/>
      <c r="G131" s="23"/>
      <c r="H131" s="23"/>
      <c r="I131" s="24"/>
      <c r="J131" s="22"/>
      <c r="K131" s="23"/>
      <c r="L131" s="23"/>
      <c r="M131" s="23"/>
      <c r="N131" s="23"/>
      <c r="O131" s="25"/>
      <c r="P131" s="22"/>
      <c r="Q131" s="23"/>
      <c r="R131" s="23"/>
      <c r="S131" s="23"/>
      <c r="T131" s="23"/>
      <c r="U131" s="25"/>
    </row>
    <row r="132" customFormat="false" ht="17.25" hidden="false" customHeight="false" outlineLevel="0" collapsed="false">
      <c r="A132" s="26" t="n">
        <v>46607</v>
      </c>
      <c r="B132" s="27" t="s">
        <v>4</v>
      </c>
      <c r="C132" s="17"/>
      <c r="D132" s="22"/>
      <c r="E132" s="23"/>
      <c r="F132" s="23"/>
      <c r="G132" s="23"/>
      <c r="H132" s="23"/>
      <c r="I132" s="24"/>
      <c r="J132" s="22"/>
      <c r="K132" s="23"/>
      <c r="L132" s="23"/>
      <c r="M132" s="23"/>
      <c r="N132" s="23"/>
      <c r="O132" s="25"/>
      <c r="P132" s="22"/>
      <c r="Q132" s="23"/>
      <c r="R132" s="23"/>
      <c r="S132" s="23"/>
      <c r="T132" s="23"/>
      <c r="U132" s="25"/>
    </row>
    <row r="133" customFormat="false" ht="17.25" hidden="false" customHeight="false" outlineLevel="0" collapsed="false">
      <c r="A133" s="15" t="n">
        <v>46608</v>
      </c>
      <c r="B133" s="16" t="s">
        <v>3</v>
      </c>
      <c r="C133" s="30" t="s">
        <v>100</v>
      </c>
      <c r="D133" s="22"/>
      <c r="E133" s="23"/>
      <c r="F133" s="23"/>
      <c r="G133" s="23"/>
      <c r="H133" s="23"/>
      <c r="I133" s="24"/>
      <c r="J133" s="22"/>
      <c r="K133" s="23"/>
      <c r="L133" s="23"/>
      <c r="M133" s="23"/>
      <c r="N133" s="23"/>
      <c r="O133" s="25"/>
      <c r="P133" s="22"/>
      <c r="Q133" s="23"/>
      <c r="R133" s="23"/>
      <c r="S133" s="23"/>
      <c r="T133" s="23"/>
      <c r="U133" s="25"/>
    </row>
    <row r="134" customFormat="false" ht="17.25" hidden="false" customHeight="false" outlineLevel="0" collapsed="false">
      <c r="A134" s="15" t="n">
        <v>46609</v>
      </c>
      <c r="B134" s="16" t="s">
        <v>14</v>
      </c>
      <c r="C134" s="30" t="s">
        <v>100</v>
      </c>
      <c r="D134" s="22"/>
      <c r="E134" s="23"/>
      <c r="F134" s="23"/>
      <c r="G134" s="23"/>
      <c r="H134" s="23"/>
      <c r="I134" s="24"/>
      <c r="J134" s="22"/>
      <c r="K134" s="23"/>
      <c r="L134" s="23"/>
      <c r="M134" s="23"/>
      <c r="N134" s="23"/>
      <c r="O134" s="25"/>
      <c r="P134" s="22"/>
      <c r="Q134" s="23"/>
      <c r="R134" s="23"/>
      <c r="S134" s="23"/>
      <c r="T134" s="23"/>
      <c r="U134" s="25"/>
    </row>
    <row r="135" customFormat="false" ht="17.25" hidden="false" customHeight="false" outlineLevel="0" collapsed="false">
      <c r="A135" s="26" t="n">
        <v>46610</v>
      </c>
      <c r="B135" s="27" t="s">
        <v>17</v>
      </c>
      <c r="C135" s="17" t="s">
        <v>101</v>
      </c>
      <c r="D135" s="22"/>
      <c r="E135" s="23"/>
      <c r="F135" s="23"/>
      <c r="G135" s="23"/>
      <c r="H135" s="23"/>
      <c r="I135" s="24"/>
      <c r="J135" s="22"/>
      <c r="K135" s="23"/>
      <c r="L135" s="23"/>
      <c r="M135" s="23"/>
      <c r="N135" s="23"/>
      <c r="O135" s="25"/>
      <c r="P135" s="22"/>
      <c r="Q135" s="23"/>
      <c r="R135" s="23"/>
      <c r="S135" s="23"/>
      <c r="T135" s="23"/>
      <c r="U135" s="25"/>
    </row>
    <row r="136" customFormat="false" ht="17.25" hidden="false" customHeight="false" outlineLevel="0" collapsed="false">
      <c r="A136" s="15" t="n">
        <v>46611</v>
      </c>
      <c r="B136" s="16" t="s">
        <v>6</v>
      </c>
      <c r="C136" s="30" t="s">
        <v>100</v>
      </c>
      <c r="D136" s="22"/>
      <c r="E136" s="23"/>
      <c r="F136" s="23"/>
      <c r="G136" s="23"/>
      <c r="H136" s="23"/>
      <c r="I136" s="24"/>
      <c r="J136" s="22"/>
      <c r="K136" s="23"/>
      <c r="L136" s="23"/>
      <c r="M136" s="23"/>
      <c r="N136" s="23"/>
      <c r="O136" s="25"/>
      <c r="P136" s="22"/>
      <c r="Q136" s="23"/>
      <c r="R136" s="23"/>
      <c r="S136" s="23"/>
      <c r="T136" s="23"/>
      <c r="U136" s="25"/>
    </row>
    <row r="137" customFormat="false" ht="17.25" hidden="false" customHeight="false" outlineLevel="0" collapsed="false">
      <c r="A137" s="15" t="n">
        <v>46612</v>
      </c>
      <c r="B137" s="16" t="s">
        <v>8</v>
      </c>
      <c r="C137" s="30" t="s">
        <v>100</v>
      </c>
      <c r="D137" s="22"/>
      <c r="E137" s="23"/>
      <c r="F137" s="23"/>
      <c r="G137" s="23"/>
      <c r="H137" s="23"/>
      <c r="I137" s="24"/>
      <c r="J137" s="22"/>
      <c r="K137" s="23"/>
      <c r="L137" s="23"/>
      <c r="M137" s="23"/>
      <c r="N137" s="23"/>
      <c r="O137" s="25"/>
      <c r="P137" s="22"/>
      <c r="Q137" s="23"/>
      <c r="R137" s="23"/>
      <c r="S137" s="23"/>
      <c r="T137" s="23"/>
      <c r="U137" s="25"/>
    </row>
    <row r="138" customFormat="false" ht="17.25" hidden="false" customHeight="false" outlineLevel="0" collapsed="false">
      <c r="A138" s="26" t="n">
        <v>46613</v>
      </c>
      <c r="B138" s="27" t="s">
        <v>10</v>
      </c>
      <c r="C138" s="17"/>
      <c r="D138" s="22"/>
      <c r="E138" s="23"/>
      <c r="F138" s="23"/>
      <c r="G138" s="23"/>
      <c r="H138" s="23"/>
      <c r="I138" s="24"/>
      <c r="J138" s="22"/>
      <c r="K138" s="23"/>
      <c r="L138" s="23"/>
      <c r="M138" s="23"/>
      <c r="N138" s="23"/>
      <c r="O138" s="25"/>
      <c r="P138" s="22"/>
      <c r="Q138" s="23"/>
      <c r="R138" s="23"/>
      <c r="S138" s="23"/>
      <c r="T138" s="23"/>
      <c r="U138" s="25"/>
    </row>
    <row r="139" customFormat="false" ht="17.25" hidden="false" customHeight="false" outlineLevel="0" collapsed="false">
      <c r="A139" s="26" t="n">
        <v>46614</v>
      </c>
      <c r="B139" s="27" t="s">
        <v>4</v>
      </c>
      <c r="C139" s="17"/>
      <c r="D139" s="22"/>
      <c r="E139" s="23"/>
      <c r="F139" s="23"/>
      <c r="G139" s="23"/>
      <c r="H139" s="23"/>
      <c r="I139" s="24"/>
      <c r="J139" s="22"/>
      <c r="K139" s="23"/>
      <c r="L139" s="23"/>
      <c r="M139" s="23"/>
      <c r="N139" s="23"/>
      <c r="O139" s="25"/>
      <c r="P139" s="22"/>
      <c r="Q139" s="23"/>
      <c r="R139" s="23"/>
      <c r="S139" s="23"/>
      <c r="T139" s="23"/>
      <c r="U139" s="25"/>
    </row>
    <row r="140" customFormat="false" ht="17.25" hidden="false" customHeight="false" outlineLevel="0" collapsed="false">
      <c r="A140" s="15" t="n">
        <v>46615</v>
      </c>
      <c r="B140" s="16" t="s">
        <v>3</v>
      </c>
      <c r="C140" s="28"/>
      <c r="D140" s="22"/>
      <c r="E140" s="23"/>
      <c r="F140" s="23"/>
      <c r="G140" s="23"/>
      <c r="H140" s="23"/>
      <c r="I140" s="24"/>
      <c r="J140" s="22"/>
      <c r="K140" s="23"/>
      <c r="L140" s="23"/>
      <c r="M140" s="23"/>
      <c r="N140" s="23"/>
      <c r="O140" s="25"/>
      <c r="P140" s="22"/>
      <c r="Q140" s="23"/>
      <c r="R140" s="23"/>
      <c r="S140" s="23"/>
      <c r="T140" s="23"/>
      <c r="U140" s="25"/>
    </row>
    <row r="141" customFormat="false" ht="17.25" hidden="false" customHeight="false" outlineLevel="0" collapsed="false">
      <c r="A141" s="15" t="n">
        <v>46616</v>
      </c>
      <c r="B141" s="16" t="s">
        <v>14</v>
      </c>
      <c r="C141" s="28"/>
      <c r="D141" s="22"/>
      <c r="E141" s="23"/>
      <c r="F141" s="23"/>
      <c r="G141" s="23"/>
      <c r="H141" s="23"/>
      <c r="I141" s="24"/>
      <c r="J141" s="22"/>
      <c r="K141" s="23"/>
      <c r="L141" s="23"/>
      <c r="M141" s="23"/>
      <c r="N141" s="23"/>
      <c r="O141" s="25"/>
      <c r="P141" s="22"/>
      <c r="Q141" s="23"/>
      <c r="R141" s="23"/>
      <c r="S141" s="23"/>
      <c r="T141" s="23"/>
      <c r="U141" s="25"/>
    </row>
    <row r="142" customFormat="false" ht="17.25" hidden="false" customHeight="false" outlineLevel="0" collapsed="false">
      <c r="A142" s="15" t="n">
        <v>46617</v>
      </c>
      <c r="B142" s="16" t="s">
        <v>17</v>
      </c>
      <c r="C142" s="28"/>
      <c r="D142" s="22"/>
      <c r="E142" s="23"/>
      <c r="F142" s="23"/>
      <c r="G142" s="23"/>
      <c r="H142" s="23"/>
      <c r="I142" s="24"/>
      <c r="J142" s="22"/>
      <c r="K142" s="23"/>
      <c r="L142" s="23"/>
      <c r="M142" s="23"/>
      <c r="N142" s="23"/>
      <c r="O142" s="25"/>
      <c r="P142" s="22"/>
      <c r="Q142" s="23"/>
      <c r="R142" s="23"/>
      <c r="S142" s="23"/>
      <c r="T142" s="23"/>
      <c r="U142" s="25"/>
    </row>
    <row r="143" customFormat="false" ht="17.25" hidden="false" customHeight="false" outlineLevel="0" collapsed="false">
      <c r="A143" s="15" t="n">
        <v>46618</v>
      </c>
      <c r="B143" s="16" t="s">
        <v>6</v>
      </c>
      <c r="C143" s="30" t="s">
        <v>102</v>
      </c>
      <c r="D143" s="22"/>
      <c r="E143" s="23"/>
      <c r="F143" s="23"/>
      <c r="G143" s="23"/>
      <c r="H143" s="23"/>
      <c r="I143" s="24"/>
      <c r="J143" s="22"/>
      <c r="K143" s="23"/>
      <c r="L143" s="23"/>
      <c r="M143" s="23"/>
      <c r="N143" s="23"/>
      <c r="O143" s="25"/>
      <c r="P143" s="22"/>
      <c r="Q143" s="23"/>
      <c r="R143" s="23"/>
      <c r="S143" s="23"/>
      <c r="T143" s="23"/>
      <c r="U143" s="25"/>
    </row>
    <row r="144" customFormat="false" ht="17.25" hidden="false" customHeight="false" outlineLevel="0" collapsed="false">
      <c r="A144" s="15" t="n">
        <v>46619</v>
      </c>
      <c r="B144" s="16" t="s">
        <v>8</v>
      </c>
      <c r="C144" s="28"/>
      <c r="D144" s="22"/>
      <c r="E144" s="23"/>
      <c r="F144" s="23"/>
      <c r="G144" s="23"/>
      <c r="H144" s="23"/>
      <c r="I144" s="24"/>
      <c r="J144" s="22"/>
      <c r="K144" s="23"/>
      <c r="L144" s="23"/>
      <c r="M144" s="23"/>
      <c r="N144" s="23"/>
      <c r="O144" s="25"/>
      <c r="P144" s="22"/>
      <c r="Q144" s="23"/>
      <c r="R144" s="23"/>
      <c r="S144" s="23"/>
      <c r="T144" s="23"/>
      <c r="U144" s="25"/>
    </row>
    <row r="145" customFormat="false" ht="17.25" hidden="false" customHeight="false" outlineLevel="0" collapsed="false">
      <c r="A145" s="26" t="n">
        <v>46620</v>
      </c>
      <c r="B145" s="27" t="s">
        <v>10</v>
      </c>
      <c r="C145" s="17"/>
      <c r="D145" s="22"/>
      <c r="E145" s="23"/>
      <c r="F145" s="23"/>
      <c r="G145" s="23"/>
      <c r="H145" s="23"/>
      <c r="I145" s="24"/>
      <c r="J145" s="22"/>
      <c r="K145" s="23"/>
      <c r="L145" s="23"/>
      <c r="M145" s="23"/>
      <c r="N145" s="23"/>
      <c r="O145" s="25"/>
      <c r="P145" s="22"/>
      <c r="Q145" s="23"/>
      <c r="R145" s="23"/>
      <c r="S145" s="23"/>
      <c r="T145" s="23"/>
      <c r="U145" s="25"/>
    </row>
    <row r="146" customFormat="false" ht="17.25" hidden="false" customHeight="false" outlineLevel="0" collapsed="false">
      <c r="A146" s="26" t="n">
        <v>46621</v>
      </c>
      <c r="B146" s="27" t="s">
        <v>4</v>
      </c>
      <c r="C146" s="17"/>
      <c r="D146" s="22"/>
      <c r="E146" s="23"/>
      <c r="F146" s="23"/>
      <c r="G146" s="23"/>
      <c r="H146" s="23"/>
      <c r="I146" s="24"/>
      <c r="J146" s="22"/>
      <c r="K146" s="23"/>
      <c r="L146" s="23"/>
      <c r="M146" s="23"/>
      <c r="N146" s="23"/>
      <c r="O146" s="25"/>
      <c r="P146" s="22"/>
      <c r="Q146" s="23"/>
      <c r="R146" s="23"/>
      <c r="S146" s="23"/>
      <c r="T146" s="23"/>
      <c r="U146" s="25"/>
    </row>
    <row r="147" customFormat="false" ht="17.25" hidden="false" customHeight="false" outlineLevel="0" collapsed="false">
      <c r="A147" s="15" t="n">
        <v>46622</v>
      </c>
      <c r="B147" s="16" t="s">
        <v>3</v>
      </c>
      <c r="C147" s="28"/>
      <c r="D147" s="22"/>
      <c r="E147" s="23"/>
      <c r="F147" s="23"/>
      <c r="G147" s="23"/>
      <c r="H147" s="23"/>
      <c r="I147" s="24"/>
      <c r="J147" s="22"/>
      <c r="K147" s="23"/>
      <c r="L147" s="23"/>
      <c r="M147" s="23"/>
      <c r="N147" s="23"/>
      <c r="O147" s="25"/>
      <c r="P147" s="22"/>
      <c r="Q147" s="23"/>
      <c r="R147" s="23"/>
      <c r="S147" s="23"/>
      <c r="T147" s="23"/>
      <c r="U147" s="25"/>
    </row>
    <row r="148" customFormat="false" ht="17.25" hidden="false" customHeight="false" outlineLevel="0" collapsed="false">
      <c r="A148" s="15" t="n">
        <v>46623</v>
      </c>
      <c r="B148" s="16" t="s">
        <v>14</v>
      </c>
      <c r="C148" s="28"/>
      <c r="D148" s="22"/>
      <c r="E148" s="23"/>
      <c r="F148" s="23"/>
      <c r="G148" s="23"/>
      <c r="H148" s="23"/>
      <c r="I148" s="24"/>
      <c r="J148" s="22"/>
      <c r="K148" s="23"/>
      <c r="L148" s="23"/>
      <c r="M148" s="23"/>
      <c r="N148" s="23"/>
      <c r="O148" s="25"/>
      <c r="P148" s="22"/>
      <c r="Q148" s="23"/>
      <c r="R148" s="23"/>
      <c r="S148" s="23"/>
      <c r="T148" s="23"/>
      <c r="U148" s="25"/>
    </row>
    <row r="149" customFormat="false" ht="17.25" hidden="false" customHeight="false" outlineLevel="0" collapsed="false">
      <c r="A149" s="15" t="n">
        <v>46624</v>
      </c>
      <c r="B149" s="16" t="s">
        <v>17</v>
      </c>
      <c r="C149" s="28"/>
      <c r="D149" s="22"/>
      <c r="E149" s="23"/>
      <c r="F149" s="23"/>
      <c r="G149" s="23"/>
      <c r="H149" s="23"/>
      <c r="I149" s="24"/>
      <c r="J149" s="22"/>
      <c r="K149" s="23"/>
      <c r="L149" s="23"/>
      <c r="M149" s="23"/>
      <c r="N149" s="23"/>
      <c r="O149" s="25"/>
      <c r="P149" s="22"/>
      <c r="Q149" s="23"/>
      <c r="R149" s="23"/>
      <c r="S149" s="23"/>
      <c r="T149" s="23"/>
      <c r="U149" s="25"/>
    </row>
    <row r="150" customFormat="false" ht="17.25" hidden="false" customHeight="false" outlineLevel="0" collapsed="false">
      <c r="A150" s="15" t="n">
        <v>46625</v>
      </c>
      <c r="B150" s="16" t="s">
        <v>6</v>
      </c>
      <c r="C150" s="28"/>
      <c r="D150" s="22"/>
      <c r="E150" s="23"/>
      <c r="F150" s="23"/>
      <c r="G150" s="23"/>
      <c r="H150" s="23"/>
      <c r="I150" s="24"/>
      <c r="J150" s="22"/>
      <c r="K150" s="23"/>
      <c r="L150" s="23"/>
      <c r="M150" s="23"/>
      <c r="N150" s="23"/>
      <c r="O150" s="25"/>
      <c r="P150" s="22"/>
      <c r="Q150" s="23"/>
      <c r="R150" s="23"/>
      <c r="S150" s="23"/>
      <c r="T150" s="23"/>
      <c r="U150" s="25"/>
    </row>
    <row r="151" customFormat="false" ht="17.25" hidden="false" customHeight="false" outlineLevel="0" collapsed="false">
      <c r="A151" s="15" t="n">
        <v>46626</v>
      </c>
      <c r="B151" s="16" t="s">
        <v>8</v>
      </c>
      <c r="C151" s="28"/>
      <c r="D151" s="22"/>
      <c r="E151" s="23"/>
      <c r="F151" s="23"/>
      <c r="G151" s="23"/>
      <c r="H151" s="23"/>
      <c r="I151" s="24"/>
      <c r="J151" s="22"/>
      <c r="K151" s="23"/>
      <c r="L151" s="23"/>
      <c r="M151" s="23"/>
      <c r="N151" s="23"/>
      <c r="O151" s="25"/>
      <c r="P151" s="22"/>
      <c r="Q151" s="23"/>
      <c r="R151" s="23"/>
      <c r="S151" s="23"/>
      <c r="T151" s="23"/>
      <c r="U151" s="25"/>
    </row>
    <row r="152" customFormat="false" ht="17.25" hidden="false" customHeight="false" outlineLevel="0" collapsed="false">
      <c r="A152" s="26" t="n">
        <v>46627</v>
      </c>
      <c r="B152" s="27" t="s">
        <v>10</v>
      </c>
      <c r="C152" s="17"/>
      <c r="D152" s="22"/>
      <c r="E152" s="23"/>
      <c r="F152" s="23"/>
      <c r="G152" s="23"/>
      <c r="H152" s="23"/>
      <c r="I152" s="24"/>
      <c r="J152" s="22"/>
      <c r="K152" s="23"/>
      <c r="L152" s="23"/>
      <c r="M152" s="23"/>
      <c r="N152" s="23"/>
      <c r="O152" s="25"/>
      <c r="P152" s="22"/>
      <c r="Q152" s="23"/>
      <c r="R152" s="23"/>
      <c r="S152" s="23"/>
      <c r="T152" s="23"/>
      <c r="U152" s="25"/>
    </row>
    <row r="153" customFormat="false" ht="17.25" hidden="false" customHeight="false" outlineLevel="0" collapsed="false">
      <c r="A153" s="26" t="n">
        <v>46628</v>
      </c>
      <c r="B153" s="27" t="s">
        <v>4</v>
      </c>
      <c r="C153" s="17"/>
      <c r="D153" s="22"/>
      <c r="E153" s="23"/>
      <c r="F153" s="23"/>
      <c r="G153" s="23"/>
      <c r="H153" s="23"/>
      <c r="I153" s="24"/>
      <c r="J153" s="22"/>
      <c r="K153" s="23"/>
      <c r="L153" s="23"/>
      <c r="M153" s="23"/>
      <c r="N153" s="23"/>
      <c r="O153" s="25"/>
      <c r="P153" s="22"/>
      <c r="Q153" s="23"/>
      <c r="R153" s="23"/>
      <c r="S153" s="23"/>
      <c r="T153" s="23"/>
      <c r="U153" s="25"/>
    </row>
    <row r="154" customFormat="false" ht="17.25" hidden="false" customHeight="false" outlineLevel="0" collapsed="false">
      <c r="A154" s="15" t="n">
        <v>46629</v>
      </c>
      <c r="B154" s="16" t="s">
        <v>3</v>
      </c>
      <c r="C154" s="28"/>
      <c r="D154" s="22"/>
      <c r="E154" s="23"/>
      <c r="F154" s="23"/>
      <c r="G154" s="23"/>
      <c r="H154" s="23"/>
      <c r="I154" s="24"/>
      <c r="J154" s="22"/>
      <c r="K154" s="23"/>
      <c r="L154" s="23"/>
      <c r="M154" s="23"/>
      <c r="N154" s="23"/>
      <c r="O154" s="25"/>
      <c r="P154" s="22"/>
      <c r="Q154" s="23"/>
      <c r="R154" s="23"/>
      <c r="S154" s="23"/>
      <c r="T154" s="23"/>
      <c r="U154" s="25"/>
    </row>
    <row r="155" customFormat="false" ht="18" hidden="false" customHeight="true" outlineLevel="0" collapsed="false">
      <c r="A155" s="15" t="n">
        <v>46630</v>
      </c>
      <c r="B155" s="16" t="s">
        <v>14</v>
      </c>
      <c r="C155" s="28"/>
      <c r="D155" s="80"/>
      <c r="E155" s="81"/>
      <c r="F155" s="81"/>
      <c r="G155" s="81"/>
      <c r="H155" s="81"/>
      <c r="I155" s="82"/>
      <c r="J155" s="80"/>
      <c r="K155" s="81"/>
      <c r="L155" s="81"/>
      <c r="M155" s="81"/>
      <c r="N155" s="81"/>
      <c r="O155" s="83"/>
      <c r="P155" s="80"/>
      <c r="Q155" s="81"/>
      <c r="R155" s="81"/>
      <c r="S155" s="81"/>
      <c r="T155" s="81"/>
      <c r="U155" s="83"/>
    </row>
    <row r="156" customFormat="false" ht="18" hidden="false" customHeight="true" outlineLevel="0" collapsed="false">
      <c r="A156" s="15" t="n">
        <v>46631</v>
      </c>
      <c r="B156" s="16" t="s">
        <v>17</v>
      </c>
      <c r="C156" s="30" t="s">
        <v>103</v>
      </c>
      <c r="D156" s="18"/>
      <c r="E156" s="107" t="s">
        <v>32</v>
      </c>
      <c r="F156" s="19"/>
      <c r="G156" s="115"/>
      <c r="H156" s="19"/>
      <c r="I156" s="20"/>
      <c r="J156" s="18"/>
      <c r="K156" s="107" t="s">
        <v>32</v>
      </c>
      <c r="L156" s="19"/>
      <c r="M156" s="19"/>
      <c r="N156" s="19"/>
      <c r="O156" s="21"/>
      <c r="P156" s="18"/>
      <c r="Q156" s="107" t="s">
        <v>32</v>
      </c>
      <c r="R156" s="19"/>
      <c r="S156" s="19"/>
      <c r="T156" s="19"/>
      <c r="U156" s="21"/>
    </row>
    <row r="157" customFormat="false" ht="18" hidden="false" customHeight="true" outlineLevel="0" collapsed="false">
      <c r="A157" s="15" t="n">
        <v>46632</v>
      </c>
      <c r="B157" s="16" t="s">
        <v>6</v>
      </c>
      <c r="C157" s="28"/>
      <c r="D157" s="22"/>
      <c r="E157" s="58" t="s">
        <v>20</v>
      </c>
      <c r="F157" s="52" t="s">
        <v>38</v>
      </c>
      <c r="G157" s="116" t="s">
        <v>22</v>
      </c>
      <c r="H157" s="117" t="s">
        <v>40</v>
      </c>
      <c r="I157" s="24"/>
      <c r="J157" s="22"/>
      <c r="K157" s="58" t="s">
        <v>20</v>
      </c>
      <c r="L157" s="52" t="s">
        <v>38</v>
      </c>
      <c r="M157" s="116" t="s">
        <v>22</v>
      </c>
      <c r="N157" s="117" t="s">
        <v>40</v>
      </c>
      <c r="O157" s="25"/>
      <c r="P157" s="22"/>
      <c r="Q157" s="58" t="s">
        <v>20</v>
      </c>
      <c r="R157" s="24"/>
      <c r="S157" s="117"/>
      <c r="T157" s="117"/>
      <c r="U157" s="25"/>
    </row>
    <row r="158" customFormat="false" ht="18" hidden="false" customHeight="true" outlineLevel="0" collapsed="false">
      <c r="A158" s="15" t="n">
        <v>46633</v>
      </c>
      <c r="B158" s="16" t="s">
        <v>8</v>
      </c>
      <c r="C158" s="28"/>
      <c r="D158" s="59" t="s">
        <v>19</v>
      </c>
      <c r="E158" s="58" t="s">
        <v>7</v>
      </c>
      <c r="F158" s="45" t="s">
        <v>43</v>
      </c>
      <c r="G158" s="113" t="s">
        <v>22</v>
      </c>
      <c r="H158" s="61" t="s">
        <v>45</v>
      </c>
      <c r="I158" s="118" t="s">
        <v>12</v>
      </c>
      <c r="J158" s="59" t="s">
        <v>19</v>
      </c>
      <c r="K158" s="58" t="s">
        <v>7</v>
      </c>
      <c r="L158" s="45" t="s">
        <v>43</v>
      </c>
      <c r="M158" s="58" t="s">
        <v>22</v>
      </c>
      <c r="N158" s="45" t="s">
        <v>45</v>
      </c>
      <c r="O158" s="53" t="s">
        <v>12</v>
      </c>
      <c r="P158" s="59" t="s">
        <v>19</v>
      </c>
      <c r="Q158" s="58" t="s">
        <v>7</v>
      </c>
      <c r="R158" s="119" t="s">
        <v>43</v>
      </c>
      <c r="S158" s="58" t="s">
        <v>22</v>
      </c>
      <c r="T158" s="45" t="s">
        <v>45</v>
      </c>
      <c r="U158" s="53" t="s">
        <v>12</v>
      </c>
    </row>
    <row r="159" customFormat="false" ht="18" hidden="false" customHeight="true" outlineLevel="0" collapsed="false">
      <c r="A159" s="26" t="n">
        <v>46634</v>
      </c>
      <c r="B159" s="27" t="s">
        <v>10</v>
      </c>
      <c r="C159" s="17"/>
      <c r="D159" s="117"/>
      <c r="E159" s="57"/>
      <c r="F159" s="23"/>
      <c r="G159" s="24"/>
      <c r="H159" s="117"/>
      <c r="I159" s="120"/>
      <c r="J159" s="117"/>
      <c r="K159" s="57"/>
      <c r="L159" s="23"/>
      <c r="M159" s="24"/>
      <c r="N159" s="117"/>
      <c r="O159" s="117"/>
      <c r="P159" s="117"/>
      <c r="Q159" s="57"/>
      <c r="R159" s="23"/>
      <c r="S159" s="24"/>
      <c r="T159" s="117"/>
      <c r="U159" s="117"/>
    </row>
    <row r="160" customFormat="false" ht="17.25" hidden="false" customHeight="false" outlineLevel="0" collapsed="false">
      <c r="A160" s="26" t="n">
        <v>46635</v>
      </c>
      <c r="B160" s="27" t="s">
        <v>4</v>
      </c>
      <c r="C160" s="17"/>
      <c r="D160" s="18"/>
      <c r="E160" s="23"/>
      <c r="F160" s="23"/>
      <c r="G160" s="23"/>
      <c r="H160" s="19"/>
      <c r="I160" s="20"/>
      <c r="J160" s="22"/>
      <c r="K160" s="23"/>
      <c r="L160" s="23"/>
      <c r="M160" s="23"/>
      <c r="N160" s="23"/>
      <c r="O160" s="25"/>
      <c r="P160" s="22"/>
      <c r="Q160" s="23"/>
      <c r="R160" s="23"/>
      <c r="S160" s="23"/>
      <c r="T160" s="23"/>
      <c r="U160" s="25"/>
    </row>
    <row r="161" customFormat="false" ht="17.25" hidden="false" customHeight="false" outlineLevel="0" collapsed="false">
      <c r="A161" s="15" t="n">
        <v>46636</v>
      </c>
      <c r="B161" s="16" t="s">
        <v>3</v>
      </c>
      <c r="C161" s="28"/>
      <c r="D161" s="68" t="s">
        <v>25</v>
      </c>
      <c r="E161" s="45" t="s">
        <v>20</v>
      </c>
      <c r="F161" s="45" t="s">
        <v>21</v>
      </c>
      <c r="G161" s="58" t="s">
        <v>28</v>
      </c>
      <c r="H161" s="23"/>
      <c r="I161" s="24"/>
      <c r="J161" s="68" t="s">
        <v>25</v>
      </c>
      <c r="K161" s="45" t="s">
        <v>20</v>
      </c>
      <c r="L161" s="45" t="s">
        <v>21</v>
      </c>
      <c r="M161" s="58" t="s">
        <v>28</v>
      </c>
      <c r="N161" s="23"/>
      <c r="O161" s="25"/>
      <c r="P161" s="68" t="s">
        <v>25</v>
      </c>
      <c r="Q161" s="45" t="s">
        <v>20</v>
      </c>
      <c r="R161" s="45" t="s">
        <v>21</v>
      </c>
      <c r="S161" s="58" t="s">
        <v>28</v>
      </c>
      <c r="T161" s="23"/>
      <c r="U161" s="25"/>
    </row>
    <row r="162" customFormat="false" ht="17.25" hidden="false" customHeight="false" outlineLevel="0" collapsed="false">
      <c r="A162" s="15" t="n">
        <v>46637</v>
      </c>
      <c r="B162" s="16" t="s">
        <v>14</v>
      </c>
      <c r="C162" s="30" t="s">
        <v>104</v>
      </c>
      <c r="D162" s="22"/>
      <c r="E162" s="23"/>
      <c r="F162" s="23"/>
      <c r="G162" s="58" t="s">
        <v>7</v>
      </c>
      <c r="H162" s="121" t="s">
        <v>29</v>
      </c>
      <c r="I162" s="52" t="s">
        <v>9</v>
      </c>
      <c r="J162" s="22"/>
      <c r="K162" s="23"/>
      <c r="L162" s="23"/>
      <c r="M162" s="58" t="s">
        <v>7</v>
      </c>
      <c r="N162" s="121" t="s">
        <v>29</v>
      </c>
      <c r="O162" s="53" t="s">
        <v>9</v>
      </c>
      <c r="P162" s="22"/>
      <c r="Q162" s="23"/>
      <c r="R162" s="23"/>
      <c r="S162" s="58" t="s">
        <v>7</v>
      </c>
      <c r="T162" s="121" t="s">
        <v>29</v>
      </c>
      <c r="U162" s="53" t="s">
        <v>9</v>
      </c>
    </row>
    <row r="163" customFormat="false" ht="17.25" hidden="false" customHeight="false" outlineLevel="0" collapsed="false">
      <c r="A163" s="15" t="n">
        <v>46638</v>
      </c>
      <c r="B163" s="16" t="s">
        <v>17</v>
      </c>
      <c r="C163" s="30" t="s">
        <v>105</v>
      </c>
      <c r="D163" s="44" t="s">
        <v>31</v>
      </c>
      <c r="E163" s="103" t="s">
        <v>32</v>
      </c>
      <c r="F163" s="103" t="s">
        <v>33</v>
      </c>
      <c r="G163" s="58" t="s">
        <v>39</v>
      </c>
      <c r="H163" s="58" t="s">
        <v>40</v>
      </c>
      <c r="I163" s="52" t="s">
        <v>11</v>
      </c>
      <c r="J163" s="44" t="s">
        <v>31</v>
      </c>
      <c r="K163" s="103" t="s">
        <v>32</v>
      </c>
      <c r="L163" s="103" t="s">
        <v>33</v>
      </c>
      <c r="M163" s="58" t="s">
        <v>39</v>
      </c>
      <c r="N163" s="58" t="s">
        <v>40</v>
      </c>
      <c r="O163" s="53" t="s">
        <v>11</v>
      </c>
      <c r="P163" s="44" t="s">
        <v>31</v>
      </c>
      <c r="Q163" s="103" t="s">
        <v>32</v>
      </c>
      <c r="R163" s="103" t="s">
        <v>33</v>
      </c>
      <c r="S163" s="58" t="s">
        <v>39</v>
      </c>
      <c r="T163" s="58" t="s">
        <v>40</v>
      </c>
      <c r="U163" s="53" t="s">
        <v>11</v>
      </c>
    </row>
    <row r="164" customFormat="false" ht="17.25" hidden="false" customHeight="false" outlineLevel="0" collapsed="false">
      <c r="A164" s="15" t="n">
        <v>46639</v>
      </c>
      <c r="B164" s="16" t="s">
        <v>6</v>
      </c>
      <c r="C164" s="30" t="s">
        <v>104</v>
      </c>
      <c r="D164" s="44" t="s">
        <v>36</v>
      </c>
      <c r="E164" s="45" t="s">
        <v>37</v>
      </c>
      <c r="F164" s="58" t="s">
        <v>21</v>
      </c>
      <c r="G164" s="45" t="s">
        <v>39</v>
      </c>
      <c r="H164" s="58" t="s">
        <v>23</v>
      </c>
      <c r="I164" s="24"/>
      <c r="J164" s="44" t="s">
        <v>36</v>
      </c>
      <c r="K164" s="45" t="s">
        <v>37</v>
      </c>
      <c r="L164" s="58" t="s">
        <v>21</v>
      </c>
      <c r="M164" s="45" t="s">
        <v>39</v>
      </c>
      <c r="N164" s="58" t="s">
        <v>23</v>
      </c>
      <c r="O164" s="25"/>
      <c r="P164" s="44" t="s">
        <v>36</v>
      </c>
      <c r="Q164" s="45" t="s">
        <v>37</v>
      </c>
      <c r="R164" s="58" t="s">
        <v>21</v>
      </c>
      <c r="S164" s="45" t="s">
        <v>39</v>
      </c>
      <c r="T164" s="58" t="s">
        <v>23</v>
      </c>
      <c r="U164" s="25"/>
    </row>
    <row r="165" customFormat="false" ht="17.25" hidden="false" customHeight="false" outlineLevel="0" collapsed="false">
      <c r="A165" s="15" t="n">
        <v>46640</v>
      </c>
      <c r="B165" s="16" t="s">
        <v>8</v>
      </c>
      <c r="C165" s="30" t="s">
        <v>106</v>
      </c>
      <c r="D165" s="44" t="s">
        <v>41</v>
      </c>
      <c r="E165" s="58" t="s">
        <v>37</v>
      </c>
      <c r="F165" s="58" t="s">
        <v>38</v>
      </c>
      <c r="G165" s="45" t="s">
        <v>44</v>
      </c>
      <c r="H165" s="45" t="s">
        <v>45</v>
      </c>
      <c r="I165" s="52" t="s">
        <v>12</v>
      </c>
      <c r="J165" s="44" t="s">
        <v>41</v>
      </c>
      <c r="K165" s="58" t="s">
        <v>37</v>
      </c>
      <c r="L165" s="58" t="s">
        <v>38</v>
      </c>
      <c r="M165" s="45" t="s">
        <v>44</v>
      </c>
      <c r="N165" s="45" t="s">
        <v>45</v>
      </c>
      <c r="O165" s="54" t="s">
        <v>12</v>
      </c>
      <c r="P165" s="44" t="s">
        <v>41</v>
      </c>
      <c r="Q165" s="58" t="s">
        <v>37</v>
      </c>
      <c r="R165" s="58" t="s">
        <v>38</v>
      </c>
      <c r="S165" s="45" t="s">
        <v>44</v>
      </c>
      <c r="T165" s="45" t="s">
        <v>45</v>
      </c>
      <c r="U165" s="53" t="s">
        <v>12</v>
      </c>
    </row>
    <row r="166" customFormat="false" ht="17.25" hidden="false" customHeight="false" outlineLevel="0" collapsed="false">
      <c r="A166" s="26" t="n">
        <v>46641</v>
      </c>
      <c r="B166" s="27" t="s">
        <v>10</v>
      </c>
      <c r="C166" s="17"/>
      <c r="D166" s="22"/>
      <c r="E166" s="23"/>
      <c r="F166" s="23"/>
      <c r="G166" s="23"/>
      <c r="H166" s="23"/>
      <c r="I166" s="24"/>
      <c r="J166" s="22"/>
      <c r="K166" s="23"/>
      <c r="L166" s="23"/>
      <c r="M166" s="23"/>
      <c r="N166" s="23"/>
      <c r="O166" s="25"/>
      <c r="P166" s="22"/>
      <c r="Q166" s="23"/>
      <c r="R166" s="23"/>
      <c r="S166" s="23"/>
      <c r="T166" s="23"/>
      <c r="U166" s="25"/>
      <c r="X166" s="29" t="s">
        <v>19</v>
      </c>
      <c r="Y166" s="29" t="s">
        <v>20</v>
      </c>
      <c r="Z166" s="29" t="s">
        <v>21</v>
      </c>
      <c r="AA166" s="29" t="s">
        <v>22</v>
      </c>
      <c r="AB166" s="29" t="s">
        <v>23</v>
      </c>
      <c r="AC166" s="29" t="s">
        <v>7</v>
      </c>
      <c r="AD166" s="29" t="s">
        <v>19</v>
      </c>
      <c r="AE166" s="29" t="s">
        <v>20</v>
      </c>
      <c r="AF166" s="29" t="s">
        <v>21</v>
      </c>
      <c r="AG166" s="29" t="s">
        <v>22</v>
      </c>
      <c r="AH166" s="29" t="s">
        <v>23</v>
      </c>
      <c r="AI166" s="29" t="s">
        <v>7</v>
      </c>
      <c r="AJ166" s="29" t="s">
        <v>19</v>
      </c>
      <c r="AK166" s="29" t="s">
        <v>20</v>
      </c>
      <c r="AL166" s="29" t="s">
        <v>21</v>
      </c>
      <c r="AM166" s="29" t="s">
        <v>22</v>
      </c>
      <c r="AN166" s="29" t="s">
        <v>23</v>
      </c>
      <c r="AO166" s="29" t="s">
        <v>7</v>
      </c>
    </row>
    <row r="167" customFormat="false" ht="17.25" hidden="false" customHeight="false" outlineLevel="0" collapsed="false">
      <c r="A167" s="26" t="n">
        <v>46642</v>
      </c>
      <c r="B167" s="27" t="s">
        <v>4</v>
      </c>
      <c r="C167" s="17"/>
      <c r="D167" s="22"/>
      <c r="E167" s="23"/>
      <c r="F167" s="23"/>
      <c r="G167" s="23"/>
      <c r="H167" s="23"/>
      <c r="I167" s="24"/>
      <c r="J167" s="22"/>
      <c r="K167" s="23"/>
      <c r="L167" s="23"/>
      <c r="M167" s="23"/>
      <c r="N167" s="23"/>
      <c r="O167" s="25"/>
      <c r="P167" s="22"/>
      <c r="Q167" s="23"/>
      <c r="R167" s="23"/>
      <c r="S167" s="23"/>
      <c r="T167" s="23"/>
      <c r="U167" s="25"/>
      <c r="X167" s="29" t="s">
        <v>25</v>
      </c>
      <c r="Y167" s="29" t="s">
        <v>26</v>
      </c>
      <c r="Z167" s="29" t="s">
        <v>27</v>
      </c>
      <c r="AA167" s="29" t="s">
        <v>28</v>
      </c>
      <c r="AB167" s="29" t="s">
        <v>29</v>
      </c>
      <c r="AC167" s="29" t="s">
        <v>9</v>
      </c>
      <c r="AD167" s="29" t="s">
        <v>25</v>
      </c>
      <c r="AE167" s="29" t="s">
        <v>26</v>
      </c>
      <c r="AF167" s="29" t="s">
        <v>27</v>
      </c>
      <c r="AG167" s="29" t="s">
        <v>28</v>
      </c>
      <c r="AH167" s="29" t="s">
        <v>29</v>
      </c>
      <c r="AI167" s="29" t="s">
        <v>9</v>
      </c>
      <c r="AJ167" s="29" t="s">
        <v>25</v>
      </c>
      <c r="AK167" s="29" t="s">
        <v>26</v>
      </c>
      <c r="AL167" s="29" t="s">
        <v>27</v>
      </c>
      <c r="AM167" s="29" t="s">
        <v>28</v>
      </c>
      <c r="AN167" s="29" t="s">
        <v>29</v>
      </c>
      <c r="AO167" s="29" t="s">
        <v>9</v>
      </c>
    </row>
    <row r="168" customFormat="false" ht="17.25" hidden="false" customHeight="false" outlineLevel="0" collapsed="false">
      <c r="A168" s="15" t="n">
        <v>46643</v>
      </c>
      <c r="B168" s="16" t="s">
        <v>3</v>
      </c>
      <c r="C168" s="28"/>
      <c r="D168" s="44" t="s">
        <v>19</v>
      </c>
      <c r="E168" s="45" t="s">
        <v>20</v>
      </c>
      <c r="F168" s="58" t="s">
        <v>27</v>
      </c>
      <c r="G168" s="45" t="s">
        <v>22</v>
      </c>
      <c r="H168" s="45" t="s">
        <v>23</v>
      </c>
      <c r="I168" s="52" t="s">
        <v>7</v>
      </c>
      <c r="J168" s="44" t="s">
        <v>19</v>
      </c>
      <c r="K168" s="45" t="s">
        <v>20</v>
      </c>
      <c r="L168" s="58" t="s">
        <v>27</v>
      </c>
      <c r="M168" s="45" t="s">
        <v>22</v>
      </c>
      <c r="N168" s="45" t="s">
        <v>23</v>
      </c>
      <c r="O168" s="53" t="s">
        <v>7</v>
      </c>
      <c r="P168" s="44" t="s">
        <v>19</v>
      </c>
      <c r="Q168" s="45" t="s">
        <v>20</v>
      </c>
      <c r="R168" s="58" t="s">
        <v>27</v>
      </c>
      <c r="S168" s="45" t="s">
        <v>22</v>
      </c>
      <c r="T168" s="45" t="s">
        <v>23</v>
      </c>
      <c r="U168" s="53" t="s">
        <v>7</v>
      </c>
      <c r="X168" s="29" t="s">
        <v>31</v>
      </c>
      <c r="Y168" s="29" t="s">
        <v>32</v>
      </c>
      <c r="Z168" s="29" t="s">
        <v>33</v>
      </c>
      <c r="AA168" s="29" t="s">
        <v>34</v>
      </c>
      <c r="AB168" s="29" t="s">
        <v>35</v>
      </c>
      <c r="AC168" s="29" t="s">
        <v>11</v>
      </c>
      <c r="AD168" s="29" t="s">
        <v>31</v>
      </c>
      <c r="AE168" s="29" t="s">
        <v>32</v>
      </c>
      <c r="AF168" s="29" t="s">
        <v>33</v>
      </c>
      <c r="AG168" s="29" t="s">
        <v>34</v>
      </c>
      <c r="AH168" s="29" t="s">
        <v>35</v>
      </c>
      <c r="AI168" s="29" t="s">
        <v>11</v>
      </c>
      <c r="AJ168" s="29" t="s">
        <v>31</v>
      </c>
      <c r="AK168" s="29" t="s">
        <v>32</v>
      </c>
      <c r="AL168" s="29" t="s">
        <v>33</v>
      </c>
      <c r="AM168" s="29" t="s">
        <v>34</v>
      </c>
      <c r="AN168" s="29" t="s">
        <v>35</v>
      </c>
      <c r="AO168" s="29" t="s">
        <v>11</v>
      </c>
    </row>
    <row r="169" s="122" customFormat="true" ht="17.25" hidden="false" customHeight="false" outlineLevel="0" collapsed="false">
      <c r="A169" s="15" t="n">
        <v>46644</v>
      </c>
      <c r="B169" s="16" t="s">
        <v>14</v>
      </c>
      <c r="C169" s="28"/>
      <c r="D169" s="44" t="s">
        <v>25</v>
      </c>
      <c r="E169" s="45" t="s">
        <v>26</v>
      </c>
      <c r="F169" s="58" t="s">
        <v>21</v>
      </c>
      <c r="G169" s="45" t="s">
        <v>28</v>
      </c>
      <c r="H169" s="45" t="s">
        <v>29</v>
      </c>
      <c r="I169" s="52" t="s">
        <v>9</v>
      </c>
      <c r="J169" s="44" t="s">
        <v>25</v>
      </c>
      <c r="K169" s="45" t="s">
        <v>26</v>
      </c>
      <c r="L169" s="58" t="s">
        <v>21</v>
      </c>
      <c r="M169" s="45" t="s">
        <v>28</v>
      </c>
      <c r="N169" s="45" t="s">
        <v>29</v>
      </c>
      <c r="O169" s="53" t="s">
        <v>9</v>
      </c>
      <c r="P169" s="44" t="s">
        <v>25</v>
      </c>
      <c r="Q169" s="45" t="s">
        <v>26</v>
      </c>
      <c r="R169" s="58" t="s">
        <v>21</v>
      </c>
      <c r="S169" s="45" t="s">
        <v>28</v>
      </c>
      <c r="T169" s="45" t="s">
        <v>29</v>
      </c>
      <c r="U169" s="53" t="s">
        <v>9</v>
      </c>
      <c r="X169" s="29" t="s">
        <v>36</v>
      </c>
      <c r="Y169" s="29" t="s">
        <v>37</v>
      </c>
      <c r="Z169" s="29" t="s">
        <v>38</v>
      </c>
      <c r="AA169" s="29" t="s">
        <v>39</v>
      </c>
      <c r="AB169" s="29" t="s">
        <v>40</v>
      </c>
      <c r="AC169" s="4"/>
      <c r="AD169" s="29" t="s">
        <v>36</v>
      </c>
      <c r="AE169" s="29" t="s">
        <v>37</v>
      </c>
      <c r="AF169" s="29" t="s">
        <v>38</v>
      </c>
      <c r="AG169" s="29" t="s">
        <v>39</v>
      </c>
      <c r="AH169" s="29" t="s">
        <v>40</v>
      </c>
      <c r="AI169" s="4"/>
      <c r="AJ169" s="29" t="s">
        <v>36</v>
      </c>
      <c r="AK169" s="29" t="s">
        <v>37</v>
      </c>
      <c r="AL169" s="29" t="s">
        <v>38</v>
      </c>
      <c r="AM169" s="29" t="s">
        <v>39</v>
      </c>
      <c r="AN169" s="29" t="s">
        <v>40</v>
      </c>
      <c r="AO169" s="4"/>
    </row>
    <row r="170" s="122" customFormat="true" ht="17.25" hidden="false" customHeight="false" outlineLevel="0" collapsed="false">
      <c r="A170" s="15" t="n">
        <v>46645</v>
      </c>
      <c r="B170" s="16" t="s">
        <v>17</v>
      </c>
      <c r="C170" s="30" t="s">
        <v>107</v>
      </c>
      <c r="D170" s="44" t="s">
        <v>31</v>
      </c>
      <c r="E170" s="45" t="s">
        <v>32</v>
      </c>
      <c r="F170" s="45" t="s">
        <v>33</v>
      </c>
      <c r="G170" s="45" t="s">
        <v>34</v>
      </c>
      <c r="H170" s="58" t="s">
        <v>40</v>
      </c>
      <c r="I170" s="52" t="s">
        <v>11</v>
      </c>
      <c r="J170" s="44" t="s">
        <v>31</v>
      </c>
      <c r="K170" s="45" t="s">
        <v>32</v>
      </c>
      <c r="L170" s="45" t="s">
        <v>33</v>
      </c>
      <c r="M170" s="45" t="s">
        <v>34</v>
      </c>
      <c r="N170" s="58" t="s">
        <v>40</v>
      </c>
      <c r="O170" s="53" t="s">
        <v>11</v>
      </c>
      <c r="P170" s="44" t="s">
        <v>31</v>
      </c>
      <c r="Q170" s="45" t="s">
        <v>32</v>
      </c>
      <c r="R170" s="45" t="s">
        <v>33</v>
      </c>
      <c r="S170" s="45" t="s">
        <v>34</v>
      </c>
      <c r="T170" s="58" t="s">
        <v>40</v>
      </c>
      <c r="U170" s="53" t="s">
        <v>11</v>
      </c>
      <c r="X170" s="29" t="s">
        <v>41</v>
      </c>
      <c r="Y170" s="29" t="s">
        <v>42</v>
      </c>
      <c r="Z170" s="29" t="s">
        <v>43</v>
      </c>
      <c r="AA170" s="29" t="s">
        <v>44</v>
      </c>
      <c r="AB170" s="29" t="s">
        <v>45</v>
      </c>
      <c r="AC170" s="29" t="s">
        <v>12</v>
      </c>
      <c r="AD170" s="29" t="s">
        <v>41</v>
      </c>
      <c r="AE170" s="29" t="s">
        <v>42</v>
      </c>
      <c r="AF170" s="29" t="s">
        <v>43</v>
      </c>
      <c r="AG170" s="29" t="s">
        <v>44</v>
      </c>
      <c r="AH170" s="29" t="s">
        <v>45</v>
      </c>
      <c r="AI170" s="29" t="s">
        <v>12</v>
      </c>
      <c r="AJ170" s="29" t="s">
        <v>41</v>
      </c>
      <c r="AK170" s="29" t="s">
        <v>42</v>
      </c>
      <c r="AL170" s="29" t="s">
        <v>43</v>
      </c>
      <c r="AM170" s="29" t="s">
        <v>44</v>
      </c>
      <c r="AN170" s="29" t="s">
        <v>45</v>
      </c>
      <c r="AO170" s="29" t="s">
        <v>12</v>
      </c>
    </row>
    <row r="171" s="122" customFormat="true" ht="17.25" hidden="false" customHeight="false" outlineLevel="0" collapsed="false">
      <c r="A171" s="15" t="n">
        <v>46646</v>
      </c>
      <c r="B171" s="16" t="s">
        <v>6</v>
      </c>
      <c r="C171" s="30" t="s">
        <v>108</v>
      </c>
      <c r="D171" s="44" t="s">
        <v>36</v>
      </c>
      <c r="E171" s="45" t="s">
        <v>37</v>
      </c>
      <c r="F171" s="45" t="s">
        <v>38</v>
      </c>
      <c r="G171" s="45" t="s">
        <v>39</v>
      </c>
      <c r="H171" s="23"/>
      <c r="I171" s="24"/>
      <c r="J171" s="44" t="s">
        <v>36</v>
      </c>
      <c r="K171" s="45" t="s">
        <v>37</v>
      </c>
      <c r="L171" s="45" t="s">
        <v>38</v>
      </c>
      <c r="M171" s="45" t="s">
        <v>39</v>
      </c>
      <c r="N171" s="23"/>
      <c r="O171" s="25"/>
      <c r="P171" s="44" t="s">
        <v>36</v>
      </c>
      <c r="Q171" s="45" t="s">
        <v>37</v>
      </c>
      <c r="R171" s="45" t="s">
        <v>38</v>
      </c>
      <c r="S171" s="45" t="s">
        <v>39</v>
      </c>
      <c r="T171" s="23"/>
      <c r="U171" s="25"/>
    </row>
    <row r="172" customFormat="false" ht="17.25" hidden="false" customHeight="false" outlineLevel="0" collapsed="false">
      <c r="A172" s="15" t="n">
        <v>46647</v>
      </c>
      <c r="B172" s="16" t="s">
        <v>8</v>
      </c>
      <c r="C172" s="28"/>
      <c r="D172" s="44" t="s">
        <v>41</v>
      </c>
      <c r="E172" s="45" t="s">
        <v>42</v>
      </c>
      <c r="F172" s="45" t="s">
        <v>43</v>
      </c>
      <c r="G172" s="52" t="s">
        <v>44</v>
      </c>
      <c r="H172" s="58" t="s">
        <v>35</v>
      </c>
      <c r="I172" s="52" t="s">
        <v>12</v>
      </c>
      <c r="J172" s="44" t="s">
        <v>41</v>
      </c>
      <c r="K172" s="45" t="s">
        <v>42</v>
      </c>
      <c r="L172" s="45" t="s">
        <v>43</v>
      </c>
      <c r="M172" s="52" t="s">
        <v>44</v>
      </c>
      <c r="N172" s="58" t="s">
        <v>35</v>
      </c>
      <c r="O172" s="53" t="s">
        <v>12</v>
      </c>
      <c r="P172" s="44" t="s">
        <v>41</v>
      </c>
      <c r="Q172" s="45" t="s">
        <v>42</v>
      </c>
      <c r="R172" s="45" t="s">
        <v>43</v>
      </c>
      <c r="S172" s="52" t="s">
        <v>44</v>
      </c>
      <c r="T172" s="58" t="s">
        <v>35</v>
      </c>
      <c r="U172" s="53" t="s">
        <v>12</v>
      </c>
    </row>
    <row r="173" customFormat="false" ht="17.25" hidden="false" customHeight="false" outlineLevel="0" collapsed="false">
      <c r="A173" s="26" t="n">
        <v>46648</v>
      </c>
      <c r="B173" s="27" t="s">
        <v>10</v>
      </c>
      <c r="C173" s="17"/>
      <c r="D173" s="22"/>
      <c r="E173" s="23"/>
      <c r="F173" s="23"/>
      <c r="G173" s="23"/>
      <c r="H173" s="23"/>
      <c r="I173" s="24"/>
      <c r="J173" s="22"/>
      <c r="K173" s="23"/>
      <c r="L173" s="23"/>
      <c r="M173" s="23"/>
      <c r="N173" s="23"/>
      <c r="O173" s="25"/>
      <c r="P173" s="22"/>
      <c r="Q173" s="23"/>
      <c r="R173" s="23"/>
      <c r="S173" s="23"/>
      <c r="T173" s="23"/>
      <c r="U173" s="25"/>
    </row>
    <row r="174" customFormat="false" ht="17.25" hidden="false" customHeight="false" outlineLevel="0" collapsed="false">
      <c r="A174" s="26" t="n">
        <v>46649</v>
      </c>
      <c r="B174" s="27" t="s">
        <v>4</v>
      </c>
      <c r="C174" s="17"/>
      <c r="D174" s="22"/>
      <c r="E174" s="23"/>
      <c r="F174" s="23"/>
      <c r="G174" s="23"/>
      <c r="H174" s="23"/>
      <c r="I174" s="24"/>
      <c r="J174" s="22"/>
      <c r="K174" s="23"/>
      <c r="L174" s="23"/>
      <c r="M174" s="23"/>
      <c r="N174" s="23"/>
      <c r="O174" s="25"/>
      <c r="P174" s="22"/>
      <c r="Q174" s="23"/>
      <c r="R174" s="23"/>
      <c r="S174" s="23"/>
      <c r="T174" s="23"/>
      <c r="U174" s="25"/>
    </row>
    <row r="175" customFormat="false" ht="17.25" hidden="false" customHeight="false" outlineLevel="0" collapsed="false">
      <c r="A175" s="26" t="n">
        <v>46650</v>
      </c>
      <c r="B175" s="27" t="s">
        <v>3</v>
      </c>
      <c r="C175" s="17" t="s">
        <v>109</v>
      </c>
      <c r="D175" s="22"/>
      <c r="E175" s="23"/>
      <c r="F175" s="23"/>
      <c r="G175" s="23"/>
      <c r="H175" s="23"/>
      <c r="I175" s="24"/>
      <c r="J175" s="22"/>
      <c r="K175" s="23"/>
      <c r="L175" s="23"/>
      <c r="M175" s="23"/>
      <c r="N175" s="23"/>
      <c r="O175" s="25"/>
      <c r="P175" s="22"/>
      <c r="Q175" s="23"/>
      <c r="R175" s="23"/>
      <c r="S175" s="23"/>
      <c r="T175" s="23"/>
      <c r="U175" s="25"/>
    </row>
    <row r="176" s="122" customFormat="true" ht="17.25" hidden="false" customHeight="false" outlineLevel="0" collapsed="false">
      <c r="A176" s="15" t="n">
        <v>46651</v>
      </c>
      <c r="B176" s="16" t="s">
        <v>14</v>
      </c>
      <c r="C176" s="30" t="s">
        <v>84</v>
      </c>
      <c r="D176" s="44" t="s">
        <v>25</v>
      </c>
      <c r="E176" s="45" t="s">
        <v>26</v>
      </c>
      <c r="F176" s="45" t="s">
        <v>27</v>
      </c>
      <c r="G176" s="58" t="s">
        <v>22</v>
      </c>
      <c r="H176" s="45" t="s">
        <v>29</v>
      </c>
      <c r="I176" s="52" t="s">
        <v>9</v>
      </c>
      <c r="J176" s="44" t="s">
        <v>25</v>
      </c>
      <c r="K176" s="45" t="s">
        <v>26</v>
      </c>
      <c r="L176" s="45" t="s">
        <v>27</v>
      </c>
      <c r="M176" s="58" t="s">
        <v>22</v>
      </c>
      <c r="N176" s="45" t="s">
        <v>29</v>
      </c>
      <c r="O176" s="53" t="s">
        <v>9</v>
      </c>
      <c r="P176" s="44" t="s">
        <v>25</v>
      </c>
      <c r="Q176" s="45" t="s">
        <v>26</v>
      </c>
      <c r="R176" s="45" t="s">
        <v>27</v>
      </c>
      <c r="S176" s="58" t="s">
        <v>22</v>
      </c>
      <c r="T176" s="45" t="s">
        <v>29</v>
      </c>
      <c r="U176" s="53" t="s">
        <v>9</v>
      </c>
    </row>
    <row r="177" s="122" customFormat="true" ht="17.25" hidden="false" customHeight="false" outlineLevel="0" collapsed="false">
      <c r="A177" s="15" t="n">
        <v>46652</v>
      </c>
      <c r="B177" s="16" t="s">
        <v>17</v>
      </c>
      <c r="C177" s="30" t="s">
        <v>84</v>
      </c>
      <c r="D177" s="44" t="s">
        <v>31</v>
      </c>
      <c r="E177" s="45" t="s">
        <v>32</v>
      </c>
      <c r="F177" s="45" t="s">
        <v>33</v>
      </c>
      <c r="G177" s="45" t="s">
        <v>34</v>
      </c>
      <c r="H177" s="45" t="s">
        <v>35</v>
      </c>
      <c r="I177" s="52" t="s">
        <v>11</v>
      </c>
      <c r="J177" s="44" t="s">
        <v>31</v>
      </c>
      <c r="K177" s="45" t="s">
        <v>32</v>
      </c>
      <c r="L177" s="45" t="s">
        <v>33</v>
      </c>
      <c r="M177" s="45" t="s">
        <v>34</v>
      </c>
      <c r="N177" s="45" t="s">
        <v>35</v>
      </c>
      <c r="O177" s="53" t="s">
        <v>11</v>
      </c>
      <c r="P177" s="44" t="s">
        <v>31</v>
      </c>
      <c r="Q177" s="45" t="s">
        <v>32</v>
      </c>
      <c r="R177" s="45" t="s">
        <v>33</v>
      </c>
      <c r="S177" s="45" t="s">
        <v>34</v>
      </c>
      <c r="T177" s="45" t="s">
        <v>35</v>
      </c>
      <c r="U177" s="53" t="s">
        <v>11</v>
      </c>
    </row>
    <row r="178" s="122" customFormat="true" ht="17.25" hidden="false" customHeight="false" outlineLevel="0" collapsed="false">
      <c r="A178" s="26" t="n">
        <v>46653</v>
      </c>
      <c r="B178" s="27" t="s">
        <v>6</v>
      </c>
      <c r="C178" s="17" t="s">
        <v>110</v>
      </c>
      <c r="D178" s="22"/>
      <c r="E178" s="23"/>
      <c r="F178" s="23"/>
      <c r="G178" s="23"/>
      <c r="H178" s="23"/>
      <c r="I178" s="24"/>
      <c r="J178" s="22"/>
      <c r="K178" s="23"/>
      <c r="L178" s="23"/>
      <c r="M178" s="23"/>
      <c r="N178" s="23"/>
      <c r="O178" s="25"/>
      <c r="P178" s="22"/>
      <c r="Q178" s="23"/>
      <c r="R178" s="23"/>
      <c r="S178" s="23"/>
      <c r="T178" s="23"/>
      <c r="U178" s="25"/>
    </row>
    <row r="179" customFormat="false" ht="17.25" hidden="false" customHeight="false" outlineLevel="0" collapsed="false">
      <c r="A179" s="15" t="n">
        <v>46654</v>
      </c>
      <c r="B179" s="16" t="s">
        <v>8</v>
      </c>
      <c r="C179" s="30" t="s">
        <v>111</v>
      </c>
      <c r="D179" s="68" t="s">
        <v>19</v>
      </c>
      <c r="E179" s="45" t="s">
        <v>42</v>
      </c>
      <c r="F179" s="45" t="s">
        <v>43</v>
      </c>
      <c r="G179" s="45" t="s">
        <v>44</v>
      </c>
      <c r="H179" s="45" t="s">
        <v>45</v>
      </c>
      <c r="I179" s="74" t="s">
        <v>7</v>
      </c>
      <c r="J179" s="68" t="s">
        <v>19</v>
      </c>
      <c r="K179" s="45" t="s">
        <v>42</v>
      </c>
      <c r="L179" s="45" t="s">
        <v>43</v>
      </c>
      <c r="M179" s="45" t="s">
        <v>44</v>
      </c>
      <c r="N179" s="45" t="s">
        <v>45</v>
      </c>
      <c r="O179" s="75" t="s">
        <v>7</v>
      </c>
      <c r="P179" s="68" t="s">
        <v>19</v>
      </c>
      <c r="Q179" s="45" t="s">
        <v>42</v>
      </c>
      <c r="R179" s="45" t="s">
        <v>43</v>
      </c>
      <c r="S179" s="45" t="s">
        <v>44</v>
      </c>
      <c r="T179" s="45" t="s">
        <v>45</v>
      </c>
      <c r="U179" s="75" t="s">
        <v>7</v>
      </c>
    </row>
    <row r="180" customFormat="false" ht="17.25" hidden="false" customHeight="false" outlineLevel="0" collapsed="false">
      <c r="A180" s="26" t="n">
        <v>46655</v>
      </c>
      <c r="B180" s="27" t="s">
        <v>10</v>
      </c>
      <c r="C180" s="17"/>
      <c r="D180" s="22"/>
      <c r="E180" s="23"/>
      <c r="F180" s="23"/>
      <c r="G180" s="23"/>
      <c r="H180" s="23"/>
      <c r="I180" s="24"/>
      <c r="J180" s="22"/>
      <c r="K180" s="23"/>
      <c r="L180" s="23"/>
      <c r="M180" s="23"/>
      <c r="N180" s="23"/>
      <c r="O180" s="25"/>
      <c r="P180" s="22"/>
      <c r="Q180" s="23"/>
      <c r="R180" s="23"/>
      <c r="S180" s="23"/>
      <c r="T180" s="23"/>
      <c r="U180" s="25"/>
    </row>
    <row r="181" customFormat="false" ht="17.25" hidden="false" customHeight="false" outlineLevel="0" collapsed="false">
      <c r="A181" s="26" t="n">
        <v>46656</v>
      </c>
      <c r="B181" s="27" t="s">
        <v>4</v>
      </c>
      <c r="C181" s="17"/>
      <c r="D181" s="22"/>
      <c r="E181" s="23"/>
      <c r="F181" s="23"/>
      <c r="G181" s="23"/>
      <c r="H181" s="23"/>
      <c r="I181" s="24"/>
      <c r="J181" s="22"/>
      <c r="K181" s="23"/>
      <c r="L181" s="23"/>
      <c r="M181" s="23"/>
      <c r="N181" s="23"/>
      <c r="O181" s="25"/>
      <c r="P181" s="22"/>
      <c r="Q181" s="23"/>
      <c r="R181" s="23"/>
      <c r="S181" s="23"/>
      <c r="T181" s="23"/>
      <c r="U181" s="25"/>
    </row>
    <row r="182" customFormat="false" ht="17.25" hidden="false" customHeight="false" outlineLevel="0" collapsed="false">
      <c r="A182" s="15" t="n">
        <v>46657</v>
      </c>
      <c r="B182" s="16" t="s">
        <v>3</v>
      </c>
      <c r="C182" s="30" t="s">
        <v>112</v>
      </c>
      <c r="D182" s="22"/>
      <c r="E182" s="23"/>
      <c r="F182" s="23"/>
      <c r="G182" s="23"/>
      <c r="H182" s="23"/>
      <c r="I182" s="24"/>
      <c r="J182" s="22"/>
      <c r="K182" s="23"/>
      <c r="L182" s="23"/>
      <c r="M182" s="23"/>
      <c r="N182" s="23"/>
      <c r="O182" s="25"/>
      <c r="P182" s="22"/>
      <c r="Q182" s="23"/>
      <c r="R182" s="23"/>
      <c r="S182" s="23"/>
      <c r="T182" s="23"/>
      <c r="U182" s="25"/>
    </row>
    <row r="183" s="73" customFormat="true" ht="17.25" hidden="false" customHeight="false" outlineLevel="0" collapsed="false">
      <c r="A183" s="15" t="n">
        <v>46658</v>
      </c>
      <c r="B183" s="16" t="s">
        <v>14</v>
      </c>
      <c r="C183" s="30" t="s">
        <v>113</v>
      </c>
      <c r="D183" s="22"/>
      <c r="E183" s="23"/>
      <c r="F183" s="23"/>
      <c r="G183" s="23"/>
      <c r="H183" s="23"/>
      <c r="I183" s="24"/>
      <c r="J183" s="22"/>
      <c r="K183" s="23"/>
      <c r="L183" s="23"/>
      <c r="M183" s="23"/>
      <c r="N183" s="23"/>
      <c r="O183" s="25"/>
      <c r="P183" s="22"/>
      <c r="Q183" s="23"/>
      <c r="R183" s="23"/>
      <c r="S183" s="23"/>
      <c r="T183" s="23"/>
      <c r="U183" s="25"/>
    </row>
    <row r="184" s="122" customFormat="true" ht="17.25" hidden="false" customHeight="false" outlineLevel="0" collapsed="false">
      <c r="A184" s="15" t="n">
        <v>46659</v>
      </c>
      <c r="B184" s="16" t="s">
        <v>17</v>
      </c>
      <c r="C184" s="30" t="s">
        <v>114</v>
      </c>
      <c r="D184" s="44" t="s">
        <v>31</v>
      </c>
      <c r="E184" s="45" t="s">
        <v>32</v>
      </c>
      <c r="F184" s="45" t="s">
        <v>33</v>
      </c>
      <c r="G184" s="45" t="s">
        <v>34</v>
      </c>
      <c r="H184" s="45" t="s">
        <v>35</v>
      </c>
      <c r="I184" s="52" t="s">
        <v>11</v>
      </c>
      <c r="J184" s="44" t="s">
        <v>31</v>
      </c>
      <c r="K184" s="45" t="s">
        <v>32</v>
      </c>
      <c r="L184" s="45" t="s">
        <v>33</v>
      </c>
      <c r="M184" s="45" t="s">
        <v>34</v>
      </c>
      <c r="N184" s="45" t="s">
        <v>35</v>
      </c>
      <c r="O184" s="53" t="s">
        <v>11</v>
      </c>
      <c r="P184" s="44" t="s">
        <v>31</v>
      </c>
      <c r="Q184" s="45" t="s">
        <v>32</v>
      </c>
      <c r="R184" s="45" t="s">
        <v>33</v>
      </c>
      <c r="S184" s="45" t="s">
        <v>34</v>
      </c>
      <c r="T184" s="45" t="s">
        <v>35</v>
      </c>
      <c r="U184" s="53" t="s">
        <v>11</v>
      </c>
    </row>
    <row r="185" s="48" customFormat="true" ht="17.25" hidden="false" customHeight="false" outlineLevel="0" collapsed="false">
      <c r="A185" s="15" t="n">
        <v>46660</v>
      </c>
      <c r="B185" s="16" t="s">
        <v>6</v>
      </c>
      <c r="C185" s="30" t="s">
        <v>115</v>
      </c>
      <c r="D185" s="22"/>
      <c r="E185" s="23"/>
      <c r="F185" s="23"/>
      <c r="G185" s="23"/>
      <c r="H185" s="45" t="s">
        <v>40</v>
      </c>
      <c r="I185" s="24"/>
      <c r="J185" s="22"/>
      <c r="K185" s="23"/>
      <c r="L185" s="23"/>
      <c r="M185" s="23"/>
      <c r="N185" s="45" t="s">
        <v>40</v>
      </c>
      <c r="O185" s="25"/>
      <c r="P185" s="22"/>
      <c r="Q185" s="23"/>
      <c r="R185" s="23"/>
      <c r="S185" s="23"/>
      <c r="T185" s="45" t="s">
        <v>40</v>
      </c>
      <c r="U185" s="25"/>
    </row>
    <row r="186" customFormat="false" ht="17.25" hidden="false" customHeight="false" outlineLevel="0" collapsed="false">
      <c r="A186" s="15" t="n">
        <v>46661</v>
      </c>
      <c r="B186" s="16" t="s">
        <v>8</v>
      </c>
      <c r="C186" s="28"/>
      <c r="D186" s="123" t="s">
        <v>41</v>
      </c>
      <c r="E186" s="103" t="s">
        <v>42</v>
      </c>
      <c r="F186" s="103" t="s">
        <v>43</v>
      </c>
      <c r="G186" s="103" t="s">
        <v>44</v>
      </c>
      <c r="H186" s="118" t="s">
        <v>45</v>
      </c>
      <c r="I186" s="118" t="s">
        <v>12</v>
      </c>
      <c r="J186" s="123" t="s">
        <v>41</v>
      </c>
      <c r="K186" s="103" t="s">
        <v>42</v>
      </c>
      <c r="L186" s="103" t="s">
        <v>43</v>
      </c>
      <c r="M186" s="103" t="s">
        <v>44</v>
      </c>
      <c r="N186" s="118" t="s">
        <v>45</v>
      </c>
      <c r="O186" s="124" t="s">
        <v>12</v>
      </c>
      <c r="P186" s="123" t="s">
        <v>41</v>
      </c>
      <c r="Q186" s="103" t="s">
        <v>42</v>
      </c>
      <c r="R186" s="103" t="s">
        <v>43</v>
      </c>
      <c r="S186" s="103" t="s">
        <v>44</v>
      </c>
      <c r="T186" s="118" t="s">
        <v>45</v>
      </c>
      <c r="U186" s="124" t="s">
        <v>12</v>
      </c>
    </row>
    <row r="187" customFormat="false" ht="17.25" hidden="false" customHeight="false" outlineLevel="0" collapsed="false">
      <c r="A187" s="26" t="n">
        <v>46662</v>
      </c>
      <c r="B187" s="27" t="s">
        <v>10</v>
      </c>
      <c r="C187" s="17"/>
      <c r="D187" s="22"/>
      <c r="E187" s="23"/>
      <c r="F187" s="23"/>
      <c r="G187" s="23"/>
      <c r="H187" s="23"/>
      <c r="I187" s="24"/>
      <c r="J187" s="22"/>
      <c r="K187" s="23"/>
      <c r="L187" s="23"/>
      <c r="M187" s="23"/>
      <c r="N187" s="23"/>
      <c r="O187" s="25"/>
      <c r="P187" s="22"/>
      <c r="Q187" s="23"/>
      <c r="R187" s="23"/>
      <c r="S187" s="23"/>
      <c r="T187" s="23"/>
      <c r="U187" s="25"/>
    </row>
    <row r="188" customFormat="false" ht="17.25" hidden="false" customHeight="false" outlineLevel="0" collapsed="false">
      <c r="A188" s="26" t="n">
        <v>46663</v>
      </c>
      <c r="B188" s="27" t="s">
        <v>4</v>
      </c>
      <c r="C188" s="17"/>
      <c r="D188" s="22"/>
      <c r="E188" s="23"/>
      <c r="F188" s="23"/>
      <c r="G188" s="23"/>
      <c r="H188" s="23"/>
      <c r="I188" s="24"/>
      <c r="J188" s="22"/>
      <c r="K188" s="23"/>
      <c r="L188" s="23"/>
      <c r="M188" s="23"/>
      <c r="N188" s="23"/>
      <c r="O188" s="25"/>
      <c r="P188" s="22"/>
      <c r="Q188" s="23"/>
      <c r="R188" s="23"/>
      <c r="S188" s="23"/>
      <c r="T188" s="23"/>
      <c r="U188" s="25"/>
    </row>
    <row r="189" customFormat="false" ht="17.25" hidden="false" customHeight="false" outlineLevel="0" collapsed="false">
      <c r="A189" s="15" t="n">
        <v>46664</v>
      </c>
      <c r="B189" s="16" t="s">
        <v>3</v>
      </c>
      <c r="C189" s="28"/>
      <c r="D189" s="44" t="s">
        <v>19</v>
      </c>
      <c r="E189" s="45" t="s">
        <v>20</v>
      </c>
      <c r="F189" s="45" t="s">
        <v>21</v>
      </c>
      <c r="G189" s="45" t="s">
        <v>22</v>
      </c>
      <c r="H189" s="45" t="s">
        <v>23</v>
      </c>
      <c r="I189" s="52" t="s">
        <v>7</v>
      </c>
      <c r="J189" s="44" t="s">
        <v>19</v>
      </c>
      <c r="K189" s="45" t="s">
        <v>20</v>
      </c>
      <c r="L189" s="45" t="s">
        <v>21</v>
      </c>
      <c r="M189" s="45" t="s">
        <v>22</v>
      </c>
      <c r="N189" s="45" t="s">
        <v>23</v>
      </c>
      <c r="O189" s="53" t="s">
        <v>7</v>
      </c>
      <c r="P189" s="44" t="s">
        <v>19</v>
      </c>
      <c r="Q189" s="45" t="s">
        <v>20</v>
      </c>
      <c r="R189" s="45" t="s">
        <v>21</v>
      </c>
      <c r="S189" s="45" t="s">
        <v>22</v>
      </c>
      <c r="T189" s="45" t="s">
        <v>23</v>
      </c>
      <c r="U189" s="53" t="s">
        <v>7</v>
      </c>
    </row>
    <row r="190" s="122" customFormat="true" ht="17.25" hidden="false" customHeight="false" outlineLevel="0" collapsed="false">
      <c r="A190" s="15" t="n">
        <v>46665</v>
      </c>
      <c r="B190" s="16" t="s">
        <v>14</v>
      </c>
      <c r="C190" s="30" t="s">
        <v>116</v>
      </c>
      <c r="D190" s="44" t="s">
        <v>25</v>
      </c>
      <c r="E190" s="45" t="s">
        <v>26</v>
      </c>
      <c r="F190" s="45" t="s">
        <v>27</v>
      </c>
      <c r="G190" s="58" t="s">
        <v>22</v>
      </c>
      <c r="H190" s="45" t="s">
        <v>29</v>
      </c>
      <c r="I190" s="52" t="s">
        <v>9</v>
      </c>
      <c r="J190" s="44" t="s">
        <v>25</v>
      </c>
      <c r="K190" s="45" t="s">
        <v>26</v>
      </c>
      <c r="L190" s="45" t="s">
        <v>27</v>
      </c>
      <c r="M190" s="58" t="s">
        <v>22</v>
      </c>
      <c r="N190" s="45" t="s">
        <v>29</v>
      </c>
      <c r="O190" s="125" t="s">
        <v>9</v>
      </c>
      <c r="P190" s="44" t="s">
        <v>25</v>
      </c>
      <c r="Q190" s="45" t="s">
        <v>26</v>
      </c>
      <c r="R190" s="45" t="s">
        <v>27</v>
      </c>
      <c r="S190" s="58" t="s">
        <v>22</v>
      </c>
      <c r="T190" s="45" t="s">
        <v>29</v>
      </c>
      <c r="U190" s="52" t="s">
        <v>9</v>
      </c>
    </row>
    <row r="191" s="122" customFormat="true" ht="17.25" hidden="false" customHeight="false" outlineLevel="0" collapsed="false">
      <c r="A191" s="15" t="n">
        <v>46666</v>
      </c>
      <c r="B191" s="16" t="s">
        <v>17</v>
      </c>
      <c r="C191" s="30" t="s">
        <v>117</v>
      </c>
      <c r="D191" s="68" t="s">
        <v>36</v>
      </c>
      <c r="E191" s="58" t="s">
        <v>37</v>
      </c>
      <c r="F191" s="58" t="s">
        <v>38</v>
      </c>
      <c r="G191" s="58" t="s">
        <v>39</v>
      </c>
      <c r="H191" s="23"/>
      <c r="I191" s="24"/>
      <c r="J191" s="68" t="s">
        <v>36</v>
      </c>
      <c r="K191" s="58" t="s">
        <v>37</v>
      </c>
      <c r="L191" s="58" t="s">
        <v>38</v>
      </c>
      <c r="M191" s="58" t="s">
        <v>39</v>
      </c>
      <c r="N191" s="23"/>
      <c r="O191" s="24"/>
      <c r="P191" s="68" t="s">
        <v>36</v>
      </c>
      <c r="Q191" s="58" t="s">
        <v>37</v>
      </c>
      <c r="R191" s="58" t="s">
        <v>38</v>
      </c>
      <c r="S191" s="58" t="s">
        <v>39</v>
      </c>
      <c r="T191" s="23"/>
      <c r="U191" s="24"/>
    </row>
    <row r="192" customFormat="false" ht="17.25" hidden="false" customHeight="false" outlineLevel="0" collapsed="false">
      <c r="A192" s="15" t="n">
        <v>46667</v>
      </c>
      <c r="B192" s="16" t="s">
        <v>6</v>
      </c>
      <c r="C192" s="30" t="s">
        <v>118</v>
      </c>
      <c r="D192" s="49"/>
      <c r="E192" s="50"/>
      <c r="F192" s="23"/>
      <c r="G192" s="23"/>
      <c r="H192" s="23"/>
      <c r="I192" s="24"/>
      <c r="J192" s="49"/>
      <c r="K192" s="50"/>
      <c r="L192" s="23"/>
      <c r="M192" s="23"/>
      <c r="N192" s="23"/>
      <c r="O192" s="24"/>
      <c r="P192" s="49"/>
      <c r="Q192" s="50"/>
      <c r="R192" s="23"/>
      <c r="S192" s="23"/>
      <c r="T192" s="23"/>
      <c r="U192" s="24"/>
    </row>
    <row r="193" customFormat="false" ht="17.25" hidden="false" customHeight="false" outlineLevel="0" collapsed="false">
      <c r="A193" s="15" t="n">
        <v>46668</v>
      </c>
      <c r="B193" s="16" t="s">
        <v>8</v>
      </c>
      <c r="C193" s="30" t="s">
        <v>119</v>
      </c>
      <c r="D193" s="70" t="s">
        <v>41</v>
      </c>
      <c r="E193" s="103" t="s">
        <v>42</v>
      </c>
      <c r="F193" s="103" t="s">
        <v>43</v>
      </c>
      <c r="G193" s="103" t="s">
        <v>44</v>
      </c>
      <c r="H193" s="103" t="s">
        <v>45</v>
      </c>
      <c r="I193" s="118" t="s">
        <v>12</v>
      </c>
      <c r="J193" s="70" t="s">
        <v>41</v>
      </c>
      <c r="K193" s="103" t="s">
        <v>42</v>
      </c>
      <c r="L193" s="103" t="s">
        <v>43</v>
      </c>
      <c r="M193" s="103" t="s">
        <v>44</v>
      </c>
      <c r="N193" s="103" t="s">
        <v>45</v>
      </c>
      <c r="O193" s="118" t="s">
        <v>12</v>
      </c>
      <c r="P193" s="70" t="s">
        <v>41</v>
      </c>
      <c r="Q193" s="103" t="s">
        <v>42</v>
      </c>
      <c r="R193" s="103" t="s">
        <v>43</v>
      </c>
      <c r="S193" s="103" t="s">
        <v>44</v>
      </c>
      <c r="T193" s="103" t="s">
        <v>45</v>
      </c>
      <c r="U193" s="118" t="s">
        <v>12</v>
      </c>
    </row>
    <row r="194" customFormat="false" ht="17.25" hidden="false" customHeight="false" outlineLevel="0" collapsed="false">
      <c r="A194" s="26" t="n">
        <v>46669</v>
      </c>
      <c r="B194" s="27" t="s">
        <v>10</v>
      </c>
      <c r="C194" s="17"/>
      <c r="D194" s="22"/>
      <c r="E194" s="23"/>
      <c r="F194" s="23"/>
      <c r="G194" s="23"/>
      <c r="H194" s="24"/>
      <c r="I194" s="24"/>
      <c r="J194" s="22"/>
      <c r="K194" s="23"/>
      <c r="L194" s="23"/>
      <c r="M194" s="23"/>
      <c r="N194" s="24"/>
      <c r="O194" s="24"/>
      <c r="P194" s="22"/>
      <c r="Q194" s="23"/>
      <c r="R194" s="23"/>
      <c r="S194" s="23"/>
      <c r="T194" s="24"/>
      <c r="U194" s="24"/>
    </row>
    <row r="195" customFormat="false" ht="17.25" hidden="false" customHeight="false" outlineLevel="0" collapsed="false">
      <c r="A195" s="26" t="n">
        <v>46670</v>
      </c>
      <c r="B195" s="27" t="s">
        <v>4</v>
      </c>
      <c r="C195" s="17"/>
      <c r="D195" s="22"/>
      <c r="E195" s="23"/>
      <c r="F195" s="23"/>
      <c r="G195" s="23"/>
      <c r="H195" s="23"/>
      <c r="I195" s="20"/>
      <c r="J195" s="22"/>
      <c r="K195" s="23"/>
      <c r="L195" s="23"/>
      <c r="M195" s="23"/>
      <c r="N195" s="23"/>
      <c r="O195" s="20"/>
      <c r="P195" s="22"/>
      <c r="Q195" s="23"/>
      <c r="R195" s="23"/>
      <c r="S195" s="23"/>
      <c r="T195" s="23"/>
      <c r="U195" s="20"/>
    </row>
    <row r="196" customFormat="false" ht="17.25" hidden="false" customHeight="false" outlineLevel="0" collapsed="false">
      <c r="A196" s="26" t="n">
        <v>46671</v>
      </c>
      <c r="B196" s="27" t="s">
        <v>3</v>
      </c>
      <c r="C196" s="17" t="s">
        <v>120</v>
      </c>
      <c r="D196" s="22"/>
      <c r="E196" s="23"/>
      <c r="F196" s="23"/>
      <c r="G196" s="23"/>
      <c r="H196" s="23"/>
      <c r="I196" s="24"/>
      <c r="J196" s="22"/>
      <c r="K196" s="23"/>
      <c r="L196" s="23"/>
      <c r="M196" s="23"/>
      <c r="N196" s="23"/>
      <c r="O196" s="24"/>
      <c r="P196" s="22"/>
      <c r="Q196" s="23"/>
      <c r="R196" s="23"/>
      <c r="S196" s="23"/>
      <c r="T196" s="23"/>
      <c r="U196" s="24"/>
    </row>
    <row r="197" s="122" customFormat="true" ht="17.25" hidden="false" customHeight="false" outlineLevel="0" collapsed="false">
      <c r="A197" s="15" t="n">
        <v>46672</v>
      </c>
      <c r="B197" s="16" t="s">
        <v>14</v>
      </c>
      <c r="C197" s="28"/>
      <c r="D197" s="44" t="s">
        <v>25</v>
      </c>
      <c r="E197" s="45" t="s">
        <v>26</v>
      </c>
      <c r="F197" s="45" t="s">
        <v>27</v>
      </c>
      <c r="G197" s="45" t="s">
        <v>28</v>
      </c>
      <c r="H197" s="45" t="s">
        <v>29</v>
      </c>
      <c r="I197" s="52" t="s">
        <v>9</v>
      </c>
      <c r="J197" s="44" t="s">
        <v>25</v>
      </c>
      <c r="K197" s="45" t="s">
        <v>26</v>
      </c>
      <c r="L197" s="45" t="s">
        <v>27</v>
      </c>
      <c r="M197" s="45" t="s">
        <v>28</v>
      </c>
      <c r="N197" s="45" t="s">
        <v>29</v>
      </c>
      <c r="O197" s="52" t="s">
        <v>9</v>
      </c>
      <c r="P197" s="44" t="s">
        <v>25</v>
      </c>
      <c r="Q197" s="45" t="s">
        <v>26</v>
      </c>
      <c r="R197" s="45" t="s">
        <v>27</v>
      </c>
      <c r="S197" s="45" t="s">
        <v>28</v>
      </c>
      <c r="T197" s="23"/>
      <c r="U197" s="24"/>
    </row>
    <row r="198" s="122" customFormat="true" ht="17.25" hidden="false" customHeight="false" outlineLevel="0" collapsed="false">
      <c r="A198" s="15" t="n">
        <v>46673</v>
      </c>
      <c r="B198" s="16" t="s">
        <v>17</v>
      </c>
      <c r="C198" s="28"/>
      <c r="D198" s="22"/>
      <c r="E198" s="45" t="s">
        <v>32</v>
      </c>
      <c r="F198" s="45" t="s">
        <v>33</v>
      </c>
      <c r="G198" s="45" t="s">
        <v>34</v>
      </c>
      <c r="H198" s="45" t="s">
        <v>35</v>
      </c>
      <c r="I198" s="52" t="s">
        <v>11</v>
      </c>
      <c r="J198" s="22"/>
      <c r="K198" s="45" t="s">
        <v>32</v>
      </c>
      <c r="L198" s="45" t="s">
        <v>33</v>
      </c>
      <c r="M198" s="45" t="s">
        <v>34</v>
      </c>
      <c r="N198" s="45" t="s">
        <v>35</v>
      </c>
      <c r="O198" s="52" t="s">
        <v>11</v>
      </c>
      <c r="P198" s="22"/>
      <c r="Q198" s="45" t="s">
        <v>32</v>
      </c>
      <c r="R198" s="45" t="s">
        <v>33</v>
      </c>
      <c r="S198" s="45" t="s">
        <v>34</v>
      </c>
      <c r="T198" s="118" t="s">
        <v>35</v>
      </c>
      <c r="U198" s="126" t="s">
        <v>11</v>
      </c>
    </row>
    <row r="199" s="122" customFormat="true" ht="17.25" hidden="false" customHeight="false" outlineLevel="0" collapsed="false">
      <c r="A199" s="15" t="n">
        <v>46674</v>
      </c>
      <c r="B199" s="16" t="s">
        <v>6</v>
      </c>
      <c r="C199" s="30" t="s">
        <v>50</v>
      </c>
      <c r="D199" s="68" t="s">
        <v>19</v>
      </c>
      <c r="E199" s="45" t="s">
        <v>37</v>
      </c>
      <c r="F199" s="45" t="s">
        <v>38</v>
      </c>
      <c r="G199" s="45" t="s">
        <v>39</v>
      </c>
      <c r="H199" s="45" t="s">
        <v>40</v>
      </c>
      <c r="I199" s="118"/>
      <c r="J199" s="68" t="s">
        <v>19</v>
      </c>
      <c r="K199" s="45" t="s">
        <v>37</v>
      </c>
      <c r="L199" s="45" t="s">
        <v>38</v>
      </c>
      <c r="M199" s="45" t="s">
        <v>39</v>
      </c>
      <c r="N199" s="45" t="s">
        <v>40</v>
      </c>
      <c r="O199" s="118"/>
      <c r="P199" s="68" t="s">
        <v>19</v>
      </c>
      <c r="Q199" s="45" t="s">
        <v>37</v>
      </c>
      <c r="R199" s="45" t="s">
        <v>38</v>
      </c>
      <c r="S199" s="45" t="s">
        <v>39</v>
      </c>
      <c r="T199" s="45" t="s">
        <v>40</v>
      </c>
      <c r="U199" s="118"/>
    </row>
    <row r="200" customFormat="false" ht="17.25" hidden="false" customHeight="false" outlineLevel="0" collapsed="false">
      <c r="A200" s="15" t="n">
        <v>46675</v>
      </c>
      <c r="B200" s="16" t="s">
        <v>8</v>
      </c>
      <c r="C200" s="30" t="s">
        <v>121</v>
      </c>
      <c r="D200" s="70" t="s">
        <v>41</v>
      </c>
      <c r="E200" s="71" t="s">
        <v>42</v>
      </c>
      <c r="F200" s="45" t="s">
        <v>43</v>
      </c>
      <c r="G200" s="45" t="s">
        <v>44</v>
      </c>
      <c r="H200" s="58" t="s">
        <v>23</v>
      </c>
      <c r="I200" s="74" t="s">
        <v>7</v>
      </c>
      <c r="J200" s="70" t="s">
        <v>41</v>
      </c>
      <c r="K200" s="71" t="s">
        <v>42</v>
      </c>
      <c r="L200" s="45" t="s">
        <v>43</v>
      </c>
      <c r="M200" s="45" t="s">
        <v>44</v>
      </c>
      <c r="N200" s="23"/>
      <c r="O200" s="24"/>
      <c r="P200" s="49"/>
      <c r="Q200" s="50"/>
      <c r="R200" s="23"/>
      <c r="S200" s="23"/>
      <c r="T200" s="23"/>
      <c r="U200" s="74" t="s">
        <v>7</v>
      </c>
    </row>
    <row r="201" customFormat="false" ht="17.25" hidden="false" customHeight="false" outlineLevel="0" collapsed="false">
      <c r="A201" s="26" t="n">
        <v>46676</v>
      </c>
      <c r="B201" s="27" t="s">
        <v>10</v>
      </c>
      <c r="C201" s="17"/>
      <c r="D201" s="22"/>
      <c r="E201" s="24"/>
      <c r="F201" s="23"/>
      <c r="G201" s="23"/>
      <c r="H201" s="23"/>
      <c r="I201" s="24"/>
      <c r="J201" s="22"/>
      <c r="K201" s="24"/>
      <c r="L201" s="23"/>
      <c r="M201" s="23"/>
      <c r="N201" s="118"/>
      <c r="P201" s="127"/>
      <c r="U201" s="24"/>
    </row>
    <row r="202" customFormat="false" ht="17.25" hidden="false" customHeight="false" outlineLevel="0" collapsed="false">
      <c r="A202" s="26" t="n">
        <v>46677</v>
      </c>
      <c r="B202" s="27" t="s">
        <v>4</v>
      </c>
      <c r="C202" s="17" t="s">
        <v>79</v>
      </c>
      <c r="D202" s="22"/>
      <c r="E202" s="23"/>
      <c r="F202" s="23"/>
      <c r="G202" s="23"/>
      <c r="H202" s="23"/>
      <c r="I202" s="24"/>
      <c r="J202" s="22"/>
      <c r="K202" s="23"/>
      <c r="L202" s="23"/>
      <c r="M202" s="23"/>
      <c r="N202" s="23"/>
      <c r="O202" s="25"/>
      <c r="P202" s="22"/>
      <c r="Q202" s="23"/>
      <c r="R202" s="23"/>
      <c r="S202" s="23"/>
      <c r="T202" s="23"/>
      <c r="U202" s="25"/>
    </row>
    <row r="203" customFormat="false" ht="17.25" hidden="false" customHeight="false" outlineLevel="0" collapsed="false">
      <c r="A203" s="15" t="n">
        <v>46678</v>
      </c>
      <c r="B203" s="16" t="s">
        <v>3</v>
      </c>
      <c r="C203" s="30" t="s">
        <v>122</v>
      </c>
      <c r="D203" s="68" t="s">
        <v>31</v>
      </c>
      <c r="E203" s="45" t="s">
        <v>20</v>
      </c>
      <c r="F203" s="45" t="s">
        <v>21</v>
      </c>
      <c r="G203" s="45" t="s">
        <v>22</v>
      </c>
      <c r="H203" s="23"/>
      <c r="I203" s="24"/>
      <c r="J203" s="68" t="s">
        <v>31</v>
      </c>
      <c r="K203" s="45" t="s">
        <v>20</v>
      </c>
      <c r="L203" s="45" t="s">
        <v>21</v>
      </c>
      <c r="M203" s="45" t="s">
        <v>22</v>
      </c>
      <c r="N203" s="45" t="s">
        <v>23</v>
      </c>
      <c r="O203" s="53" t="s">
        <v>7</v>
      </c>
      <c r="P203" s="68" t="s">
        <v>31</v>
      </c>
      <c r="Q203" s="45" t="s">
        <v>20</v>
      </c>
      <c r="R203" s="45" t="s">
        <v>21</v>
      </c>
      <c r="S203" s="45" t="s">
        <v>22</v>
      </c>
      <c r="T203" s="45" t="s">
        <v>23</v>
      </c>
      <c r="U203" s="53" t="s">
        <v>7</v>
      </c>
    </row>
    <row r="204" s="122" customFormat="true" ht="17.25" hidden="false" customHeight="false" outlineLevel="0" collapsed="false">
      <c r="A204" s="15" t="n">
        <v>46679</v>
      </c>
      <c r="B204" s="16" t="s">
        <v>14</v>
      </c>
      <c r="C204" s="28"/>
      <c r="D204" s="68" t="s">
        <v>31</v>
      </c>
      <c r="E204" s="58" t="s">
        <v>32</v>
      </c>
      <c r="F204" s="45" t="s">
        <v>27</v>
      </c>
      <c r="G204" s="45" t="s">
        <v>28</v>
      </c>
      <c r="H204" s="118" t="s">
        <v>29</v>
      </c>
      <c r="I204" s="126" t="s">
        <v>9</v>
      </c>
      <c r="J204" s="68" t="s">
        <v>31</v>
      </c>
      <c r="K204" s="58" t="s">
        <v>32</v>
      </c>
      <c r="L204" s="45" t="s">
        <v>27</v>
      </c>
      <c r="M204" s="45" t="s">
        <v>28</v>
      </c>
      <c r="N204" s="45" t="s">
        <v>29</v>
      </c>
      <c r="O204" s="53" t="s">
        <v>9</v>
      </c>
      <c r="P204" s="68" t="s">
        <v>31</v>
      </c>
      <c r="Q204" s="58" t="s">
        <v>32</v>
      </c>
      <c r="R204" s="45" t="s">
        <v>27</v>
      </c>
      <c r="S204" s="45" t="s">
        <v>28</v>
      </c>
      <c r="T204" s="45" t="s">
        <v>29</v>
      </c>
      <c r="U204" s="53" t="s">
        <v>9</v>
      </c>
    </row>
    <row r="205" s="122" customFormat="true" ht="17.25" hidden="false" customHeight="false" outlineLevel="0" collapsed="false">
      <c r="A205" s="15" t="n">
        <v>46680</v>
      </c>
      <c r="B205" s="16" t="s">
        <v>17</v>
      </c>
      <c r="C205" s="28"/>
      <c r="D205" s="22"/>
      <c r="E205" s="23"/>
      <c r="F205" s="23"/>
      <c r="G205" s="23"/>
      <c r="H205" s="23"/>
      <c r="I205" s="24"/>
      <c r="J205" s="22"/>
      <c r="K205" s="23"/>
      <c r="L205" s="23"/>
      <c r="M205" s="23"/>
      <c r="N205" s="23"/>
      <c r="O205" s="25"/>
      <c r="P205" s="22"/>
      <c r="Q205" s="23"/>
      <c r="R205" s="23"/>
      <c r="S205" s="23"/>
      <c r="T205" s="23"/>
      <c r="U205" s="25"/>
    </row>
    <row r="206" customFormat="false" ht="17.25" hidden="false" customHeight="false" outlineLevel="0" collapsed="false">
      <c r="A206" s="15" t="n">
        <v>46681</v>
      </c>
      <c r="B206" s="16" t="s">
        <v>6</v>
      </c>
      <c r="C206" s="28"/>
      <c r="D206" s="44" t="s">
        <v>36</v>
      </c>
      <c r="E206" s="103" t="s">
        <v>37</v>
      </c>
      <c r="F206" s="103" t="s">
        <v>38</v>
      </c>
      <c r="G206" s="103" t="s">
        <v>39</v>
      </c>
      <c r="H206" s="103" t="s">
        <v>40</v>
      </c>
      <c r="I206" s="24"/>
      <c r="J206" s="44" t="s">
        <v>36</v>
      </c>
      <c r="K206" s="103" t="s">
        <v>37</v>
      </c>
      <c r="L206" s="103" t="s">
        <v>38</v>
      </c>
      <c r="M206" s="103" t="s">
        <v>39</v>
      </c>
      <c r="N206" s="103" t="s">
        <v>40</v>
      </c>
      <c r="O206" s="25"/>
      <c r="P206" s="44" t="s">
        <v>36</v>
      </c>
      <c r="Q206" s="103" t="s">
        <v>37</v>
      </c>
      <c r="R206" s="103" t="s">
        <v>38</v>
      </c>
      <c r="S206" s="103" t="s">
        <v>39</v>
      </c>
      <c r="T206" s="103" t="s">
        <v>40</v>
      </c>
      <c r="U206" s="25"/>
    </row>
    <row r="207" customFormat="false" ht="17.25" hidden="false" customHeight="false" outlineLevel="0" collapsed="false">
      <c r="A207" s="15" t="n">
        <v>46682</v>
      </c>
      <c r="B207" s="16" t="s">
        <v>8</v>
      </c>
      <c r="C207" s="30" t="s">
        <v>123</v>
      </c>
      <c r="D207" s="70" t="s">
        <v>41</v>
      </c>
      <c r="E207" s="71" t="s">
        <v>42</v>
      </c>
      <c r="F207" s="45" t="s">
        <v>43</v>
      </c>
      <c r="G207" s="58" t="s">
        <v>12</v>
      </c>
      <c r="H207" s="45" t="s">
        <v>45</v>
      </c>
      <c r="I207" s="74" t="s">
        <v>7</v>
      </c>
      <c r="J207" s="70" t="s">
        <v>41</v>
      </c>
      <c r="K207" s="71" t="s">
        <v>42</v>
      </c>
      <c r="L207" s="45" t="s">
        <v>43</v>
      </c>
      <c r="M207" s="58" t="s">
        <v>12</v>
      </c>
      <c r="N207" s="45" t="s">
        <v>45</v>
      </c>
      <c r="O207" s="75" t="s">
        <v>7</v>
      </c>
      <c r="P207" s="70" t="s">
        <v>41</v>
      </c>
      <c r="Q207" s="71" t="s">
        <v>42</v>
      </c>
      <c r="R207" s="45" t="s">
        <v>43</v>
      </c>
      <c r="S207" s="58" t="s">
        <v>12</v>
      </c>
      <c r="T207" s="23"/>
      <c r="U207" s="25"/>
    </row>
    <row r="208" customFormat="false" ht="17.25" hidden="false" customHeight="false" outlineLevel="0" collapsed="false">
      <c r="A208" s="26" t="n">
        <v>46683</v>
      </c>
      <c r="B208" s="27" t="s">
        <v>10</v>
      </c>
      <c r="C208" s="17"/>
      <c r="D208" s="22"/>
      <c r="E208" s="24"/>
      <c r="F208" s="23"/>
      <c r="G208" s="23"/>
      <c r="H208" s="24"/>
      <c r="I208" s="24"/>
      <c r="J208" s="22"/>
      <c r="K208" s="24"/>
      <c r="L208" s="23"/>
      <c r="M208" s="23"/>
      <c r="N208" s="24"/>
      <c r="O208" s="25"/>
      <c r="P208" s="22"/>
      <c r="Q208" s="24"/>
      <c r="R208" s="23"/>
      <c r="S208" s="23"/>
      <c r="T208" s="89"/>
      <c r="U208" s="25"/>
    </row>
    <row r="209" customFormat="false" ht="17.25" hidden="false" customHeight="false" outlineLevel="0" collapsed="false">
      <c r="A209" s="26" t="n">
        <v>46684</v>
      </c>
      <c r="B209" s="27" t="s">
        <v>4</v>
      </c>
      <c r="C209" s="17"/>
      <c r="D209" s="22"/>
      <c r="E209" s="23"/>
      <c r="F209" s="23"/>
      <c r="G209" s="23"/>
      <c r="H209" s="23"/>
      <c r="I209" s="24"/>
      <c r="J209" s="22"/>
      <c r="K209" s="23"/>
      <c r="L209" s="23"/>
      <c r="M209" s="23"/>
      <c r="N209" s="23"/>
      <c r="O209" s="25"/>
      <c r="P209" s="22"/>
      <c r="Q209" s="23"/>
      <c r="R209" s="23"/>
      <c r="S209" s="23"/>
      <c r="T209" s="23"/>
      <c r="U209" s="25"/>
    </row>
    <row r="210" customFormat="false" ht="17.25" hidden="false" customHeight="false" outlineLevel="0" collapsed="false">
      <c r="A210" s="15" t="n">
        <v>46685</v>
      </c>
      <c r="B210" s="16" t="s">
        <v>3</v>
      </c>
      <c r="C210" s="28"/>
      <c r="D210" s="44" t="s">
        <v>19</v>
      </c>
      <c r="E210" s="45" t="s">
        <v>20</v>
      </c>
      <c r="F210" s="45" t="s">
        <v>21</v>
      </c>
      <c r="G210" s="58" t="s">
        <v>34</v>
      </c>
      <c r="H210" s="45" t="s">
        <v>23</v>
      </c>
      <c r="I210" s="24"/>
      <c r="J210" s="44" t="s">
        <v>19</v>
      </c>
      <c r="K210" s="45" t="s">
        <v>20</v>
      </c>
      <c r="L210" s="45" t="s">
        <v>21</v>
      </c>
      <c r="M210" s="58" t="s">
        <v>34</v>
      </c>
      <c r="N210" s="45" t="s">
        <v>23</v>
      </c>
      <c r="O210" s="25"/>
      <c r="P210" s="44" t="s">
        <v>19</v>
      </c>
      <c r="Q210" s="45" t="s">
        <v>20</v>
      </c>
      <c r="R210" s="45" t="s">
        <v>21</v>
      </c>
      <c r="S210" s="58" t="s">
        <v>34</v>
      </c>
      <c r="T210" s="45" t="s">
        <v>23</v>
      </c>
      <c r="U210" s="25"/>
    </row>
    <row r="211" s="122" customFormat="true" ht="17.25" hidden="false" customHeight="false" outlineLevel="0" collapsed="false">
      <c r="A211" s="15" t="n">
        <v>46686</v>
      </c>
      <c r="B211" s="16" t="s">
        <v>14</v>
      </c>
      <c r="C211" s="30" t="s">
        <v>124</v>
      </c>
      <c r="D211" s="44" t="s">
        <v>25</v>
      </c>
      <c r="E211" s="58" t="s">
        <v>11</v>
      </c>
      <c r="F211" s="45" t="s">
        <v>27</v>
      </c>
      <c r="G211" s="45" t="s">
        <v>28</v>
      </c>
      <c r="H211" s="58" t="s">
        <v>35</v>
      </c>
      <c r="I211" s="24"/>
      <c r="J211" s="44" t="s">
        <v>25</v>
      </c>
      <c r="K211" s="58" t="s">
        <v>11</v>
      </c>
      <c r="L211" s="45" t="s">
        <v>27</v>
      </c>
      <c r="M211" s="45" t="s">
        <v>28</v>
      </c>
      <c r="N211" s="58" t="s">
        <v>35</v>
      </c>
      <c r="O211" s="25"/>
      <c r="P211" s="44" t="s">
        <v>25</v>
      </c>
      <c r="Q211" s="58" t="s">
        <v>11</v>
      </c>
      <c r="R211" s="45" t="s">
        <v>27</v>
      </c>
      <c r="S211" s="45" t="s">
        <v>28</v>
      </c>
      <c r="T211" s="58" t="s">
        <v>35</v>
      </c>
      <c r="U211" s="25"/>
    </row>
    <row r="212" s="122" customFormat="true" ht="17.25" hidden="false" customHeight="false" outlineLevel="0" collapsed="false">
      <c r="A212" s="15" t="n">
        <v>46687</v>
      </c>
      <c r="B212" s="16" t="s">
        <v>17</v>
      </c>
      <c r="C212" s="28"/>
      <c r="D212" s="44" t="s">
        <v>31</v>
      </c>
      <c r="E212" s="45" t="s">
        <v>32</v>
      </c>
      <c r="F212" s="45" t="s">
        <v>33</v>
      </c>
      <c r="G212" s="58" t="s">
        <v>7</v>
      </c>
      <c r="H212" s="45" t="s">
        <v>35</v>
      </c>
      <c r="I212" s="24"/>
      <c r="J212" s="44" t="s">
        <v>31</v>
      </c>
      <c r="K212" s="45" t="s">
        <v>32</v>
      </c>
      <c r="L212" s="45" t="s">
        <v>33</v>
      </c>
      <c r="M212" s="58" t="s">
        <v>7</v>
      </c>
      <c r="N212" s="45" t="s">
        <v>35</v>
      </c>
      <c r="O212" s="25"/>
      <c r="P212" s="44" t="s">
        <v>31</v>
      </c>
      <c r="Q212" s="45" t="s">
        <v>32</v>
      </c>
      <c r="R212" s="45" t="s">
        <v>33</v>
      </c>
      <c r="S212" s="58" t="s">
        <v>7</v>
      </c>
      <c r="T212" s="45" t="s">
        <v>35</v>
      </c>
      <c r="U212" s="25"/>
    </row>
    <row r="213" customFormat="false" ht="17.25" hidden="false" customHeight="false" outlineLevel="0" collapsed="false">
      <c r="A213" s="15" t="n">
        <v>46688</v>
      </c>
      <c r="B213" s="16" t="s">
        <v>6</v>
      </c>
      <c r="C213" s="28"/>
      <c r="D213" s="44" t="s">
        <v>36</v>
      </c>
      <c r="E213" s="45" t="s">
        <v>37</v>
      </c>
      <c r="F213" s="45" t="s">
        <v>38</v>
      </c>
      <c r="G213" s="45" t="s">
        <v>39</v>
      </c>
      <c r="H213" s="58" t="s">
        <v>45</v>
      </c>
      <c r="I213" s="24"/>
      <c r="J213" s="44" t="s">
        <v>36</v>
      </c>
      <c r="K213" s="45" t="s">
        <v>37</v>
      </c>
      <c r="L213" s="45" t="s">
        <v>38</v>
      </c>
      <c r="M213" s="45" t="s">
        <v>39</v>
      </c>
      <c r="N213" s="58" t="s">
        <v>45</v>
      </c>
      <c r="O213" s="25"/>
      <c r="P213" s="44" t="s">
        <v>36</v>
      </c>
      <c r="Q213" s="45" t="s">
        <v>37</v>
      </c>
      <c r="R213" s="45" t="s">
        <v>38</v>
      </c>
      <c r="S213" s="45" t="s">
        <v>39</v>
      </c>
      <c r="T213" s="58" t="s">
        <v>45</v>
      </c>
      <c r="U213" s="25"/>
    </row>
    <row r="214" customFormat="false" ht="17.25" hidden="false" customHeight="false" outlineLevel="0" collapsed="false">
      <c r="A214" s="15" t="n">
        <v>46689</v>
      </c>
      <c r="B214" s="16" t="s">
        <v>8</v>
      </c>
      <c r="C214" s="28"/>
      <c r="D214" s="70" t="s">
        <v>41</v>
      </c>
      <c r="E214" s="71" t="s">
        <v>42</v>
      </c>
      <c r="F214" s="45" t="s">
        <v>43</v>
      </c>
      <c r="G214" s="58" t="s">
        <v>12</v>
      </c>
      <c r="H214" s="58" t="s">
        <v>29</v>
      </c>
      <c r="I214" s="24"/>
      <c r="J214" s="70" t="s">
        <v>41</v>
      </c>
      <c r="K214" s="71" t="s">
        <v>42</v>
      </c>
      <c r="L214" s="45" t="s">
        <v>43</v>
      </c>
      <c r="M214" s="128" t="s">
        <v>12</v>
      </c>
      <c r="N214" s="58" t="s">
        <v>29</v>
      </c>
      <c r="O214" s="25"/>
      <c r="P214" s="70" t="s">
        <v>41</v>
      </c>
      <c r="Q214" s="71" t="s">
        <v>42</v>
      </c>
      <c r="R214" s="45" t="s">
        <v>43</v>
      </c>
      <c r="S214" s="58" t="s">
        <v>12</v>
      </c>
      <c r="T214" s="58" t="s">
        <v>29</v>
      </c>
      <c r="U214" s="25"/>
    </row>
    <row r="215" customFormat="false" ht="17.25" hidden="false" customHeight="false" outlineLevel="0" collapsed="false">
      <c r="A215" s="26" t="n">
        <v>46690</v>
      </c>
      <c r="B215" s="27" t="s">
        <v>10</v>
      </c>
      <c r="C215" s="17"/>
      <c r="D215" s="22"/>
      <c r="E215" s="24"/>
      <c r="F215" s="23"/>
      <c r="G215" s="23"/>
      <c r="H215" s="23"/>
      <c r="I215" s="24"/>
      <c r="J215" s="22"/>
      <c r="K215" s="24"/>
      <c r="L215" s="23"/>
      <c r="M215" s="23"/>
      <c r="N215" s="23"/>
      <c r="O215" s="25"/>
      <c r="P215" s="22"/>
      <c r="Q215" s="24"/>
      <c r="R215" s="23"/>
      <c r="S215" s="23"/>
      <c r="T215" s="23"/>
      <c r="U215" s="25"/>
    </row>
    <row r="216" customFormat="false" ht="17.25" hidden="false" customHeight="false" outlineLevel="0" collapsed="false">
      <c r="A216" s="26" t="n">
        <v>46691</v>
      </c>
      <c r="B216" s="27" t="s">
        <v>4</v>
      </c>
      <c r="C216" s="17"/>
      <c r="D216" s="22"/>
      <c r="E216" s="23"/>
      <c r="F216" s="23"/>
      <c r="G216" s="23"/>
      <c r="H216" s="23"/>
      <c r="I216" s="24"/>
      <c r="J216" s="22"/>
      <c r="K216" s="23"/>
      <c r="L216" s="23"/>
      <c r="M216" s="23"/>
      <c r="N216" s="23"/>
      <c r="O216" s="25"/>
      <c r="P216" s="22"/>
      <c r="Q216" s="23"/>
      <c r="R216" s="23"/>
      <c r="S216" s="23"/>
      <c r="T216" s="23"/>
      <c r="U216" s="25"/>
    </row>
    <row r="217" customFormat="false" ht="17.25" hidden="false" customHeight="false" outlineLevel="0" collapsed="false">
      <c r="A217" s="15" t="n">
        <v>46692</v>
      </c>
      <c r="B217" s="16" t="s">
        <v>3</v>
      </c>
      <c r="C217" s="28"/>
      <c r="D217" s="44" t="s">
        <v>19</v>
      </c>
      <c r="E217" s="45" t="s">
        <v>20</v>
      </c>
      <c r="F217" s="58" t="s">
        <v>33</v>
      </c>
      <c r="G217" s="58" t="s">
        <v>34</v>
      </c>
      <c r="H217" s="45" t="s">
        <v>23</v>
      </c>
      <c r="I217" s="24"/>
      <c r="J217" s="44" t="s">
        <v>19</v>
      </c>
      <c r="K217" s="45" t="s">
        <v>20</v>
      </c>
      <c r="L217" s="58" t="s">
        <v>33</v>
      </c>
      <c r="M217" s="58" t="s">
        <v>34</v>
      </c>
      <c r="N217" s="45" t="s">
        <v>23</v>
      </c>
      <c r="O217" s="25"/>
      <c r="P217" s="44" t="s">
        <v>19</v>
      </c>
      <c r="Q217" s="45" t="s">
        <v>20</v>
      </c>
      <c r="R217" s="58" t="s">
        <v>33</v>
      </c>
      <c r="S217" s="58" t="s">
        <v>34</v>
      </c>
      <c r="T217" s="45" t="s">
        <v>23</v>
      </c>
      <c r="U217" s="25"/>
    </row>
    <row r="218" s="122" customFormat="true" ht="17.25" hidden="false" customHeight="false" outlineLevel="0" collapsed="false">
      <c r="A218" s="15" t="n">
        <v>46693</v>
      </c>
      <c r="B218" s="16" t="s">
        <v>14</v>
      </c>
      <c r="C218" s="30" t="s">
        <v>125</v>
      </c>
      <c r="D218" s="44" t="s">
        <v>25</v>
      </c>
      <c r="E218" s="45" t="s">
        <v>26</v>
      </c>
      <c r="F218" s="45" t="s">
        <v>27</v>
      </c>
      <c r="G218" s="58" t="s">
        <v>11</v>
      </c>
      <c r="H218" s="23"/>
      <c r="I218" s="24"/>
      <c r="J218" s="44" t="s">
        <v>25</v>
      </c>
      <c r="K218" s="45" t="s">
        <v>26</v>
      </c>
      <c r="L218" s="45" t="s">
        <v>27</v>
      </c>
      <c r="M218" s="58" t="s">
        <v>11</v>
      </c>
      <c r="N218" s="23"/>
      <c r="O218" s="25"/>
      <c r="P218" s="44" t="s">
        <v>25</v>
      </c>
      <c r="Q218" s="45" t="s">
        <v>26</v>
      </c>
      <c r="R218" s="45" t="s">
        <v>27</v>
      </c>
      <c r="S218" s="58" t="s">
        <v>11</v>
      </c>
      <c r="T218" s="23"/>
      <c r="U218" s="25"/>
    </row>
    <row r="219" s="122" customFormat="true" ht="17.25" hidden="false" customHeight="false" outlineLevel="0" collapsed="false">
      <c r="A219" s="26" t="n">
        <v>46694</v>
      </c>
      <c r="B219" s="27" t="s">
        <v>17</v>
      </c>
      <c r="C219" s="17" t="s">
        <v>126</v>
      </c>
      <c r="D219" s="22"/>
      <c r="E219" s="23"/>
      <c r="F219" s="23"/>
      <c r="G219" s="23"/>
      <c r="H219" s="23"/>
      <c r="I219" s="24"/>
      <c r="J219" s="22"/>
      <c r="K219" s="23"/>
      <c r="L219" s="23"/>
      <c r="M219" s="23"/>
      <c r="N219" s="23"/>
      <c r="O219" s="25"/>
      <c r="P219" s="22"/>
      <c r="Q219" s="23"/>
      <c r="R219" s="23"/>
      <c r="S219" s="23"/>
      <c r="T219" s="23"/>
      <c r="U219" s="25"/>
    </row>
    <row r="220" s="122" customFormat="true" ht="17.25" hidden="false" customHeight="false" outlineLevel="0" collapsed="false">
      <c r="A220" s="15" t="n">
        <v>46695</v>
      </c>
      <c r="B220" s="16" t="s">
        <v>6</v>
      </c>
      <c r="C220" s="30" t="s">
        <v>127</v>
      </c>
      <c r="D220" s="22"/>
      <c r="E220" s="23"/>
      <c r="F220" s="23"/>
      <c r="G220" s="23"/>
      <c r="H220" s="45" t="s">
        <v>40</v>
      </c>
      <c r="I220" s="24"/>
      <c r="J220" s="22"/>
      <c r="K220" s="23"/>
      <c r="L220" s="23"/>
      <c r="M220" s="23"/>
      <c r="N220" s="45" t="s">
        <v>40</v>
      </c>
      <c r="O220" s="25"/>
      <c r="P220" s="22"/>
      <c r="Q220" s="23"/>
      <c r="R220" s="23"/>
      <c r="S220" s="23"/>
      <c r="T220" s="45" t="s">
        <v>40</v>
      </c>
      <c r="U220" s="25"/>
    </row>
    <row r="221" customFormat="false" ht="17.25" hidden="false" customHeight="false" outlineLevel="0" collapsed="false">
      <c r="A221" s="15" t="n">
        <v>46696</v>
      </c>
      <c r="B221" s="16" t="s">
        <v>8</v>
      </c>
      <c r="C221" s="30" t="s">
        <v>128</v>
      </c>
      <c r="D221" s="91" t="s">
        <v>19</v>
      </c>
      <c r="E221" s="105" t="s">
        <v>20</v>
      </c>
      <c r="F221" s="104" t="s">
        <v>21</v>
      </c>
      <c r="G221" s="104" t="s">
        <v>22</v>
      </c>
      <c r="H221" s="45" t="s">
        <v>45</v>
      </c>
      <c r="I221" s="74" t="s">
        <v>7</v>
      </c>
      <c r="J221" s="91" t="s">
        <v>19</v>
      </c>
      <c r="K221" s="105" t="s">
        <v>20</v>
      </c>
      <c r="L221" s="104" t="s">
        <v>21</v>
      </c>
      <c r="M221" s="104" t="s">
        <v>22</v>
      </c>
      <c r="N221" s="45" t="s">
        <v>45</v>
      </c>
      <c r="O221" s="75" t="s">
        <v>7</v>
      </c>
      <c r="P221" s="91" t="s">
        <v>19</v>
      </c>
      <c r="Q221" s="105" t="s">
        <v>20</v>
      </c>
      <c r="R221" s="104" t="s">
        <v>21</v>
      </c>
      <c r="S221" s="104" t="s">
        <v>22</v>
      </c>
      <c r="T221" s="45" t="s">
        <v>45</v>
      </c>
      <c r="U221" s="75" t="s">
        <v>7</v>
      </c>
    </row>
    <row r="222" customFormat="false" ht="17.25" hidden="false" customHeight="false" outlineLevel="0" collapsed="false">
      <c r="A222" s="26" t="n">
        <v>46697</v>
      </c>
      <c r="B222" s="27" t="s">
        <v>10</v>
      </c>
      <c r="C222" s="17"/>
      <c r="D222" s="22"/>
      <c r="E222" s="24"/>
      <c r="F222" s="23"/>
      <c r="G222" s="23"/>
      <c r="H222" s="23"/>
      <c r="I222" s="23"/>
      <c r="J222" s="22"/>
      <c r="K222" s="24"/>
      <c r="L222" s="23"/>
      <c r="M222" s="23"/>
      <c r="N222" s="23"/>
      <c r="O222" s="23"/>
      <c r="P222" s="22"/>
      <c r="Q222" s="24"/>
      <c r="R222" s="23"/>
      <c r="S222" s="23"/>
      <c r="T222" s="23"/>
      <c r="U222" s="23"/>
    </row>
    <row r="223" customFormat="false" ht="17.25" hidden="false" customHeight="false" outlineLevel="0" collapsed="false">
      <c r="A223" s="26" t="n">
        <v>46698</v>
      </c>
      <c r="B223" s="27" t="s">
        <v>4</v>
      </c>
      <c r="C223" s="17"/>
      <c r="D223" s="22"/>
      <c r="E223" s="23"/>
      <c r="F223" s="23"/>
      <c r="G223" s="23"/>
      <c r="H223" s="23"/>
      <c r="I223" s="24"/>
      <c r="J223" s="22"/>
      <c r="K223" s="23"/>
      <c r="L223" s="23"/>
      <c r="M223" s="23"/>
      <c r="N223" s="23"/>
      <c r="O223" s="25"/>
      <c r="P223" s="22"/>
      <c r="Q223" s="23"/>
      <c r="R223" s="23"/>
      <c r="S223" s="23"/>
      <c r="T223" s="23"/>
      <c r="U223" s="25"/>
    </row>
    <row r="224" customFormat="false" ht="17.25" hidden="false" customHeight="false" outlineLevel="0" collapsed="false">
      <c r="A224" s="15" t="n">
        <v>46699</v>
      </c>
      <c r="B224" s="16" t="s">
        <v>3</v>
      </c>
      <c r="C224" s="28"/>
      <c r="D224" s="44" t="s">
        <v>19</v>
      </c>
      <c r="E224" s="58" t="s">
        <v>26</v>
      </c>
      <c r="F224" s="45" t="s">
        <v>21</v>
      </c>
      <c r="G224" s="58" t="s">
        <v>28</v>
      </c>
      <c r="H224" s="58" t="s">
        <v>29</v>
      </c>
      <c r="I224" s="74" t="s">
        <v>9</v>
      </c>
      <c r="J224" s="44" t="s">
        <v>19</v>
      </c>
      <c r="K224" s="58" t="s">
        <v>26</v>
      </c>
      <c r="L224" s="45" t="s">
        <v>21</v>
      </c>
      <c r="M224" s="58" t="s">
        <v>28</v>
      </c>
      <c r="N224" s="58" t="s">
        <v>29</v>
      </c>
      <c r="O224" s="75" t="s">
        <v>9</v>
      </c>
      <c r="P224" s="44" t="s">
        <v>19</v>
      </c>
      <c r="Q224" s="58" t="s">
        <v>26</v>
      </c>
      <c r="R224" s="45" t="s">
        <v>21</v>
      </c>
      <c r="S224" s="58" t="s">
        <v>28</v>
      </c>
      <c r="T224" s="58" t="s">
        <v>29</v>
      </c>
      <c r="U224" s="75" t="s">
        <v>9</v>
      </c>
    </row>
    <row r="225" s="122" customFormat="true" ht="17.25" hidden="false" customHeight="false" outlineLevel="0" collapsed="false">
      <c r="A225" s="15" t="n">
        <v>46700</v>
      </c>
      <c r="B225" s="16" t="s">
        <v>14</v>
      </c>
      <c r="C225" s="30" t="s">
        <v>129</v>
      </c>
      <c r="D225" s="68" t="s">
        <v>31</v>
      </c>
      <c r="E225" s="58" t="s">
        <v>32</v>
      </c>
      <c r="F225" s="58" t="s">
        <v>33</v>
      </c>
      <c r="G225" s="58" t="s">
        <v>34</v>
      </c>
      <c r="H225" s="23"/>
      <c r="I225" s="24"/>
      <c r="J225" s="68" t="s">
        <v>31</v>
      </c>
      <c r="K225" s="58" t="s">
        <v>32</v>
      </c>
      <c r="L225" s="58" t="s">
        <v>33</v>
      </c>
      <c r="M225" s="58" t="s">
        <v>34</v>
      </c>
      <c r="N225" s="23"/>
      <c r="O225" s="25"/>
      <c r="P225" s="68" t="s">
        <v>31</v>
      </c>
      <c r="Q225" s="58" t="s">
        <v>32</v>
      </c>
      <c r="R225" s="58" t="s">
        <v>33</v>
      </c>
      <c r="S225" s="58" t="s">
        <v>34</v>
      </c>
      <c r="T225" s="23"/>
      <c r="U225" s="25"/>
    </row>
    <row r="226" s="122" customFormat="true" ht="17.25" hidden="false" customHeight="false" outlineLevel="0" collapsed="false">
      <c r="A226" s="15" t="n">
        <v>46701</v>
      </c>
      <c r="B226" s="16" t="s">
        <v>17</v>
      </c>
      <c r="C226" s="30" t="s">
        <v>130</v>
      </c>
      <c r="D226" s="68" t="s">
        <v>36</v>
      </c>
      <c r="E226" s="58" t="s">
        <v>37</v>
      </c>
      <c r="F226" s="58" t="s">
        <v>38</v>
      </c>
      <c r="G226" s="58" t="s">
        <v>39</v>
      </c>
      <c r="H226" s="23"/>
      <c r="I226" s="24"/>
      <c r="J226" s="68" t="s">
        <v>36</v>
      </c>
      <c r="K226" s="58" t="s">
        <v>37</v>
      </c>
      <c r="L226" s="58" t="s">
        <v>38</v>
      </c>
      <c r="M226" s="58" t="s">
        <v>39</v>
      </c>
      <c r="N226" s="23"/>
      <c r="O226" s="25"/>
      <c r="P226" s="68" t="s">
        <v>36</v>
      </c>
      <c r="Q226" s="58" t="s">
        <v>37</v>
      </c>
      <c r="R226" s="58" t="s">
        <v>38</v>
      </c>
      <c r="S226" s="58" t="s">
        <v>39</v>
      </c>
      <c r="T226" s="23"/>
      <c r="U226" s="25"/>
    </row>
    <row r="227" customFormat="false" ht="17.25" hidden="false" customHeight="false" outlineLevel="0" collapsed="false">
      <c r="A227" s="15" t="n">
        <v>46702</v>
      </c>
      <c r="B227" s="16" t="s">
        <v>6</v>
      </c>
      <c r="C227" s="30" t="s">
        <v>130</v>
      </c>
      <c r="D227" s="44" t="s">
        <v>36</v>
      </c>
      <c r="E227" s="58" t="s">
        <v>42</v>
      </c>
      <c r="F227" s="58" t="s">
        <v>43</v>
      </c>
      <c r="G227" s="58" t="s">
        <v>44</v>
      </c>
      <c r="H227" s="23"/>
      <c r="I227" s="24"/>
      <c r="J227" s="44" t="s">
        <v>36</v>
      </c>
      <c r="K227" s="58" t="s">
        <v>42</v>
      </c>
      <c r="L227" s="58" t="s">
        <v>43</v>
      </c>
      <c r="M227" s="58" t="s">
        <v>44</v>
      </c>
      <c r="N227" s="23"/>
      <c r="O227" s="25"/>
      <c r="P227" s="44" t="s">
        <v>36</v>
      </c>
      <c r="Q227" s="58" t="s">
        <v>42</v>
      </c>
      <c r="R227" s="58" t="s">
        <v>43</v>
      </c>
      <c r="S227" s="58" t="s">
        <v>44</v>
      </c>
      <c r="T227" s="23"/>
      <c r="U227" s="25"/>
    </row>
    <row r="228" customFormat="false" ht="17.25" hidden="false" customHeight="false" outlineLevel="0" collapsed="false">
      <c r="A228" s="15" t="n">
        <v>46703</v>
      </c>
      <c r="B228" s="16" t="s">
        <v>8</v>
      </c>
      <c r="C228" s="30" t="s">
        <v>130</v>
      </c>
      <c r="D228" s="70" t="s">
        <v>41</v>
      </c>
      <c r="E228" s="105" t="s">
        <v>12</v>
      </c>
      <c r="F228" s="58" t="s">
        <v>11</v>
      </c>
      <c r="G228" s="45" t="s">
        <v>44</v>
      </c>
      <c r="H228" s="23"/>
      <c r="I228" s="24"/>
      <c r="J228" s="70" t="s">
        <v>41</v>
      </c>
      <c r="K228" s="105" t="s">
        <v>12</v>
      </c>
      <c r="L228" s="58" t="s">
        <v>11</v>
      </c>
      <c r="M228" s="45" t="s">
        <v>44</v>
      </c>
      <c r="N228" s="23"/>
      <c r="O228" s="25"/>
      <c r="P228" s="70" t="s">
        <v>41</v>
      </c>
      <c r="Q228" s="105" t="s">
        <v>12</v>
      </c>
      <c r="R228" s="58" t="s">
        <v>11</v>
      </c>
      <c r="S228" s="45" t="s">
        <v>44</v>
      </c>
      <c r="T228" s="23"/>
      <c r="U228" s="25"/>
    </row>
    <row r="229" customFormat="false" ht="17.25" hidden="false" customHeight="false" outlineLevel="0" collapsed="false">
      <c r="A229" s="26" t="n">
        <v>46704</v>
      </c>
      <c r="B229" s="27" t="s">
        <v>10</v>
      </c>
      <c r="C229" s="17"/>
      <c r="D229" s="22"/>
      <c r="E229" s="24"/>
      <c r="F229" s="23"/>
      <c r="G229" s="23"/>
      <c r="H229" s="23"/>
      <c r="I229" s="24"/>
      <c r="J229" s="22"/>
      <c r="K229" s="24"/>
      <c r="L229" s="23"/>
      <c r="M229" s="23"/>
      <c r="N229" s="23"/>
      <c r="O229" s="25"/>
      <c r="P229" s="22"/>
      <c r="Q229" s="24"/>
      <c r="R229" s="23"/>
      <c r="S229" s="23"/>
      <c r="T229" s="23"/>
      <c r="U229" s="25"/>
    </row>
    <row r="230" customFormat="false" ht="17.25" hidden="false" customHeight="false" outlineLevel="0" collapsed="false">
      <c r="A230" s="26" t="n">
        <v>46705</v>
      </c>
      <c r="B230" s="27" t="s">
        <v>4</v>
      </c>
      <c r="C230" s="17"/>
      <c r="D230" s="22"/>
      <c r="E230" s="23"/>
      <c r="F230" s="23"/>
      <c r="G230" s="23"/>
      <c r="H230" s="23"/>
      <c r="I230" s="24"/>
      <c r="J230" s="22"/>
      <c r="K230" s="23"/>
      <c r="L230" s="23"/>
      <c r="M230" s="23"/>
      <c r="N230" s="23"/>
      <c r="O230" s="25"/>
      <c r="P230" s="22"/>
      <c r="Q230" s="23"/>
      <c r="R230" s="23"/>
      <c r="S230" s="23"/>
      <c r="T230" s="23"/>
      <c r="U230" s="25"/>
    </row>
    <row r="231" customFormat="false" ht="17.25" hidden="false" customHeight="false" outlineLevel="0" collapsed="false">
      <c r="A231" s="15" t="n">
        <v>46706</v>
      </c>
      <c r="B231" s="16" t="s">
        <v>3</v>
      </c>
      <c r="C231" s="30" t="s">
        <v>84</v>
      </c>
      <c r="D231" s="68" t="s">
        <v>25</v>
      </c>
      <c r="E231" s="45" t="s">
        <v>20</v>
      </c>
      <c r="F231" s="45" t="s">
        <v>21</v>
      </c>
      <c r="G231" s="45" t="s">
        <v>22</v>
      </c>
      <c r="H231" s="45" t="s">
        <v>23</v>
      </c>
      <c r="I231" s="74" t="s">
        <v>9</v>
      </c>
      <c r="J231" s="68" t="s">
        <v>25</v>
      </c>
      <c r="K231" s="45" t="s">
        <v>20</v>
      </c>
      <c r="L231" s="45" t="s">
        <v>21</v>
      </c>
      <c r="M231" s="45" t="s">
        <v>22</v>
      </c>
      <c r="N231" s="45" t="s">
        <v>23</v>
      </c>
      <c r="O231" s="75" t="s">
        <v>9</v>
      </c>
      <c r="P231" s="68" t="s">
        <v>25</v>
      </c>
      <c r="Q231" s="45" t="s">
        <v>20</v>
      </c>
      <c r="R231" s="45" t="s">
        <v>21</v>
      </c>
      <c r="S231" s="45" t="s">
        <v>22</v>
      </c>
      <c r="T231" s="45" t="s">
        <v>23</v>
      </c>
      <c r="U231" s="75" t="s">
        <v>9</v>
      </c>
    </row>
    <row r="232" s="122" customFormat="true" ht="17.25" hidden="false" customHeight="false" outlineLevel="0" collapsed="false">
      <c r="A232" s="15" t="n">
        <v>46707</v>
      </c>
      <c r="B232" s="16" t="s">
        <v>14</v>
      </c>
      <c r="C232" s="30" t="s">
        <v>131</v>
      </c>
      <c r="D232" s="68" t="s">
        <v>31</v>
      </c>
      <c r="E232" s="45" t="s">
        <v>26</v>
      </c>
      <c r="F232" s="45" t="s">
        <v>27</v>
      </c>
      <c r="G232" s="45" t="s">
        <v>28</v>
      </c>
      <c r="H232" s="58" t="s">
        <v>35</v>
      </c>
      <c r="I232" s="52" t="s">
        <v>9</v>
      </c>
      <c r="J232" s="68" t="s">
        <v>31</v>
      </c>
      <c r="K232" s="45" t="s">
        <v>26</v>
      </c>
      <c r="L232" s="45" t="s">
        <v>27</v>
      </c>
      <c r="M232" s="45" t="s">
        <v>28</v>
      </c>
      <c r="N232" s="58" t="s">
        <v>35</v>
      </c>
      <c r="O232" s="53" t="s">
        <v>9</v>
      </c>
      <c r="P232" s="68" t="s">
        <v>31</v>
      </c>
      <c r="Q232" s="45" t="s">
        <v>26</v>
      </c>
      <c r="R232" s="45" t="s">
        <v>27</v>
      </c>
      <c r="S232" s="45" t="s">
        <v>28</v>
      </c>
      <c r="T232" s="58" t="s">
        <v>35</v>
      </c>
      <c r="U232" s="53" t="s">
        <v>9</v>
      </c>
      <c r="W232" s="126" t="s">
        <v>132</v>
      </c>
    </row>
    <row r="233" s="73" customFormat="true" ht="17.25" hidden="false" customHeight="false" outlineLevel="0" collapsed="false">
      <c r="A233" s="15" t="n">
        <v>46708</v>
      </c>
      <c r="B233" s="16" t="s">
        <v>17</v>
      </c>
      <c r="C233" s="30" t="s">
        <v>86</v>
      </c>
      <c r="D233" s="22"/>
      <c r="E233" s="23"/>
      <c r="F233" s="23"/>
      <c r="G233" s="23"/>
      <c r="H233" s="23"/>
      <c r="I233" s="24"/>
      <c r="J233" s="22"/>
      <c r="K233" s="23"/>
      <c r="L233" s="23"/>
      <c r="M233" s="23"/>
      <c r="N233" s="23"/>
      <c r="O233" s="25"/>
      <c r="P233" s="22"/>
      <c r="Q233" s="23"/>
      <c r="R233" s="23"/>
      <c r="S233" s="23"/>
      <c r="T233" s="23"/>
      <c r="U233" s="25"/>
    </row>
    <row r="234" customFormat="false" ht="17.25" hidden="false" customHeight="false" outlineLevel="0" collapsed="false">
      <c r="A234" s="15" t="n">
        <v>46709</v>
      </c>
      <c r="B234" s="16" t="s">
        <v>6</v>
      </c>
      <c r="C234" s="30" t="s">
        <v>86</v>
      </c>
      <c r="D234" s="22"/>
      <c r="E234" s="23"/>
      <c r="F234" s="23"/>
      <c r="G234" s="23"/>
      <c r="H234" s="23"/>
      <c r="I234" s="24"/>
      <c r="J234" s="22"/>
      <c r="K234" s="23"/>
      <c r="L234" s="23"/>
      <c r="M234" s="23"/>
      <c r="N234" s="23"/>
      <c r="O234" s="25"/>
      <c r="P234" s="55"/>
      <c r="Q234" s="56"/>
      <c r="R234" s="56"/>
      <c r="S234" s="23"/>
      <c r="T234" s="23"/>
      <c r="U234" s="25"/>
    </row>
    <row r="235" customFormat="false" ht="17.25" hidden="false" customHeight="false" outlineLevel="0" collapsed="false">
      <c r="A235" s="15" t="n">
        <v>46710</v>
      </c>
      <c r="B235" s="16" t="s">
        <v>8</v>
      </c>
      <c r="C235" s="30" t="s">
        <v>133</v>
      </c>
      <c r="D235" s="44" t="s">
        <v>41</v>
      </c>
      <c r="E235" s="58" t="s">
        <v>26</v>
      </c>
      <c r="F235" s="45" t="s">
        <v>43</v>
      </c>
      <c r="G235" s="45" t="s">
        <v>44</v>
      </c>
      <c r="H235" s="23"/>
      <c r="I235" s="24"/>
      <c r="J235" s="44" t="s">
        <v>41</v>
      </c>
      <c r="K235" s="58" t="s">
        <v>26</v>
      </c>
      <c r="L235" s="45" t="s">
        <v>43</v>
      </c>
      <c r="M235" s="45" t="s">
        <v>44</v>
      </c>
      <c r="N235" s="58" t="s">
        <v>29</v>
      </c>
      <c r="O235" s="54" t="s">
        <v>12</v>
      </c>
      <c r="P235" s="22"/>
      <c r="Q235" s="23"/>
      <c r="R235" s="23"/>
      <c r="S235" s="23"/>
      <c r="T235" s="23"/>
      <c r="U235" s="53" t="s">
        <v>12</v>
      </c>
    </row>
    <row r="236" customFormat="false" ht="17.25" hidden="false" customHeight="false" outlineLevel="0" collapsed="false">
      <c r="A236" s="26" t="n">
        <v>46711</v>
      </c>
      <c r="B236" s="27" t="s">
        <v>10</v>
      </c>
      <c r="C236" s="17"/>
      <c r="D236" s="24"/>
      <c r="E236" s="23"/>
      <c r="F236" s="23"/>
      <c r="G236" s="23"/>
      <c r="H236" s="89"/>
      <c r="I236" s="24"/>
      <c r="J236" s="24"/>
      <c r="K236" s="23"/>
      <c r="L236" s="23"/>
      <c r="M236" s="23"/>
      <c r="N236" s="23"/>
      <c r="O236" s="25"/>
      <c r="P236" s="49"/>
      <c r="Q236" s="23"/>
      <c r="R236" s="23"/>
      <c r="S236" s="23"/>
      <c r="T236" s="23"/>
      <c r="U236" s="51"/>
    </row>
    <row r="237" customFormat="false" ht="17.25" hidden="false" customHeight="false" outlineLevel="0" collapsed="false">
      <c r="A237" s="26" t="n">
        <v>46712</v>
      </c>
      <c r="B237" s="27" t="s">
        <v>4</v>
      </c>
      <c r="C237" s="17"/>
      <c r="D237" s="22"/>
      <c r="E237" s="23"/>
      <c r="F237" s="23"/>
      <c r="G237" s="23"/>
      <c r="H237" s="23"/>
      <c r="I237" s="24"/>
      <c r="J237" s="22"/>
      <c r="K237" s="23"/>
      <c r="L237" s="23"/>
      <c r="M237" s="23"/>
      <c r="N237" s="23"/>
      <c r="O237" s="25"/>
      <c r="P237" s="22"/>
      <c r="Q237" s="23"/>
      <c r="R237" s="23"/>
      <c r="S237" s="23"/>
      <c r="T237" s="23"/>
      <c r="U237" s="25"/>
    </row>
    <row r="238" customFormat="false" ht="17.25" hidden="false" customHeight="false" outlineLevel="0" collapsed="false">
      <c r="A238" s="15" t="n">
        <v>46713</v>
      </c>
      <c r="B238" s="16" t="s">
        <v>3</v>
      </c>
      <c r="C238" s="28"/>
      <c r="D238" s="44" t="s">
        <v>19</v>
      </c>
      <c r="E238" s="45" t="s">
        <v>20</v>
      </c>
      <c r="F238" s="45" t="s">
        <v>21</v>
      </c>
      <c r="G238" s="58" t="s">
        <v>28</v>
      </c>
      <c r="H238" s="45" t="s">
        <v>23</v>
      </c>
      <c r="I238" s="52" t="s">
        <v>7</v>
      </c>
      <c r="J238" s="44" t="s">
        <v>19</v>
      </c>
      <c r="K238" s="45" t="s">
        <v>20</v>
      </c>
      <c r="L238" s="45" t="s">
        <v>21</v>
      </c>
      <c r="M238" s="58" t="s">
        <v>28</v>
      </c>
      <c r="N238" s="45" t="s">
        <v>23</v>
      </c>
      <c r="O238" s="53" t="s">
        <v>7</v>
      </c>
      <c r="P238" s="44" t="s">
        <v>19</v>
      </c>
      <c r="Q238" s="45" t="s">
        <v>20</v>
      </c>
      <c r="R238" s="45" t="s">
        <v>21</v>
      </c>
      <c r="S238" s="58" t="s">
        <v>28</v>
      </c>
      <c r="T238" s="45" t="s">
        <v>23</v>
      </c>
      <c r="U238" s="53" t="s">
        <v>7</v>
      </c>
    </row>
    <row r="239" s="122" customFormat="true" ht="17.25" hidden="false" customHeight="false" outlineLevel="0" collapsed="false">
      <c r="A239" s="26" t="n">
        <v>46714</v>
      </c>
      <c r="B239" s="27" t="s">
        <v>14</v>
      </c>
      <c r="C239" s="17" t="s">
        <v>134</v>
      </c>
      <c r="D239" s="22"/>
      <c r="E239" s="23"/>
      <c r="F239" s="23"/>
      <c r="G239" s="23"/>
      <c r="H239" s="23"/>
      <c r="I239" s="24"/>
      <c r="J239" s="22"/>
      <c r="K239" s="23"/>
      <c r="L239" s="23"/>
      <c r="M239" s="23"/>
      <c r="N239" s="23"/>
      <c r="O239" s="25"/>
      <c r="P239" s="22"/>
      <c r="Q239" s="23"/>
      <c r="R239" s="23"/>
      <c r="S239" s="23"/>
      <c r="T239" s="23"/>
      <c r="U239" s="25"/>
    </row>
    <row r="240" s="122" customFormat="true" ht="17.25" hidden="false" customHeight="false" outlineLevel="0" collapsed="false">
      <c r="A240" s="15" t="n">
        <v>46715</v>
      </c>
      <c r="B240" s="16" t="s">
        <v>17</v>
      </c>
      <c r="C240" s="30" t="s">
        <v>135</v>
      </c>
      <c r="D240" s="70" t="s">
        <v>31</v>
      </c>
      <c r="E240" s="45" t="s">
        <v>32</v>
      </c>
      <c r="F240" s="45" t="s">
        <v>33</v>
      </c>
      <c r="G240" s="45" t="s">
        <v>34</v>
      </c>
      <c r="H240" s="45" t="s">
        <v>35</v>
      </c>
      <c r="I240" s="52" t="s">
        <v>11</v>
      </c>
      <c r="J240" s="70" t="s">
        <v>31</v>
      </c>
      <c r="K240" s="45" t="s">
        <v>32</v>
      </c>
      <c r="L240" s="45" t="s">
        <v>33</v>
      </c>
      <c r="M240" s="45" t="s">
        <v>34</v>
      </c>
      <c r="N240" s="45" t="s">
        <v>35</v>
      </c>
      <c r="O240" s="53" t="s">
        <v>11</v>
      </c>
      <c r="P240" s="70" t="s">
        <v>31</v>
      </c>
      <c r="Q240" s="45" t="s">
        <v>32</v>
      </c>
      <c r="R240" s="45" t="s">
        <v>33</v>
      </c>
      <c r="S240" s="45" t="s">
        <v>34</v>
      </c>
      <c r="T240" s="45" t="s">
        <v>35</v>
      </c>
      <c r="U240" s="53" t="s">
        <v>11</v>
      </c>
    </row>
    <row r="241" customFormat="false" ht="17.25" hidden="false" customHeight="false" outlineLevel="0" collapsed="false">
      <c r="A241" s="15" t="n">
        <v>46716</v>
      </c>
      <c r="B241" s="16" t="s">
        <v>6</v>
      </c>
      <c r="C241" s="30" t="s">
        <v>79</v>
      </c>
      <c r="D241" s="44" t="s">
        <v>36</v>
      </c>
      <c r="E241" s="45" t="s">
        <v>37</v>
      </c>
      <c r="F241" s="45" t="s">
        <v>38</v>
      </c>
      <c r="G241" s="45" t="s">
        <v>39</v>
      </c>
      <c r="H241" s="45" t="s">
        <v>40</v>
      </c>
      <c r="I241" s="24"/>
      <c r="J241" s="44" t="s">
        <v>36</v>
      </c>
      <c r="K241" s="45" t="s">
        <v>37</v>
      </c>
      <c r="L241" s="45" t="s">
        <v>38</v>
      </c>
      <c r="M241" s="45" t="s">
        <v>39</v>
      </c>
      <c r="N241" s="45" t="s">
        <v>40</v>
      </c>
      <c r="O241" s="25"/>
      <c r="P241" s="44" t="s">
        <v>36</v>
      </c>
      <c r="Q241" s="45" t="s">
        <v>37</v>
      </c>
      <c r="R241" s="45" t="s">
        <v>38</v>
      </c>
      <c r="S241" s="45" t="s">
        <v>39</v>
      </c>
      <c r="T241" s="45" t="s">
        <v>40</v>
      </c>
      <c r="U241" s="25"/>
    </row>
    <row r="242" customFormat="false" ht="17.25" hidden="false" customHeight="false" outlineLevel="0" collapsed="false">
      <c r="A242" s="15" t="n">
        <v>46717</v>
      </c>
      <c r="B242" s="16" t="s">
        <v>8</v>
      </c>
      <c r="C242" s="30" t="s">
        <v>136</v>
      </c>
      <c r="D242" s="22"/>
      <c r="E242" s="24"/>
      <c r="F242" s="23"/>
      <c r="G242" s="23"/>
      <c r="H242" s="23"/>
      <c r="I242" s="24"/>
      <c r="J242" s="22"/>
      <c r="K242" s="24"/>
      <c r="L242" s="23"/>
      <c r="M242" s="23"/>
      <c r="N242" s="23"/>
      <c r="O242" s="25"/>
      <c r="P242" s="22"/>
      <c r="Q242" s="24"/>
      <c r="R242" s="23"/>
      <c r="S242" s="23"/>
      <c r="T242" s="23"/>
      <c r="U242" s="25"/>
    </row>
    <row r="243" customFormat="false" ht="17.25" hidden="false" customHeight="false" outlineLevel="0" collapsed="false">
      <c r="A243" s="26" t="n">
        <v>46718</v>
      </c>
      <c r="B243" s="27" t="s">
        <v>10</v>
      </c>
      <c r="C243" s="17"/>
      <c r="D243" s="22"/>
      <c r="E243" s="23"/>
      <c r="F243" s="23"/>
      <c r="G243" s="23"/>
      <c r="H243" s="23"/>
      <c r="I243" s="24"/>
      <c r="J243" s="22"/>
      <c r="K243" s="23"/>
      <c r="L243" s="23"/>
      <c r="M243" s="23"/>
      <c r="N243" s="23"/>
      <c r="O243" s="25"/>
      <c r="P243" s="22"/>
      <c r="Q243" s="23"/>
      <c r="R243" s="23"/>
      <c r="S243" s="23"/>
      <c r="T243" s="23"/>
      <c r="U243" s="25"/>
    </row>
    <row r="244" customFormat="false" ht="17.25" hidden="false" customHeight="false" outlineLevel="0" collapsed="false">
      <c r="A244" s="26" t="n">
        <v>46719</v>
      </c>
      <c r="B244" s="27" t="s">
        <v>4</v>
      </c>
      <c r="C244" s="17"/>
      <c r="D244" s="22"/>
      <c r="E244" s="23"/>
      <c r="F244" s="23"/>
      <c r="G244" s="23"/>
      <c r="H244" s="23"/>
      <c r="I244" s="24"/>
      <c r="J244" s="22"/>
      <c r="K244" s="23"/>
      <c r="L244" s="23"/>
      <c r="M244" s="23"/>
      <c r="N244" s="23"/>
      <c r="O244" s="25"/>
      <c r="P244" s="22"/>
      <c r="Q244" s="23"/>
      <c r="R244" s="23"/>
      <c r="S244" s="23"/>
      <c r="T244" s="23"/>
      <c r="U244" s="25"/>
    </row>
    <row r="245" customFormat="false" ht="17.25" hidden="false" customHeight="false" outlineLevel="0" collapsed="false">
      <c r="A245" s="15" t="n">
        <v>46720</v>
      </c>
      <c r="B245" s="16" t="s">
        <v>3</v>
      </c>
      <c r="C245" s="28"/>
      <c r="D245" s="68" t="s">
        <v>25</v>
      </c>
      <c r="E245" s="58" t="s">
        <v>26</v>
      </c>
      <c r="F245" s="58" t="s">
        <v>27</v>
      </c>
      <c r="G245" s="58" t="s">
        <v>28</v>
      </c>
      <c r="H245" s="58" t="s">
        <v>29</v>
      </c>
      <c r="I245" s="74" t="s">
        <v>9</v>
      </c>
      <c r="J245" s="68" t="s">
        <v>25</v>
      </c>
      <c r="K245" s="58" t="s">
        <v>26</v>
      </c>
      <c r="L245" s="58" t="s">
        <v>27</v>
      </c>
      <c r="M245" s="58" t="s">
        <v>28</v>
      </c>
      <c r="N245" s="58" t="s">
        <v>29</v>
      </c>
      <c r="O245" s="75" t="s">
        <v>9</v>
      </c>
      <c r="P245" s="68" t="s">
        <v>25</v>
      </c>
      <c r="Q245" s="58" t="s">
        <v>26</v>
      </c>
      <c r="R245" s="58" t="s">
        <v>27</v>
      </c>
      <c r="S245" s="58" t="s">
        <v>28</v>
      </c>
      <c r="T245" s="58" t="s">
        <v>29</v>
      </c>
      <c r="U245" s="75" t="s">
        <v>9</v>
      </c>
    </row>
    <row r="246" s="122" customFormat="true" ht="18" hidden="false" customHeight="true" outlineLevel="0" collapsed="false">
      <c r="A246" s="15" t="n">
        <v>46721</v>
      </c>
      <c r="B246" s="16" t="s">
        <v>14</v>
      </c>
      <c r="C246" s="28"/>
      <c r="D246" s="59" t="s">
        <v>41</v>
      </c>
      <c r="E246" s="60" t="s">
        <v>42</v>
      </c>
      <c r="F246" s="60" t="s">
        <v>43</v>
      </c>
      <c r="G246" s="60" t="s">
        <v>44</v>
      </c>
      <c r="H246" s="60" t="s">
        <v>45</v>
      </c>
      <c r="I246" s="129" t="s">
        <v>12</v>
      </c>
      <c r="J246" s="59" t="s">
        <v>41</v>
      </c>
      <c r="K246" s="60" t="s">
        <v>42</v>
      </c>
      <c r="L246" s="60" t="s">
        <v>43</v>
      </c>
      <c r="M246" s="60" t="s">
        <v>44</v>
      </c>
      <c r="N246" s="60" t="s">
        <v>45</v>
      </c>
      <c r="O246" s="130" t="s">
        <v>12</v>
      </c>
      <c r="P246" s="59" t="s">
        <v>41</v>
      </c>
      <c r="Q246" s="60" t="s">
        <v>42</v>
      </c>
      <c r="R246" s="60" t="s">
        <v>43</v>
      </c>
      <c r="S246" s="60" t="s">
        <v>44</v>
      </c>
      <c r="T246" s="60" t="s">
        <v>45</v>
      </c>
      <c r="U246" s="130" t="s">
        <v>12</v>
      </c>
    </row>
    <row r="247" s="122" customFormat="true" ht="17.25" hidden="false" customHeight="false" outlineLevel="0" collapsed="false">
      <c r="A247" s="15" t="n">
        <v>46722</v>
      </c>
      <c r="B247" s="16" t="s">
        <v>17</v>
      </c>
      <c r="C247" s="30" t="s">
        <v>137</v>
      </c>
      <c r="D247" s="110" t="s">
        <v>31</v>
      </c>
      <c r="E247" s="111" t="s">
        <v>32</v>
      </c>
      <c r="F247" s="111" t="s">
        <v>33</v>
      </c>
      <c r="G247" s="111" t="s">
        <v>34</v>
      </c>
      <c r="H247" s="65"/>
      <c r="I247" s="66"/>
      <c r="J247" s="110" t="s">
        <v>31</v>
      </c>
      <c r="K247" s="111" t="s">
        <v>32</v>
      </c>
      <c r="L247" s="111" t="s">
        <v>33</v>
      </c>
      <c r="M247" s="111" t="s">
        <v>34</v>
      </c>
      <c r="N247" s="65"/>
      <c r="O247" s="67"/>
      <c r="P247" s="110" t="s">
        <v>31</v>
      </c>
      <c r="Q247" s="111" t="s">
        <v>32</v>
      </c>
      <c r="R247" s="111" t="s">
        <v>33</v>
      </c>
      <c r="S247" s="111" t="s">
        <v>34</v>
      </c>
      <c r="T247" s="65"/>
      <c r="U247" s="67"/>
    </row>
    <row r="248" customFormat="false" ht="17.25" hidden="false" customHeight="false" outlineLevel="0" collapsed="false">
      <c r="A248" s="15" t="n">
        <v>46723</v>
      </c>
      <c r="B248" s="16" t="s">
        <v>6</v>
      </c>
      <c r="C248" s="30" t="s">
        <v>138</v>
      </c>
      <c r="D248" s="44" t="s">
        <v>36</v>
      </c>
      <c r="E248" s="58" t="s">
        <v>7</v>
      </c>
      <c r="F248" s="45" t="s">
        <v>38</v>
      </c>
      <c r="G248" s="45" t="s">
        <v>39</v>
      </c>
      <c r="H248" s="23"/>
      <c r="I248" s="24"/>
      <c r="J248" s="44" t="s">
        <v>36</v>
      </c>
      <c r="K248" s="58" t="s">
        <v>7</v>
      </c>
      <c r="L248" s="45" t="s">
        <v>38</v>
      </c>
      <c r="M248" s="45" t="s">
        <v>39</v>
      </c>
      <c r="N248" s="23"/>
      <c r="O248" s="25"/>
      <c r="P248" s="44" t="s">
        <v>36</v>
      </c>
      <c r="Q248" s="58" t="s">
        <v>7</v>
      </c>
      <c r="R248" s="45" t="s">
        <v>38</v>
      </c>
      <c r="S248" s="45" t="s">
        <v>39</v>
      </c>
      <c r="T248" s="23"/>
      <c r="U248" s="25"/>
    </row>
    <row r="249" customFormat="false" ht="17.25" hidden="false" customHeight="false" outlineLevel="0" collapsed="false">
      <c r="A249" s="15" t="n">
        <v>46724</v>
      </c>
      <c r="B249" s="16" t="s">
        <v>8</v>
      </c>
      <c r="C249" s="30" t="s">
        <v>139</v>
      </c>
      <c r="D249" s="68" t="s">
        <v>19</v>
      </c>
      <c r="E249" s="58" t="s">
        <v>20</v>
      </c>
      <c r="F249" s="58" t="s">
        <v>21</v>
      </c>
      <c r="G249" s="58" t="s">
        <v>22</v>
      </c>
      <c r="H249" s="23"/>
      <c r="I249" s="24"/>
      <c r="J249" s="68" t="s">
        <v>19</v>
      </c>
      <c r="K249" s="58" t="s">
        <v>20</v>
      </c>
      <c r="L249" s="58" t="s">
        <v>21</v>
      </c>
      <c r="M249" s="58" t="s">
        <v>22</v>
      </c>
      <c r="N249" s="23"/>
      <c r="O249" s="25"/>
      <c r="P249" s="68" t="s">
        <v>19</v>
      </c>
      <c r="Q249" s="58" t="s">
        <v>20</v>
      </c>
      <c r="R249" s="58" t="s">
        <v>21</v>
      </c>
      <c r="S249" s="58" t="s">
        <v>22</v>
      </c>
      <c r="T249" s="23"/>
      <c r="U249" s="25"/>
    </row>
    <row r="250" customFormat="false" ht="17.25" hidden="false" customHeight="false" outlineLevel="0" collapsed="false">
      <c r="A250" s="26" t="n">
        <v>46725</v>
      </c>
      <c r="B250" s="27" t="s">
        <v>10</v>
      </c>
      <c r="C250" s="17"/>
      <c r="D250" s="22"/>
      <c r="E250" s="24"/>
      <c r="F250" s="23"/>
      <c r="G250" s="23"/>
      <c r="H250" s="23"/>
      <c r="I250" s="24"/>
      <c r="J250" s="22"/>
      <c r="K250" s="24"/>
      <c r="L250" s="23"/>
      <c r="M250" s="23"/>
      <c r="N250" s="23"/>
      <c r="O250" s="25"/>
      <c r="P250" s="22"/>
      <c r="Q250" s="24"/>
      <c r="R250" s="23"/>
      <c r="S250" s="23"/>
      <c r="T250" s="23"/>
      <c r="U250" s="25"/>
    </row>
    <row r="251" customFormat="false" ht="17.25" hidden="false" customHeight="false" outlineLevel="0" collapsed="false">
      <c r="A251" s="26" t="n">
        <v>46726</v>
      </c>
      <c r="B251" s="27" t="s">
        <v>4</v>
      </c>
      <c r="C251" s="17"/>
      <c r="D251" s="22"/>
      <c r="E251" s="23"/>
      <c r="F251" s="23"/>
      <c r="G251" s="23"/>
      <c r="H251" s="23"/>
      <c r="I251" s="24"/>
      <c r="J251" s="22"/>
      <c r="K251" s="23"/>
      <c r="L251" s="23"/>
      <c r="M251" s="23"/>
      <c r="N251" s="23"/>
      <c r="O251" s="25"/>
      <c r="P251" s="22"/>
      <c r="Q251" s="23"/>
      <c r="R251" s="23"/>
      <c r="S251" s="23"/>
      <c r="T251" s="23"/>
      <c r="U251" s="25"/>
    </row>
    <row r="252" customFormat="false" ht="17.25" hidden="false" customHeight="false" outlineLevel="0" collapsed="false">
      <c r="A252" s="15" t="n">
        <v>46727</v>
      </c>
      <c r="B252" s="16" t="s">
        <v>3</v>
      </c>
      <c r="C252" s="30" t="s">
        <v>139</v>
      </c>
      <c r="D252" s="68" t="s">
        <v>25</v>
      </c>
      <c r="E252" s="58" t="s">
        <v>26</v>
      </c>
      <c r="F252" s="58" t="s">
        <v>27</v>
      </c>
      <c r="G252" s="58" t="s">
        <v>28</v>
      </c>
      <c r="H252" s="23"/>
      <c r="I252" s="24"/>
      <c r="J252" s="68" t="s">
        <v>25</v>
      </c>
      <c r="K252" s="58" t="s">
        <v>26</v>
      </c>
      <c r="L252" s="58" t="s">
        <v>27</v>
      </c>
      <c r="M252" s="58" t="s">
        <v>28</v>
      </c>
      <c r="N252" s="23"/>
      <c r="O252" s="25"/>
      <c r="P252" s="68" t="s">
        <v>25</v>
      </c>
      <c r="Q252" s="58" t="s">
        <v>26</v>
      </c>
      <c r="R252" s="58" t="s">
        <v>27</v>
      </c>
      <c r="S252" s="58" t="s">
        <v>28</v>
      </c>
      <c r="T252" s="23"/>
      <c r="U252" s="25"/>
    </row>
    <row r="253" s="122" customFormat="true" ht="17.25" hidden="false" customHeight="false" outlineLevel="0" collapsed="false">
      <c r="A253" s="15" t="n">
        <v>46728</v>
      </c>
      <c r="B253" s="16" t="s">
        <v>14</v>
      </c>
      <c r="C253" s="30" t="s">
        <v>140</v>
      </c>
      <c r="D253" s="68" t="s">
        <v>41</v>
      </c>
      <c r="E253" s="58" t="s">
        <v>42</v>
      </c>
      <c r="F253" s="58" t="s">
        <v>43</v>
      </c>
      <c r="G253" s="58" t="s">
        <v>44</v>
      </c>
      <c r="H253" s="45" t="s">
        <v>29</v>
      </c>
      <c r="I253" s="52" t="s">
        <v>9</v>
      </c>
      <c r="J253" s="68" t="s">
        <v>41</v>
      </c>
      <c r="K253" s="58" t="s">
        <v>42</v>
      </c>
      <c r="L253" s="58" t="s">
        <v>43</v>
      </c>
      <c r="M253" s="58" t="s">
        <v>44</v>
      </c>
      <c r="N253" s="45" t="s">
        <v>29</v>
      </c>
      <c r="O253" s="53" t="s">
        <v>9</v>
      </c>
      <c r="P253" s="68" t="s">
        <v>41</v>
      </c>
      <c r="Q253" s="58" t="s">
        <v>42</v>
      </c>
      <c r="R253" s="58" t="s">
        <v>43</v>
      </c>
      <c r="S253" s="58" t="s">
        <v>44</v>
      </c>
      <c r="T253" s="45" t="s">
        <v>29</v>
      </c>
      <c r="U253" s="53" t="s">
        <v>9</v>
      </c>
    </row>
    <row r="254" s="122" customFormat="true" ht="17.25" hidden="false" customHeight="false" outlineLevel="0" collapsed="false">
      <c r="A254" s="15" t="n">
        <v>46729</v>
      </c>
      <c r="B254" s="16" t="s">
        <v>17</v>
      </c>
      <c r="C254" s="28"/>
      <c r="D254" s="68" t="s">
        <v>25</v>
      </c>
      <c r="E254" s="45" t="s">
        <v>32</v>
      </c>
      <c r="F254" s="45" t="s">
        <v>33</v>
      </c>
      <c r="G254" s="45" t="s">
        <v>34</v>
      </c>
      <c r="H254" s="45" t="s">
        <v>35</v>
      </c>
      <c r="I254" s="74" t="s">
        <v>9</v>
      </c>
      <c r="J254" s="68" t="s">
        <v>25</v>
      </c>
      <c r="K254" s="45" t="s">
        <v>32</v>
      </c>
      <c r="L254" s="45" t="s">
        <v>33</v>
      </c>
      <c r="M254" s="45" t="s">
        <v>34</v>
      </c>
      <c r="N254" s="45" t="s">
        <v>35</v>
      </c>
      <c r="O254" s="75" t="s">
        <v>9</v>
      </c>
      <c r="P254" s="68" t="s">
        <v>25</v>
      </c>
      <c r="Q254" s="45" t="s">
        <v>32</v>
      </c>
      <c r="R254" s="45" t="s">
        <v>33</v>
      </c>
      <c r="S254" s="45" t="s">
        <v>34</v>
      </c>
      <c r="T254" s="45" t="s">
        <v>35</v>
      </c>
      <c r="U254" s="75" t="s">
        <v>9</v>
      </c>
      <c r="V254" s="131" t="s">
        <v>25</v>
      </c>
      <c r="W254" s="114" t="s">
        <v>27</v>
      </c>
      <c r="X254" s="114" t="s">
        <v>28</v>
      </c>
      <c r="Y254" s="114" t="s">
        <v>29</v>
      </c>
    </row>
    <row r="255" customFormat="false" ht="17.25" hidden="false" customHeight="false" outlineLevel="0" collapsed="false">
      <c r="A255" s="15" t="n">
        <v>46730</v>
      </c>
      <c r="B255" s="16" t="s">
        <v>6</v>
      </c>
      <c r="C255" s="28"/>
      <c r="D255" s="68" t="s">
        <v>19</v>
      </c>
      <c r="E255" s="45" t="s">
        <v>37</v>
      </c>
      <c r="F255" s="45" t="s">
        <v>38</v>
      </c>
      <c r="G255" s="45" t="s">
        <v>39</v>
      </c>
      <c r="H255" s="45" t="s">
        <v>40</v>
      </c>
      <c r="I255" s="24"/>
      <c r="J255" s="68" t="s">
        <v>19</v>
      </c>
      <c r="K255" s="45" t="s">
        <v>37</v>
      </c>
      <c r="L255" s="45" t="s">
        <v>38</v>
      </c>
      <c r="M255" s="45" t="s">
        <v>39</v>
      </c>
      <c r="N255" s="45" t="s">
        <v>40</v>
      </c>
      <c r="O255" s="25"/>
      <c r="P255" s="68" t="s">
        <v>19</v>
      </c>
      <c r="Q255" s="45" t="s">
        <v>37</v>
      </c>
      <c r="R255" s="45" t="s">
        <v>38</v>
      </c>
      <c r="S255" s="45" t="s">
        <v>39</v>
      </c>
      <c r="T255" s="45" t="s">
        <v>40</v>
      </c>
      <c r="U255" s="25"/>
    </row>
    <row r="256" customFormat="false" ht="17.25" hidden="false" customHeight="false" outlineLevel="0" collapsed="false">
      <c r="A256" s="15" t="n">
        <v>46731</v>
      </c>
      <c r="B256" s="16" t="s">
        <v>8</v>
      </c>
      <c r="C256" s="28"/>
      <c r="D256" s="91" t="s">
        <v>7</v>
      </c>
      <c r="E256" s="105" t="s">
        <v>20</v>
      </c>
      <c r="F256" s="58" t="s">
        <v>21</v>
      </c>
      <c r="G256" s="58" t="s">
        <v>22</v>
      </c>
      <c r="H256" s="58" t="s">
        <v>23</v>
      </c>
      <c r="I256" s="52" t="s">
        <v>12</v>
      </c>
      <c r="J256" s="91" t="s">
        <v>7</v>
      </c>
      <c r="K256" s="105" t="s">
        <v>20</v>
      </c>
      <c r="L256" s="58" t="s">
        <v>21</v>
      </c>
      <c r="M256" s="58" t="s">
        <v>22</v>
      </c>
      <c r="N256" s="58" t="s">
        <v>23</v>
      </c>
      <c r="O256" s="54" t="s">
        <v>12</v>
      </c>
      <c r="P256" s="91" t="s">
        <v>7</v>
      </c>
      <c r="Q256" s="105" t="s">
        <v>20</v>
      </c>
      <c r="R256" s="58" t="s">
        <v>21</v>
      </c>
      <c r="S256" s="58" t="s">
        <v>22</v>
      </c>
      <c r="T256" s="58" t="s">
        <v>23</v>
      </c>
      <c r="U256" s="53" t="s">
        <v>12</v>
      </c>
    </row>
    <row r="257" customFormat="false" ht="17.25" hidden="false" customHeight="false" outlineLevel="0" collapsed="false">
      <c r="A257" s="26" t="n">
        <v>46732</v>
      </c>
      <c r="B257" s="27" t="s">
        <v>10</v>
      </c>
      <c r="C257" s="17"/>
      <c r="D257" s="22"/>
      <c r="E257" s="23"/>
      <c r="F257" s="23"/>
      <c r="G257" s="23"/>
      <c r="H257" s="23"/>
      <c r="I257" s="24"/>
      <c r="J257" s="22"/>
      <c r="K257" s="23"/>
      <c r="L257" s="23"/>
      <c r="M257" s="23"/>
      <c r="N257" s="23"/>
      <c r="O257" s="25"/>
      <c r="P257" s="22"/>
      <c r="Q257" s="23"/>
      <c r="R257" s="23"/>
      <c r="S257" s="23"/>
      <c r="T257" s="23"/>
      <c r="U257" s="25"/>
    </row>
    <row r="258" customFormat="false" ht="17.25" hidden="false" customHeight="false" outlineLevel="0" collapsed="false">
      <c r="A258" s="26" t="n">
        <v>46733</v>
      </c>
      <c r="B258" s="27" t="s">
        <v>4</v>
      </c>
      <c r="C258" s="17"/>
      <c r="D258" s="22"/>
      <c r="E258" s="23"/>
      <c r="F258" s="23"/>
      <c r="G258" s="23"/>
      <c r="H258" s="23"/>
      <c r="I258" s="24"/>
      <c r="J258" s="22"/>
      <c r="K258" s="23"/>
      <c r="L258" s="23"/>
      <c r="M258" s="23"/>
      <c r="N258" s="23"/>
      <c r="O258" s="25"/>
      <c r="P258" s="22"/>
      <c r="Q258" s="23"/>
      <c r="R258" s="23"/>
      <c r="S258" s="23"/>
      <c r="T258" s="23"/>
      <c r="U258" s="25"/>
    </row>
    <row r="259" customFormat="false" ht="17.25" hidden="false" customHeight="false" outlineLevel="0" collapsed="false">
      <c r="A259" s="15" t="n">
        <v>46734</v>
      </c>
      <c r="B259" s="16" t="s">
        <v>3</v>
      </c>
      <c r="C259" s="30" t="s">
        <v>141</v>
      </c>
      <c r="D259" s="44" t="s">
        <v>19</v>
      </c>
      <c r="E259" s="58" t="s">
        <v>26</v>
      </c>
      <c r="F259" s="58" t="s">
        <v>27</v>
      </c>
      <c r="G259" s="58" t="s">
        <v>28</v>
      </c>
      <c r="H259" s="23"/>
      <c r="I259" s="24"/>
      <c r="J259" s="44" t="s">
        <v>19</v>
      </c>
      <c r="K259" s="58" t="s">
        <v>26</v>
      </c>
      <c r="L259" s="58" t="s">
        <v>27</v>
      </c>
      <c r="M259" s="58" t="s">
        <v>28</v>
      </c>
      <c r="N259" s="45" t="s">
        <v>23</v>
      </c>
      <c r="O259" s="53" t="s">
        <v>7</v>
      </c>
      <c r="P259" s="44" t="s">
        <v>19</v>
      </c>
      <c r="Q259" s="58" t="s">
        <v>26</v>
      </c>
      <c r="R259" s="58" t="s">
        <v>27</v>
      </c>
      <c r="S259" s="58" t="s">
        <v>28</v>
      </c>
      <c r="T259" s="45" t="s">
        <v>23</v>
      </c>
      <c r="U259" s="53" t="s">
        <v>7</v>
      </c>
    </row>
    <row r="260" s="122" customFormat="true" ht="17.25" hidden="false" customHeight="false" outlineLevel="0" collapsed="false">
      <c r="A260" s="15" t="n">
        <v>46735</v>
      </c>
      <c r="B260" s="16" t="s">
        <v>14</v>
      </c>
      <c r="C260" s="28"/>
      <c r="D260" s="44" t="s">
        <v>25</v>
      </c>
      <c r="E260" s="58" t="s">
        <v>42</v>
      </c>
      <c r="F260" s="58" t="s">
        <v>43</v>
      </c>
      <c r="G260" s="58" t="s">
        <v>44</v>
      </c>
      <c r="H260" s="90" t="s">
        <v>45</v>
      </c>
      <c r="I260" s="74" t="s">
        <v>12</v>
      </c>
      <c r="J260" s="44" t="s">
        <v>25</v>
      </c>
      <c r="K260" s="58" t="s">
        <v>42</v>
      </c>
      <c r="L260" s="58" t="s">
        <v>43</v>
      </c>
      <c r="M260" s="58" t="s">
        <v>44</v>
      </c>
      <c r="N260" s="58" t="s">
        <v>45</v>
      </c>
      <c r="O260" s="75" t="s">
        <v>12</v>
      </c>
      <c r="P260" s="44" t="s">
        <v>25</v>
      </c>
      <c r="Q260" s="58" t="s">
        <v>42</v>
      </c>
      <c r="R260" s="58" t="s">
        <v>43</v>
      </c>
      <c r="S260" s="58" t="s">
        <v>44</v>
      </c>
      <c r="T260" s="58" t="s">
        <v>45</v>
      </c>
      <c r="U260" s="75" t="s">
        <v>12</v>
      </c>
    </row>
    <row r="261" s="122" customFormat="true" ht="17.25" hidden="false" customHeight="false" outlineLevel="0" collapsed="false">
      <c r="A261" s="15" t="n">
        <v>46736</v>
      </c>
      <c r="B261" s="16" t="s">
        <v>17</v>
      </c>
      <c r="C261" s="30" t="s">
        <v>142</v>
      </c>
      <c r="D261" s="44" t="s">
        <v>31</v>
      </c>
      <c r="E261" s="58" t="s">
        <v>11</v>
      </c>
      <c r="F261" s="45" t="s">
        <v>33</v>
      </c>
      <c r="G261" s="45" t="s">
        <v>34</v>
      </c>
      <c r="H261" s="45" t="s">
        <v>35</v>
      </c>
      <c r="I261" s="74" t="s">
        <v>9</v>
      </c>
      <c r="J261" s="44" t="s">
        <v>31</v>
      </c>
      <c r="K261" s="58" t="s">
        <v>11</v>
      </c>
      <c r="L261" s="45" t="s">
        <v>33</v>
      </c>
      <c r="M261" s="45" t="s">
        <v>34</v>
      </c>
      <c r="N261" s="45" t="s">
        <v>35</v>
      </c>
      <c r="O261" s="75" t="s">
        <v>9</v>
      </c>
      <c r="P261" s="44" t="s">
        <v>31</v>
      </c>
      <c r="Q261" s="58" t="s">
        <v>11</v>
      </c>
      <c r="R261" s="45" t="s">
        <v>33</v>
      </c>
      <c r="S261" s="45" t="s">
        <v>34</v>
      </c>
      <c r="T261" s="45" t="s">
        <v>35</v>
      </c>
      <c r="U261" s="75" t="s">
        <v>9</v>
      </c>
    </row>
    <row r="262" customFormat="false" ht="17.25" hidden="false" customHeight="false" outlineLevel="0" collapsed="false">
      <c r="A262" s="15" t="n">
        <v>46737</v>
      </c>
      <c r="B262" s="16" t="s">
        <v>6</v>
      </c>
      <c r="C262" s="30" t="s">
        <v>142</v>
      </c>
      <c r="D262" s="44" t="s">
        <v>36</v>
      </c>
      <c r="E262" s="45" t="s">
        <v>37</v>
      </c>
      <c r="F262" s="45" t="s">
        <v>38</v>
      </c>
      <c r="G262" s="45" t="s">
        <v>39</v>
      </c>
      <c r="H262" s="45" t="s">
        <v>40</v>
      </c>
      <c r="I262" s="24"/>
      <c r="J262" s="44" t="s">
        <v>36</v>
      </c>
      <c r="K262" s="45" t="s">
        <v>37</v>
      </c>
      <c r="L262" s="45" t="s">
        <v>38</v>
      </c>
      <c r="M262" s="45" t="s">
        <v>39</v>
      </c>
      <c r="N262" s="45" t="s">
        <v>40</v>
      </c>
      <c r="O262" s="25"/>
      <c r="P262" s="44" t="s">
        <v>36</v>
      </c>
      <c r="Q262" s="45" t="s">
        <v>37</v>
      </c>
      <c r="R262" s="45" t="s">
        <v>38</v>
      </c>
      <c r="S262" s="45" t="s">
        <v>39</v>
      </c>
      <c r="T262" s="45" t="s">
        <v>40</v>
      </c>
      <c r="U262" s="25"/>
    </row>
    <row r="263" customFormat="false" ht="17.25" hidden="false" customHeight="false" outlineLevel="0" collapsed="false">
      <c r="A263" s="15" t="n">
        <v>46738</v>
      </c>
      <c r="B263" s="16" t="s">
        <v>8</v>
      </c>
      <c r="C263" s="30" t="s">
        <v>142</v>
      </c>
      <c r="D263" s="70" t="s">
        <v>41</v>
      </c>
      <c r="E263" s="105" t="s">
        <v>26</v>
      </c>
      <c r="F263" s="58" t="s">
        <v>27</v>
      </c>
      <c r="G263" s="58" t="s">
        <v>28</v>
      </c>
      <c r="H263" s="58" t="s">
        <v>29</v>
      </c>
      <c r="I263" s="52" t="s">
        <v>12</v>
      </c>
      <c r="J263" s="70" t="s">
        <v>41</v>
      </c>
      <c r="K263" s="105" t="s">
        <v>26</v>
      </c>
      <c r="L263" s="58" t="s">
        <v>27</v>
      </c>
      <c r="M263" s="58" t="s">
        <v>28</v>
      </c>
      <c r="N263" s="58" t="s">
        <v>29</v>
      </c>
      <c r="O263" s="53" t="s">
        <v>12</v>
      </c>
      <c r="P263" s="70" t="s">
        <v>41</v>
      </c>
      <c r="Q263" s="105" t="s">
        <v>26</v>
      </c>
      <c r="R263" s="58" t="s">
        <v>27</v>
      </c>
      <c r="S263" s="58" t="s">
        <v>28</v>
      </c>
      <c r="T263" s="58" t="s">
        <v>29</v>
      </c>
      <c r="U263" s="53" t="s">
        <v>12</v>
      </c>
    </row>
    <row r="264" customFormat="false" ht="17.25" hidden="false" customHeight="false" outlineLevel="0" collapsed="false">
      <c r="A264" s="26" t="n">
        <v>46739</v>
      </c>
      <c r="B264" s="27" t="s">
        <v>10</v>
      </c>
      <c r="C264" s="17"/>
      <c r="D264" s="22"/>
      <c r="E264" s="24"/>
      <c r="F264" s="23"/>
      <c r="G264" s="23"/>
      <c r="H264" s="23"/>
      <c r="I264" s="24"/>
      <c r="J264" s="22"/>
      <c r="K264" s="24"/>
      <c r="L264" s="23"/>
      <c r="M264" s="23"/>
      <c r="N264" s="23"/>
      <c r="O264" s="25"/>
      <c r="P264" s="22"/>
      <c r="Q264" s="24"/>
      <c r="R264" s="23"/>
      <c r="S264" s="23"/>
      <c r="T264" s="23"/>
      <c r="U264" s="25"/>
    </row>
    <row r="265" customFormat="false" ht="17.25" hidden="false" customHeight="false" outlineLevel="0" collapsed="false">
      <c r="A265" s="26" t="n">
        <v>46740</v>
      </c>
      <c r="B265" s="27" t="s">
        <v>4</v>
      </c>
      <c r="C265" s="17" t="s">
        <v>79</v>
      </c>
      <c r="D265" s="22"/>
      <c r="E265" s="23"/>
      <c r="F265" s="23"/>
      <c r="G265" s="23"/>
      <c r="H265" s="23"/>
      <c r="I265" s="24"/>
      <c r="J265" s="22"/>
      <c r="K265" s="23"/>
      <c r="L265" s="23"/>
      <c r="M265" s="23"/>
      <c r="N265" s="23"/>
      <c r="O265" s="25"/>
      <c r="P265" s="22"/>
      <c r="Q265" s="23"/>
      <c r="R265" s="23"/>
      <c r="S265" s="23"/>
      <c r="T265" s="23"/>
      <c r="U265" s="25"/>
    </row>
    <row r="266" customFormat="false" ht="17.25" hidden="false" customHeight="false" outlineLevel="0" collapsed="false">
      <c r="A266" s="15" t="n">
        <v>46741</v>
      </c>
      <c r="B266" s="16" t="s">
        <v>3</v>
      </c>
      <c r="C266" s="28"/>
      <c r="D266" s="44" t="s">
        <v>19</v>
      </c>
      <c r="E266" s="45" t="s">
        <v>20</v>
      </c>
      <c r="F266" s="45" t="s">
        <v>21</v>
      </c>
      <c r="G266" s="45" t="s">
        <v>22</v>
      </c>
      <c r="H266" s="45" t="s">
        <v>23</v>
      </c>
      <c r="I266" s="74" t="s">
        <v>11</v>
      </c>
      <c r="J266" s="44" t="s">
        <v>19</v>
      </c>
      <c r="K266" s="45" t="s">
        <v>20</v>
      </c>
      <c r="L266" s="45" t="s">
        <v>21</v>
      </c>
      <c r="M266" s="45" t="s">
        <v>22</v>
      </c>
      <c r="N266" s="45" t="s">
        <v>23</v>
      </c>
      <c r="O266" s="75" t="s">
        <v>11</v>
      </c>
      <c r="P266" s="44" t="s">
        <v>19</v>
      </c>
      <c r="Q266" s="45" t="s">
        <v>20</v>
      </c>
      <c r="R266" s="45" t="s">
        <v>21</v>
      </c>
      <c r="S266" s="45" t="s">
        <v>22</v>
      </c>
      <c r="T266" s="45" t="s">
        <v>23</v>
      </c>
      <c r="U266" s="75" t="s">
        <v>11</v>
      </c>
    </row>
    <row r="267" s="122" customFormat="true" ht="17.25" hidden="false" customHeight="false" outlineLevel="0" collapsed="false">
      <c r="A267" s="15" t="n">
        <v>46742</v>
      </c>
      <c r="B267" s="16" t="s">
        <v>14</v>
      </c>
      <c r="C267" s="28"/>
      <c r="D267" s="44" t="s">
        <v>25</v>
      </c>
      <c r="E267" s="58" t="s">
        <v>42</v>
      </c>
      <c r="F267" s="58" t="s">
        <v>43</v>
      </c>
      <c r="G267" s="58" t="s">
        <v>44</v>
      </c>
      <c r="H267" s="58" t="s">
        <v>45</v>
      </c>
      <c r="I267" s="52" t="s">
        <v>9</v>
      </c>
      <c r="J267" s="44" t="s">
        <v>25</v>
      </c>
      <c r="K267" s="58" t="s">
        <v>42</v>
      </c>
      <c r="L267" s="58" t="s">
        <v>43</v>
      </c>
      <c r="M267" s="58" t="s">
        <v>44</v>
      </c>
      <c r="N267" s="58" t="s">
        <v>45</v>
      </c>
      <c r="O267" s="53" t="s">
        <v>9</v>
      </c>
      <c r="P267" s="44" t="s">
        <v>25</v>
      </c>
      <c r="Q267" s="58" t="s">
        <v>42</v>
      </c>
      <c r="R267" s="58" t="s">
        <v>43</v>
      </c>
      <c r="S267" s="58" t="s">
        <v>44</v>
      </c>
      <c r="T267" s="58" t="s">
        <v>45</v>
      </c>
      <c r="U267" s="53" t="s">
        <v>9</v>
      </c>
    </row>
    <row r="268" s="122" customFormat="true" ht="17.25" hidden="false" customHeight="false" outlineLevel="0" collapsed="false">
      <c r="A268" s="15" t="n">
        <v>46743</v>
      </c>
      <c r="B268" s="16" t="s">
        <v>17</v>
      </c>
      <c r="C268" s="30" t="s">
        <v>95</v>
      </c>
      <c r="D268" s="44" t="s">
        <v>31</v>
      </c>
      <c r="E268" s="45" t="s">
        <v>32</v>
      </c>
      <c r="F268" s="23"/>
      <c r="G268" s="58" t="s">
        <v>22</v>
      </c>
      <c r="H268" s="58" t="s">
        <v>23</v>
      </c>
      <c r="I268" s="24"/>
      <c r="J268" s="44" t="s">
        <v>31</v>
      </c>
      <c r="K268" s="45" t="s">
        <v>32</v>
      </c>
      <c r="L268" s="45" t="s">
        <v>33</v>
      </c>
      <c r="M268" s="58" t="s">
        <v>22</v>
      </c>
      <c r="N268" s="23"/>
      <c r="O268" s="25"/>
      <c r="P268" s="44" t="s">
        <v>31</v>
      </c>
      <c r="Q268" s="45" t="s">
        <v>32</v>
      </c>
      <c r="R268" s="23"/>
      <c r="S268" s="58" t="s">
        <v>22</v>
      </c>
      <c r="T268" s="58" t="s">
        <v>23</v>
      </c>
      <c r="U268" s="25"/>
    </row>
    <row r="269" customFormat="false" ht="17.25" hidden="false" customHeight="false" outlineLevel="0" collapsed="false">
      <c r="A269" s="15" t="n">
        <v>46744</v>
      </c>
      <c r="B269" s="16" t="s">
        <v>6</v>
      </c>
      <c r="C269" s="30" t="s">
        <v>97</v>
      </c>
      <c r="D269" s="22"/>
      <c r="E269" s="45" t="s">
        <v>37</v>
      </c>
      <c r="F269" s="23"/>
      <c r="G269" s="23"/>
      <c r="H269" s="23"/>
      <c r="I269" s="24"/>
      <c r="J269" s="22"/>
      <c r="K269" s="45" t="s">
        <v>37</v>
      </c>
      <c r="L269" s="23"/>
      <c r="M269" s="23"/>
      <c r="N269" s="23"/>
      <c r="O269" s="25"/>
      <c r="P269" s="22"/>
      <c r="Q269" s="45" t="s">
        <v>37</v>
      </c>
      <c r="R269" s="23"/>
      <c r="S269" s="23"/>
      <c r="T269" s="23"/>
      <c r="U269" s="25"/>
      <c r="Y269" s="29" t="s">
        <v>19</v>
      </c>
      <c r="Z269" s="29" t="s">
        <v>20</v>
      </c>
      <c r="AA269" s="29" t="s">
        <v>21</v>
      </c>
      <c r="AB269" s="29" t="s">
        <v>22</v>
      </c>
      <c r="AC269" s="29" t="s">
        <v>23</v>
      </c>
      <c r="AD269" s="29" t="s">
        <v>7</v>
      </c>
      <c r="AE269" s="29" t="s">
        <v>19</v>
      </c>
      <c r="AF269" s="29" t="s">
        <v>20</v>
      </c>
      <c r="AG269" s="29" t="s">
        <v>21</v>
      </c>
      <c r="AH269" s="29" t="s">
        <v>22</v>
      </c>
      <c r="AI269" s="29" t="s">
        <v>23</v>
      </c>
      <c r="AJ269" s="29" t="s">
        <v>7</v>
      </c>
      <c r="AK269" s="29" t="s">
        <v>19</v>
      </c>
      <c r="AL269" s="29" t="s">
        <v>20</v>
      </c>
      <c r="AM269" s="29" t="s">
        <v>21</v>
      </c>
      <c r="AN269" s="29" t="s">
        <v>22</v>
      </c>
      <c r="AO269" s="29" t="s">
        <v>23</v>
      </c>
      <c r="AP269" s="29" t="s">
        <v>7</v>
      </c>
    </row>
    <row r="270" customFormat="false" ht="17.25" hidden="false" customHeight="false" outlineLevel="0" collapsed="false">
      <c r="A270" s="15" t="n">
        <v>46745</v>
      </c>
      <c r="B270" s="16" t="s">
        <v>8</v>
      </c>
      <c r="C270" s="30" t="s">
        <v>143</v>
      </c>
      <c r="D270" s="22"/>
      <c r="E270" s="23"/>
      <c r="F270" s="23"/>
      <c r="G270" s="23"/>
      <c r="H270" s="23"/>
      <c r="I270" s="24"/>
      <c r="J270" s="22"/>
      <c r="K270" s="23"/>
      <c r="L270" s="23"/>
      <c r="M270" s="23"/>
      <c r="N270" s="23"/>
      <c r="O270" s="25"/>
      <c r="P270" s="22"/>
      <c r="Q270" s="23"/>
      <c r="R270" s="23"/>
      <c r="S270" s="23"/>
      <c r="T270" s="23"/>
      <c r="U270" s="25"/>
      <c r="Y270" s="29" t="s">
        <v>25</v>
      </c>
      <c r="Z270" s="29" t="s">
        <v>26</v>
      </c>
      <c r="AA270" s="29" t="s">
        <v>27</v>
      </c>
      <c r="AB270" s="29" t="s">
        <v>28</v>
      </c>
      <c r="AC270" s="29" t="s">
        <v>29</v>
      </c>
      <c r="AD270" s="29" t="s">
        <v>9</v>
      </c>
      <c r="AE270" s="29" t="s">
        <v>25</v>
      </c>
      <c r="AF270" s="29" t="s">
        <v>26</v>
      </c>
      <c r="AG270" s="29" t="s">
        <v>27</v>
      </c>
      <c r="AH270" s="29" t="s">
        <v>28</v>
      </c>
      <c r="AI270" s="29" t="s">
        <v>29</v>
      </c>
      <c r="AJ270" s="29" t="s">
        <v>9</v>
      </c>
      <c r="AK270" s="29" t="s">
        <v>25</v>
      </c>
      <c r="AL270" s="29" t="s">
        <v>26</v>
      </c>
      <c r="AM270" s="29" t="s">
        <v>27</v>
      </c>
      <c r="AN270" s="29" t="s">
        <v>28</v>
      </c>
      <c r="AO270" s="29" t="s">
        <v>29</v>
      </c>
      <c r="AP270" s="29" t="s">
        <v>9</v>
      </c>
    </row>
    <row r="271" customFormat="false" ht="17.25" hidden="false" customHeight="false" outlineLevel="0" collapsed="false">
      <c r="A271" s="26" t="n">
        <v>46746</v>
      </c>
      <c r="B271" s="27" t="s">
        <v>10</v>
      </c>
      <c r="C271" s="17"/>
      <c r="D271" s="22"/>
      <c r="E271" s="23"/>
      <c r="F271" s="23"/>
      <c r="G271" s="23"/>
      <c r="H271" s="23"/>
      <c r="I271" s="24"/>
      <c r="J271" s="22"/>
      <c r="K271" s="23"/>
      <c r="L271" s="23"/>
      <c r="M271" s="23"/>
      <c r="N271" s="23"/>
      <c r="O271" s="25"/>
      <c r="P271" s="22"/>
      <c r="Q271" s="23"/>
      <c r="R271" s="23"/>
      <c r="S271" s="23"/>
      <c r="T271" s="23"/>
      <c r="U271" s="25"/>
      <c r="Y271" s="29" t="s">
        <v>31</v>
      </c>
      <c r="Z271" s="29" t="s">
        <v>32</v>
      </c>
      <c r="AA271" s="29" t="s">
        <v>33</v>
      </c>
      <c r="AB271" s="29" t="s">
        <v>34</v>
      </c>
      <c r="AC271" s="29" t="s">
        <v>35</v>
      </c>
      <c r="AD271" s="29" t="s">
        <v>11</v>
      </c>
      <c r="AE271" s="29" t="s">
        <v>31</v>
      </c>
      <c r="AF271" s="29" t="s">
        <v>32</v>
      </c>
      <c r="AG271" s="29" t="s">
        <v>33</v>
      </c>
      <c r="AH271" s="29" t="s">
        <v>34</v>
      </c>
      <c r="AI271" s="29" t="s">
        <v>35</v>
      </c>
      <c r="AJ271" s="29" t="s">
        <v>11</v>
      </c>
      <c r="AK271" s="29" t="s">
        <v>31</v>
      </c>
      <c r="AL271" s="29" t="s">
        <v>32</v>
      </c>
      <c r="AM271" s="29" t="s">
        <v>33</v>
      </c>
      <c r="AN271" s="29" t="s">
        <v>34</v>
      </c>
      <c r="AO271" s="29" t="s">
        <v>35</v>
      </c>
      <c r="AP271" s="29" t="s">
        <v>11</v>
      </c>
    </row>
    <row r="272" customFormat="false" ht="17.25" hidden="false" customHeight="false" outlineLevel="0" collapsed="false">
      <c r="A272" s="26" t="n">
        <v>46747</v>
      </c>
      <c r="B272" s="27" t="s">
        <v>4</v>
      </c>
      <c r="C272" s="17"/>
      <c r="D272" s="22"/>
      <c r="E272" s="23"/>
      <c r="F272" s="23"/>
      <c r="G272" s="23"/>
      <c r="H272" s="23"/>
      <c r="I272" s="24"/>
      <c r="J272" s="22"/>
      <c r="K272" s="23"/>
      <c r="L272" s="23"/>
      <c r="M272" s="23"/>
      <c r="N272" s="23"/>
      <c r="O272" s="25"/>
      <c r="P272" s="22"/>
      <c r="Q272" s="23"/>
      <c r="R272" s="23"/>
      <c r="S272" s="23"/>
      <c r="T272" s="23"/>
      <c r="U272" s="25"/>
      <c r="Y272" s="29" t="s">
        <v>36</v>
      </c>
      <c r="Z272" s="29" t="s">
        <v>37</v>
      </c>
      <c r="AA272" s="29" t="s">
        <v>38</v>
      </c>
      <c r="AB272" s="29" t="s">
        <v>39</v>
      </c>
      <c r="AC272" s="29" t="s">
        <v>40</v>
      </c>
      <c r="AE272" s="29" t="s">
        <v>36</v>
      </c>
      <c r="AF272" s="29" t="s">
        <v>37</v>
      </c>
      <c r="AG272" s="29" t="s">
        <v>38</v>
      </c>
      <c r="AH272" s="29" t="s">
        <v>39</v>
      </c>
      <c r="AI272" s="29" t="s">
        <v>40</v>
      </c>
      <c r="AK272" s="29" t="s">
        <v>36</v>
      </c>
      <c r="AL272" s="29" t="s">
        <v>37</v>
      </c>
      <c r="AM272" s="29" t="s">
        <v>38</v>
      </c>
      <c r="AN272" s="29" t="s">
        <v>39</v>
      </c>
      <c r="AO272" s="29" t="s">
        <v>40</v>
      </c>
    </row>
    <row r="273" customFormat="false" ht="17.25" hidden="false" customHeight="false" outlineLevel="0" collapsed="false">
      <c r="A273" s="15" t="n">
        <v>46748</v>
      </c>
      <c r="B273" s="16" t="s">
        <v>3</v>
      </c>
      <c r="C273" s="30" t="s">
        <v>84</v>
      </c>
      <c r="D273" s="22"/>
      <c r="E273" s="23"/>
      <c r="F273" s="23"/>
      <c r="G273" s="23"/>
      <c r="H273" s="23"/>
      <c r="I273" s="24"/>
      <c r="J273" s="22"/>
      <c r="K273" s="23"/>
      <c r="L273" s="23"/>
      <c r="M273" s="23"/>
      <c r="N273" s="23"/>
      <c r="O273" s="25"/>
      <c r="P273" s="22"/>
      <c r="Q273" s="23"/>
      <c r="R273" s="23"/>
      <c r="S273" s="23"/>
      <c r="T273" s="23"/>
      <c r="U273" s="25"/>
      <c r="Y273" s="29" t="s">
        <v>41</v>
      </c>
      <c r="Z273" s="29" t="s">
        <v>42</v>
      </c>
      <c r="AA273" s="29" t="s">
        <v>43</v>
      </c>
      <c r="AB273" s="29" t="s">
        <v>44</v>
      </c>
      <c r="AC273" s="29" t="s">
        <v>45</v>
      </c>
      <c r="AD273" s="29" t="s">
        <v>12</v>
      </c>
      <c r="AE273" s="29" t="s">
        <v>41</v>
      </c>
      <c r="AF273" s="29" t="s">
        <v>42</v>
      </c>
      <c r="AG273" s="29" t="s">
        <v>43</v>
      </c>
      <c r="AH273" s="29" t="s">
        <v>44</v>
      </c>
      <c r="AI273" s="29" t="s">
        <v>45</v>
      </c>
      <c r="AJ273" s="29" t="s">
        <v>12</v>
      </c>
      <c r="AK273" s="29" t="s">
        <v>41</v>
      </c>
      <c r="AL273" s="29" t="s">
        <v>42</v>
      </c>
      <c r="AM273" s="29" t="s">
        <v>43</v>
      </c>
      <c r="AN273" s="29" t="s">
        <v>44</v>
      </c>
      <c r="AO273" s="29" t="s">
        <v>45</v>
      </c>
      <c r="AP273" s="29" t="s">
        <v>12</v>
      </c>
    </row>
    <row r="274" s="122" customFormat="true" ht="17.25" hidden="false" customHeight="false" outlineLevel="0" collapsed="false">
      <c r="A274" s="15" t="n">
        <v>46749</v>
      </c>
      <c r="B274" s="16" t="s">
        <v>14</v>
      </c>
      <c r="C274" s="30" t="s">
        <v>84</v>
      </c>
      <c r="D274" s="22"/>
      <c r="E274" s="23"/>
      <c r="F274" s="23"/>
      <c r="G274" s="23"/>
      <c r="H274" s="23"/>
      <c r="I274" s="24"/>
      <c r="J274" s="22"/>
      <c r="K274" s="23"/>
      <c r="L274" s="23"/>
      <c r="M274" s="23"/>
      <c r="N274" s="23"/>
      <c r="O274" s="25"/>
      <c r="P274" s="22"/>
      <c r="Q274" s="23"/>
      <c r="R274" s="23"/>
      <c r="S274" s="23"/>
      <c r="T274" s="23"/>
      <c r="U274" s="25"/>
    </row>
    <row r="275" s="122" customFormat="true" ht="17.25" hidden="false" customHeight="false" outlineLevel="0" collapsed="false">
      <c r="A275" s="15" t="n">
        <v>46750</v>
      </c>
      <c r="B275" s="16" t="s">
        <v>17</v>
      </c>
      <c r="C275" s="30" t="s">
        <v>84</v>
      </c>
      <c r="D275" s="22"/>
      <c r="E275" s="23"/>
      <c r="F275" s="23"/>
      <c r="G275" s="23"/>
      <c r="H275" s="23"/>
      <c r="I275" s="24"/>
      <c r="J275" s="22"/>
      <c r="K275" s="23"/>
      <c r="L275" s="23"/>
      <c r="M275" s="23"/>
      <c r="N275" s="23"/>
      <c r="O275" s="25"/>
      <c r="P275" s="22"/>
      <c r="Q275" s="23"/>
      <c r="R275" s="23"/>
      <c r="S275" s="23"/>
      <c r="T275" s="23"/>
      <c r="U275" s="25"/>
    </row>
    <row r="276" customFormat="false" ht="17.25" hidden="false" customHeight="false" outlineLevel="0" collapsed="false">
      <c r="A276" s="15" t="n">
        <v>46751</v>
      </c>
      <c r="B276" s="16" t="s">
        <v>6</v>
      </c>
      <c r="C276" s="30" t="s">
        <v>84</v>
      </c>
      <c r="D276" s="22"/>
      <c r="E276" s="23"/>
      <c r="F276" s="23"/>
      <c r="G276" s="23"/>
      <c r="H276" s="23"/>
      <c r="I276" s="24"/>
      <c r="J276" s="22"/>
      <c r="K276" s="23"/>
      <c r="L276" s="23"/>
      <c r="M276" s="23"/>
      <c r="N276" s="23"/>
      <c r="O276" s="25"/>
      <c r="P276" s="22"/>
      <c r="Q276" s="23"/>
      <c r="R276" s="23"/>
      <c r="S276" s="23"/>
      <c r="T276" s="23"/>
      <c r="U276" s="25"/>
    </row>
    <row r="277" customFormat="false" ht="18" hidden="false" customHeight="true" outlineLevel="0" collapsed="false">
      <c r="A277" s="15" t="n">
        <v>46752</v>
      </c>
      <c r="B277" s="16" t="s">
        <v>8</v>
      </c>
      <c r="C277" s="30" t="s">
        <v>84</v>
      </c>
      <c r="D277" s="121"/>
      <c r="E277" s="61"/>
      <c r="F277" s="61"/>
      <c r="G277" s="61"/>
      <c r="H277" s="61"/>
      <c r="I277" s="118"/>
      <c r="J277" s="121"/>
      <c r="K277" s="61"/>
      <c r="L277" s="61"/>
      <c r="M277" s="61"/>
      <c r="N277" s="61"/>
      <c r="O277" s="132"/>
      <c r="P277" s="121"/>
      <c r="Q277" s="61"/>
      <c r="R277" s="61"/>
      <c r="S277" s="61"/>
      <c r="T277" s="61"/>
      <c r="U277" s="132"/>
    </row>
    <row r="278" customFormat="false" ht="17.25" hidden="false" customHeight="false" outlineLevel="0" collapsed="false">
      <c r="A278" s="26" t="n">
        <v>46753</v>
      </c>
      <c r="B278" s="27" t="s">
        <v>10</v>
      </c>
      <c r="C278" s="17" t="s">
        <v>144</v>
      </c>
      <c r="D278" s="64"/>
      <c r="E278" s="65"/>
      <c r="F278" s="65"/>
      <c r="G278" s="65"/>
      <c r="H278" s="65"/>
      <c r="I278" s="66"/>
      <c r="J278" s="64"/>
      <c r="K278" s="65"/>
      <c r="L278" s="65"/>
      <c r="M278" s="65"/>
      <c r="N278" s="65"/>
      <c r="O278" s="67"/>
      <c r="P278" s="64"/>
      <c r="Q278" s="65"/>
      <c r="R278" s="65"/>
      <c r="S278" s="65"/>
      <c r="T278" s="65"/>
      <c r="U278" s="67"/>
    </row>
    <row r="279" customFormat="false" ht="17.25" hidden="false" customHeight="false" outlineLevel="0" collapsed="false">
      <c r="A279" s="26" t="n">
        <v>46754</v>
      </c>
      <c r="B279" s="27" t="s">
        <v>4</v>
      </c>
      <c r="C279" s="17"/>
      <c r="D279" s="22"/>
      <c r="E279" s="23"/>
      <c r="F279" s="23"/>
      <c r="G279" s="23"/>
      <c r="H279" s="23"/>
      <c r="I279" s="24"/>
      <c r="J279" s="22"/>
      <c r="K279" s="23"/>
      <c r="L279" s="23"/>
      <c r="M279" s="23"/>
      <c r="N279" s="23"/>
      <c r="O279" s="25"/>
      <c r="P279" s="22"/>
      <c r="Q279" s="23"/>
      <c r="R279" s="23"/>
      <c r="S279" s="23"/>
      <c r="T279" s="23"/>
      <c r="U279" s="25"/>
    </row>
    <row r="280" customFormat="false" ht="17.25" hidden="false" customHeight="false" outlineLevel="0" collapsed="false">
      <c r="A280" s="15" t="n">
        <v>46755</v>
      </c>
      <c r="B280" s="16" t="s">
        <v>3</v>
      </c>
      <c r="C280" s="28"/>
      <c r="D280" s="22"/>
      <c r="E280" s="23"/>
      <c r="F280" s="23"/>
      <c r="G280" s="23"/>
      <c r="H280" s="23"/>
      <c r="I280" s="24"/>
      <c r="J280" s="22"/>
      <c r="K280" s="23"/>
      <c r="L280" s="23"/>
      <c r="M280" s="23"/>
      <c r="N280" s="23"/>
      <c r="O280" s="25"/>
      <c r="P280" s="22"/>
      <c r="Q280" s="23"/>
      <c r="R280" s="23"/>
      <c r="S280" s="23"/>
      <c r="T280" s="23"/>
      <c r="U280" s="25"/>
    </row>
    <row r="281" customFormat="false" ht="17.25" hidden="false" customHeight="false" outlineLevel="0" collapsed="false">
      <c r="A281" s="15" t="n">
        <v>46756</v>
      </c>
      <c r="B281" s="16" t="s">
        <v>14</v>
      </c>
      <c r="C281" s="28"/>
      <c r="D281" s="22"/>
      <c r="E281" s="23"/>
      <c r="F281" s="23"/>
      <c r="G281" s="23"/>
      <c r="H281" s="23"/>
      <c r="I281" s="24"/>
      <c r="J281" s="22"/>
      <c r="K281" s="23"/>
      <c r="L281" s="23"/>
      <c r="M281" s="23"/>
      <c r="N281" s="23"/>
      <c r="O281" s="25"/>
      <c r="P281" s="22"/>
      <c r="Q281" s="23"/>
      <c r="R281" s="23"/>
      <c r="S281" s="23"/>
      <c r="T281" s="23"/>
      <c r="U281" s="25"/>
    </row>
    <row r="282" customFormat="false" ht="17.25" hidden="false" customHeight="false" outlineLevel="0" collapsed="false">
      <c r="A282" s="15" t="n">
        <v>46757</v>
      </c>
      <c r="B282" s="16" t="s">
        <v>17</v>
      </c>
      <c r="C282" s="28"/>
      <c r="D282" s="22"/>
      <c r="E282" s="23"/>
      <c r="F282" s="23"/>
      <c r="G282" s="23"/>
      <c r="H282" s="23"/>
      <c r="I282" s="24"/>
      <c r="J282" s="22"/>
      <c r="K282" s="23"/>
      <c r="L282" s="23"/>
      <c r="M282" s="23"/>
      <c r="N282" s="23"/>
      <c r="O282" s="25"/>
      <c r="P282" s="22"/>
      <c r="Q282" s="23"/>
      <c r="R282" s="23"/>
      <c r="S282" s="23"/>
      <c r="T282" s="23"/>
      <c r="U282" s="25"/>
    </row>
    <row r="283" customFormat="false" ht="17.25" hidden="false" customHeight="false" outlineLevel="0" collapsed="false">
      <c r="A283" s="15" t="n">
        <v>46758</v>
      </c>
      <c r="B283" s="16" t="s">
        <v>6</v>
      </c>
      <c r="C283" s="28"/>
      <c r="D283" s="22"/>
      <c r="E283" s="23"/>
      <c r="F283" s="23"/>
      <c r="G283" s="23"/>
      <c r="H283" s="23"/>
      <c r="I283" s="24"/>
      <c r="J283" s="22"/>
      <c r="K283" s="23"/>
      <c r="L283" s="23"/>
      <c r="M283" s="23"/>
      <c r="N283" s="23"/>
      <c r="O283" s="25"/>
      <c r="P283" s="22"/>
      <c r="Q283" s="23"/>
      <c r="R283" s="23"/>
      <c r="S283" s="23"/>
      <c r="T283" s="23"/>
      <c r="U283" s="25"/>
    </row>
    <row r="284" customFormat="false" ht="17.25" hidden="false" customHeight="false" outlineLevel="0" collapsed="false">
      <c r="A284" s="15" t="n">
        <v>46759</v>
      </c>
      <c r="B284" s="16" t="s">
        <v>8</v>
      </c>
      <c r="C284" s="30" t="s">
        <v>145</v>
      </c>
      <c r="D284" s="22"/>
      <c r="E284" s="58" t="s">
        <v>20</v>
      </c>
      <c r="F284" s="23"/>
      <c r="G284" s="23"/>
      <c r="H284" s="23"/>
      <c r="I284" s="24"/>
      <c r="J284" s="22"/>
      <c r="K284" s="58" t="s">
        <v>20</v>
      </c>
      <c r="L284" s="23"/>
      <c r="M284" s="23"/>
      <c r="N284" s="23"/>
      <c r="O284" s="25"/>
      <c r="P284" s="22"/>
      <c r="Q284" s="58" t="s">
        <v>20</v>
      </c>
      <c r="R284" s="23"/>
      <c r="S284" s="23"/>
      <c r="T284" s="23"/>
      <c r="U284" s="25"/>
    </row>
    <row r="285" customFormat="false" ht="17.25" hidden="false" customHeight="false" outlineLevel="0" collapsed="false">
      <c r="A285" s="26" t="n">
        <v>46760</v>
      </c>
      <c r="B285" s="27" t="s">
        <v>10</v>
      </c>
      <c r="C285" s="17"/>
      <c r="D285" s="22"/>
      <c r="E285" s="24"/>
      <c r="F285" s="23"/>
      <c r="G285" s="23"/>
      <c r="H285" s="23"/>
      <c r="I285" s="24"/>
      <c r="J285" s="22"/>
      <c r="K285" s="24"/>
      <c r="L285" s="23"/>
      <c r="M285" s="23"/>
      <c r="N285" s="23"/>
      <c r="O285" s="25"/>
      <c r="P285" s="22"/>
      <c r="Q285" s="24"/>
      <c r="R285" s="23"/>
      <c r="S285" s="23"/>
      <c r="T285" s="23"/>
      <c r="U285" s="25"/>
    </row>
    <row r="286" customFormat="false" ht="17.25" hidden="false" customHeight="false" outlineLevel="0" collapsed="false">
      <c r="A286" s="26" t="n">
        <v>46761</v>
      </c>
      <c r="B286" s="27" t="s">
        <v>4</v>
      </c>
      <c r="C286" s="17"/>
      <c r="D286" s="22"/>
      <c r="E286" s="23"/>
      <c r="F286" s="23"/>
      <c r="G286" s="23"/>
      <c r="H286" s="23"/>
      <c r="I286" s="24"/>
      <c r="J286" s="22"/>
      <c r="K286" s="23"/>
      <c r="L286" s="23"/>
      <c r="M286" s="23"/>
      <c r="N286" s="23"/>
      <c r="O286" s="25"/>
      <c r="P286" s="22"/>
      <c r="Q286" s="23"/>
      <c r="R286" s="23"/>
      <c r="S286" s="23"/>
      <c r="T286" s="23"/>
      <c r="U286" s="25"/>
    </row>
    <row r="287" customFormat="false" ht="17.25" hidden="false" customHeight="false" outlineLevel="0" collapsed="false">
      <c r="A287" s="26" t="n">
        <v>46762</v>
      </c>
      <c r="B287" s="27" t="s">
        <v>3</v>
      </c>
      <c r="C287" s="17" t="s">
        <v>146</v>
      </c>
      <c r="D287" s="22"/>
      <c r="E287" s="23"/>
      <c r="F287" s="23"/>
      <c r="G287" s="23"/>
      <c r="H287" s="23"/>
      <c r="I287" s="24"/>
      <c r="J287" s="22"/>
      <c r="K287" s="23"/>
      <c r="L287" s="23"/>
      <c r="M287" s="23"/>
      <c r="N287" s="23"/>
      <c r="O287" s="25"/>
      <c r="P287" s="22"/>
      <c r="Q287" s="23"/>
      <c r="R287" s="23"/>
      <c r="S287" s="23"/>
      <c r="T287" s="23"/>
      <c r="U287" s="25"/>
    </row>
    <row r="288" s="122" customFormat="true" ht="17.25" hidden="false" customHeight="false" outlineLevel="0" collapsed="false">
      <c r="A288" s="15" t="n">
        <v>46763</v>
      </c>
      <c r="B288" s="16" t="s">
        <v>14</v>
      </c>
      <c r="C288" s="30" t="s">
        <v>147</v>
      </c>
      <c r="D288" s="68" t="s">
        <v>36</v>
      </c>
      <c r="E288" s="45" t="s">
        <v>26</v>
      </c>
      <c r="F288" s="45" t="s">
        <v>27</v>
      </c>
      <c r="G288" s="45" t="s">
        <v>28</v>
      </c>
      <c r="H288" s="58" t="s">
        <v>40</v>
      </c>
      <c r="I288" s="52" t="s">
        <v>9</v>
      </c>
      <c r="J288" s="68" t="s">
        <v>36</v>
      </c>
      <c r="K288" s="45" t="s">
        <v>26</v>
      </c>
      <c r="L288" s="45" t="s">
        <v>27</v>
      </c>
      <c r="M288" s="45" t="s">
        <v>28</v>
      </c>
      <c r="N288" s="58" t="s">
        <v>40</v>
      </c>
      <c r="O288" s="54" t="s">
        <v>9</v>
      </c>
      <c r="P288" s="68" t="s">
        <v>36</v>
      </c>
      <c r="Q288" s="45" t="s">
        <v>26</v>
      </c>
      <c r="R288" s="45" t="s">
        <v>27</v>
      </c>
      <c r="S288" s="45" t="s">
        <v>28</v>
      </c>
      <c r="T288" s="23"/>
      <c r="U288" s="25"/>
    </row>
    <row r="289" s="122" customFormat="true" ht="17.25" hidden="false" customHeight="false" outlineLevel="0" collapsed="false">
      <c r="A289" s="15" t="n">
        <v>46764</v>
      </c>
      <c r="B289" s="16" t="s">
        <v>17</v>
      </c>
      <c r="C289" s="30" t="s">
        <v>148</v>
      </c>
      <c r="D289" s="44" t="s">
        <v>31</v>
      </c>
      <c r="E289" s="45" t="s">
        <v>32</v>
      </c>
      <c r="F289" s="58" t="s">
        <v>38</v>
      </c>
      <c r="G289" s="45" t="s">
        <v>34</v>
      </c>
      <c r="H289" s="58" t="s">
        <v>40</v>
      </c>
      <c r="I289" s="52" t="s">
        <v>11</v>
      </c>
      <c r="J289" s="44" t="s">
        <v>31</v>
      </c>
      <c r="K289" s="45" t="s">
        <v>32</v>
      </c>
      <c r="L289" s="58" t="s">
        <v>38</v>
      </c>
      <c r="M289" s="45" t="s">
        <v>34</v>
      </c>
      <c r="N289" s="58" t="s">
        <v>40</v>
      </c>
      <c r="O289" s="53" t="s">
        <v>11</v>
      </c>
      <c r="P289" s="44" t="s">
        <v>31</v>
      </c>
      <c r="Q289" s="45" t="s">
        <v>32</v>
      </c>
      <c r="R289" s="58" t="s">
        <v>38</v>
      </c>
      <c r="S289" s="45" t="s">
        <v>34</v>
      </c>
      <c r="T289" s="23"/>
      <c r="U289" s="25"/>
    </row>
    <row r="290" s="122" customFormat="true" ht="17.25" hidden="false" customHeight="false" outlineLevel="0" collapsed="false">
      <c r="A290" s="15" t="n">
        <v>46765</v>
      </c>
      <c r="B290" s="16" t="s">
        <v>6</v>
      </c>
      <c r="C290" s="30" t="s">
        <v>149</v>
      </c>
      <c r="D290" s="44" t="s">
        <v>36</v>
      </c>
      <c r="E290" s="58" t="s">
        <v>7</v>
      </c>
      <c r="F290" s="58" t="s">
        <v>21</v>
      </c>
      <c r="G290" s="45" t="s">
        <v>39</v>
      </c>
      <c r="H290" s="58" t="s">
        <v>23</v>
      </c>
      <c r="I290" s="24"/>
      <c r="J290" s="44" t="s">
        <v>36</v>
      </c>
      <c r="K290" s="58" t="s">
        <v>7</v>
      </c>
      <c r="L290" s="58" t="s">
        <v>21</v>
      </c>
      <c r="M290" s="45" t="s">
        <v>39</v>
      </c>
      <c r="N290" s="58" t="s">
        <v>23</v>
      </c>
      <c r="O290" s="25"/>
      <c r="P290" s="44" t="s">
        <v>36</v>
      </c>
      <c r="Q290" s="58" t="s">
        <v>7</v>
      </c>
      <c r="R290" s="58" t="s">
        <v>21</v>
      </c>
      <c r="S290" s="45" t="s">
        <v>39</v>
      </c>
      <c r="T290" s="23"/>
      <c r="U290" s="25"/>
    </row>
    <row r="291" customFormat="false" ht="17.25" hidden="false" customHeight="false" outlineLevel="0" collapsed="false">
      <c r="A291" s="15" t="n">
        <v>46766</v>
      </c>
      <c r="B291" s="16" t="s">
        <v>8</v>
      </c>
      <c r="C291" s="30" t="s">
        <v>149</v>
      </c>
      <c r="D291" s="70" t="s">
        <v>41</v>
      </c>
      <c r="E291" s="45" t="s">
        <v>42</v>
      </c>
      <c r="F291" s="45" t="s">
        <v>43</v>
      </c>
      <c r="G291" s="58" t="s">
        <v>22</v>
      </c>
      <c r="H291" s="71" t="s">
        <v>45</v>
      </c>
      <c r="I291" s="74" t="s">
        <v>7</v>
      </c>
      <c r="J291" s="70" t="s">
        <v>41</v>
      </c>
      <c r="K291" s="45" t="s">
        <v>42</v>
      </c>
      <c r="L291" s="45" t="s">
        <v>43</v>
      </c>
      <c r="M291" s="58" t="s">
        <v>22</v>
      </c>
      <c r="N291" s="71" t="s">
        <v>45</v>
      </c>
      <c r="O291" s="75" t="s">
        <v>7</v>
      </c>
      <c r="P291" s="70" t="s">
        <v>41</v>
      </c>
      <c r="Q291" s="45" t="s">
        <v>42</v>
      </c>
      <c r="R291" s="45" t="s">
        <v>43</v>
      </c>
      <c r="S291" s="58" t="s">
        <v>22</v>
      </c>
      <c r="T291" s="23"/>
      <c r="U291" s="25"/>
    </row>
    <row r="292" customFormat="false" ht="17.25" hidden="false" customHeight="false" outlineLevel="0" collapsed="false">
      <c r="A292" s="26" t="n">
        <v>46767</v>
      </c>
      <c r="B292" s="27" t="s">
        <v>10</v>
      </c>
      <c r="C292" s="17"/>
      <c r="D292" s="22"/>
      <c r="E292" s="23"/>
      <c r="F292" s="23"/>
      <c r="G292" s="23"/>
      <c r="H292" s="24"/>
      <c r="I292" s="24"/>
      <c r="J292" s="22"/>
      <c r="K292" s="23"/>
      <c r="L292" s="23"/>
      <c r="M292" s="23"/>
      <c r="N292" s="24"/>
      <c r="O292" s="25"/>
      <c r="P292" s="22"/>
      <c r="Q292" s="23"/>
      <c r="R292" s="23"/>
      <c r="S292" s="23"/>
      <c r="T292" s="23"/>
      <c r="U292" s="25"/>
    </row>
    <row r="293" customFormat="false" ht="17.25" hidden="false" customHeight="false" outlineLevel="0" collapsed="false">
      <c r="A293" s="26" t="n">
        <v>46768</v>
      </c>
      <c r="B293" s="27" t="s">
        <v>4</v>
      </c>
      <c r="C293" s="17" t="s">
        <v>79</v>
      </c>
      <c r="D293" s="22"/>
      <c r="E293" s="23"/>
      <c r="F293" s="23"/>
      <c r="G293" s="23"/>
      <c r="H293" s="23"/>
      <c r="I293" s="24"/>
      <c r="J293" s="22"/>
      <c r="K293" s="23"/>
      <c r="L293" s="23"/>
      <c r="M293" s="23"/>
      <c r="N293" s="23"/>
      <c r="O293" s="25"/>
      <c r="P293" s="22"/>
      <c r="Q293" s="23"/>
      <c r="R293" s="23"/>
      <c r="S293" s="23"/>
      <c r="T293" s="23"/>
      <c r="U293" s="25"/>
    </row>
    <row r="294" customFormat="false" ht="17.25" hidden="false" customHeight="false" outlineLevel="0" collapsed="false">
      <c r="A294" s="15" t="n">
        <v>46769</v>
      </c>
      <c r="B294" s="16" t="s">
        <v>3</v>
      </c>
      <c r="C294" s="28"/>
      <c r="D294" s="44" t="s">
        <v>19</v>
      </c>
      <c r="E294" s="45" t="s">
        <v>20</v>
      </c>
      <c r="F294" s="58" t="s">
        <v>33</v>
      </c>
      <c r="G294" s="45" t="s">
        <v>22</v>
      </c>
      <c r="H294" s="58" t="s">
        <v>35</v>
      </c>
      <c r="I294" s="52" t="s">
        <v>7</v>
      </c>
      <c r="J294" s="44" t="s">
        <v>19</v>
      </c>
      <c r="K294" s="45" t="s">
        <v>20</v>
      </c>
      <c r="L294" s="58" t="s">
        <v>33</v>
      </c>
      <c r="M294" s="45" t="s">
        <v>22</v>
      </c>
      <c r="N294" s="58" t="s">
        <v>35</v>
      </c>
      <c r="O294" s="53" t="s">
        <v>7</v>
      </c>
      <c r="P294" s="44" t="s">
        <v>19</v>
      </c>
      <c r="Q294" s="45" t="s">
        <v>20</v>
      </c>
      <c r="R294" s="58" t="s">
        <v>33</v>
      </c>
      <c r="S294" s="45" t="s">
        <v>22</v>
      </c>
      <c r="T294" s="58" t="s">
        <v>35</v>
      </c>
      <c r="U294" s="53" t="s">
        <v>7</v>
      </c>
    </row>
    <row r="295" s="122" customFormat="true" ht="17.25" hidden="false" customHeight="false" outlineLevel="0" collapsed="false">
      <c r="A295" s="15" t="n">
        <v>46770</v>
      </c>
      <c r="B295" s="16" t="s">
        <v>14</v>
      </c>
      <c r="C295" s="28"/>
      <c r="D295" s="44" t="s">
        <v>25</v>
      </c>
      <c r="E295" s="45" t="s">
        <v>26</v>
      </c>
      <c r="F295" s="45" t="s">
        <v>27</v>
      </c>
      <c r="G295" s="58" t="s">
        <v>44</v>
      </c>
      <c r="H295" s="45" t="s">
        <v>29</v>
      </c>
      <c r="I295" s="74" t="s">
        <v>12</v>
      </c>
      <c r="J295" s="44" t="s">
        <v>25</v>
      </c>
      <c r="K295" s="45" t="s">
        <v>26</v>
      </c>
      <c r="L295" s="45" t="s">
        <v>27</v>
      </c>
      <c r="M295" s="58" t="s">
        <v>44</v>
      </c>
      <c r="N295" s="45" t="s">
        <v>29</v>
      </c>
      <c r="O295" s="75" t="s">
        <v>12</v>
      </c>
      <c r="P295" s="44" t="s">
        <v>25</v>
      </c>
      <c r="Q295" s="45" t="s">
        <v>26</v>
      </c>
      <c r="R295" s="45" t="s">
        <v>27</v>
      </c>
      <c r="S295" s="58" t="s">
        <v>44</v>
      </c>
      <c r="T295" s="45" t="s">
        <v>29</v>
      </c>
      <c r="U295" s="75" t="s">
        <v>12</v>
      </c>
    </row>
    <row r="296" s="122" customFormat="true" ht="17.25" hidden="false" customHeight="false" outlineLevel="0" collapsed="false">
      <c r="A296" s="15" t="n">
        <v>46771</v>
      </c>
      <c r="B296" s="16" t="s">
        <v>17</v>
      </c>
      <c r="C296" s="30" t="s">
        <v>150</v>
      </c>
      <c r="D296" s="68" t="s">
        <v>41</v>
      </c>
      <c r="E296" s="45" t="s">
        <v>32</v>
      </c>
      <c r="F296" s="58" t="s">
        <v>11</v>
      </c>
      <c r="G296" s="45" t="s">
        <v>34</v>
      </c>
      <c r="H296" s="45" t="s">
        <v>35</v>
      </c>
      <c r="I296" s="74" t="s">
        <v>12</v>
      </c>
      <c r="J296" s="22"/>
      <c r="K296" s="23"/>
      <c r="L296" s="23"/>
      <c r="M296" s="23"/>
      <c r="N296" s="23"/>
      <c r="O296" s="25"/>
      <c r="P296" s="68" t="s">
        <v>41</v>
      </c>
      <c r="Q296" s="45" t="s">
        <v>32</v>
      </c>
      <c r="R296" s="58" t="s">
        <v>11</v>
      </c>
      <c r="S296" s="23"/>
      <c r="T296" s="23"/>
      <c r="U296" s="25"/>
    </row>
    <row r="297" customFormat="false" ht="17.25" hidden="false" customHeight="false" outlineLevel="0" collapsed="false">
      <c r="A297" s="15" t="n">
        <v>46772</v>
      </c>
      <c r="B297" s="16" t="s">
        <v>6</v>
      </c>
      <c r="C297" s="30" t="s">
        <v>151</v>
      </c>
      <c r="D297" s="44" t="s">
        <v>36</v>
      </c>
      <c r="E297" s="58" t="s">
        <v>26</v>
      </c>
      <c r="F297" s="45" t="s">
        <v>38</v>
      </c>
      <c r="G297" s="45" t="s">
        <v>39</v>
      </c>
      <c r="H297" s="58" t="s">
        <v>29</v>
      </c>
      <c r="I297" s="24"/>
      <c r="J297" s="76"/>
      <c r="K297" s="56"/>
      <c r="L297" s="56"/>
      <c r="M297" s="56"/>
      <c r="N297" s="56"/>
      <c r="O297" s="78"/>
      <c r="P297" s="44" t="s">
        <v>36</v>
      </c>
      <c r="Q297" s="58" t="s">
        <v>26</v>
      </c>
      <c r="R297" s="45" t="s">
        <v>38</v>
      </c>
      <c r="S297" s="23"/>
      <c r="T297" s="23"/>
      <c r="U297" s="25"/>
    </row>
    <row r="298" customFormat="false" ht="17.25" hidden="false" customHeight="false" outlineLevel="0" collapsed="false">
      <c r="A298" s="15" t="n">
        <v>46773</v>
      </c>
      <c r="B298" s="16" t="s">
        <v>8</v>
      </c>
      <c r="C298" s="30" t="s">
        <v>152</v>
      </c>
      <c r="D298" s="91" t="s">
        <v>19</v>
      </c>
      <c r="E298" s="105" t="s">
        <v>20</v>
      </c>
      <c r="F298" s="58" t="s">
        <v>21</v>
      </c>
      <c r="G298" s="45" t="s">
        <v>44</v>
      </c>
      <c r="H298" s="45" t="s">
        <v>45</v>
      </c>
      <c r="I298" s="52" t="s">
        <v>12</v>
      </c>
      <c r="J298" s="133" t="s">
        <v>19</v>
      </c>
      <c r="K298" s="77" t="s">
        <v>20</v>
      </c>
      <c r="L298" s="77" t="s">
        <v>21</v>
      </c>
      <c r="M298" s="56" t="s">
        <v>44</v>
      </c>
      <c r="N298" s="56" t="s">
        <v>45</v>
      </c>
      <c r="O298" s="79" t="s">
        <v>12</v>
      </c>
      <c r="P298" s="91" t="s">
        <v>19</v>
      </c>
      <c r="Q298" s="105" t="s">
        <v>20</v>
      </c>
      <c r="R298" s="58" t="s">
        <v>21</v>
      </c>
      <c r="S298" s="50"/>
      <c r="T298" s="50"/>
      <c r="U298" s="51"/>
    </row>
    <row r="299" customFormat="false" ht="17.25" hidden="false" customHeight="false" outlineLevel="0" collapsed="false">
      <c r="A299" s="26" t="n">
        <v>46774</v>
      </c>
      <c r="B299" s="27" t="s">
        <v>10</v>
      </c>
      <c r="C299" s="17"/>
      <c r="D299" s="22"/>
      <c r="E299" s="24"/>
      <c r="F299" s="23"/>
      <c r="G299" s="23"/>
      <c r="H299" s="23"/>
      <c r="I299" s="24"/>
      <c r="J299" s="22"/>
      <c r="K299" s="24"/>
      <c r="L299" s="23"/>
      <c r="M299" s="23"/>
      <c r="N299" s="23"/>
      <c r="O299" s="25"/>
      <c r="P299" s="22"/>
      <c r="Q299" s="24"/>
      <c r="R299" s="23"/>
      <c r="S299" s="23"/>
      <c r="T299" s="23"/>
      <c r="U299" s="25"/>
    </row>
    <row r="300" customFormat="false" ht="17.25" hidden="false" customHeight="false" outlineLevel="0" collapsed="false">
      <c r="A300" s="26" t="n">
        <v>46775</v>
      </c>
      <c r="B300" s="27" t="s">
        <v>4</v>
      </c>
      <c r="C300" s="17" t="s">
        <v>153</v>
      </c>
      <c r="D300" s="22"/>
      <c r="E300" s="23"/>
      <c r="F300" s="23"/>
      <c r="G300" s="23"/>
      <c r="H300" s="23"/>
      <c r="I300" s="24"/>
      <c r="J300" s="22"/>
      <c r="K300" s="23"/>
      <c r="L300" s="23"/>
      <c r="M300" s="23"/>
      <c r="N300" s="23"/>
      <c r="O300" s="25"/>
      <c r="P300" s="22"/>
      <c r="Q300" s="23"/>
      <c r="R300" s="23"/>
      <c r="S300" s="23"/>
      <c r="T300" s="23"/>
      <c r="U300" s="25"/>
    </row>
    <row r="301" customFormat="false" ht="17.25" hidden="false" customHeight="false" outlineLevel="0" collapsed="false">
      <c r="A301" s="15" t="n">
        <v>46776</v>
      </c>
      <c r="B301" s="16" t="s">
        <v>3</v>
      </c>
      <c r="C301" s="30" t="s">
        <v>154</v>
      </c>
      <c r="D301" s="68" t="s">
        <v>25</v>
      </c>
      <c r="E301" s="45" t="s">
        <v>20</v>
      </c>
      <c r="F301" s="45" t="s">
        <v>21</v>
      </c>
      <c r="G301" s="58" t="s">
        <v>28</v>
      </c>
      <c r="H301" s="58" t="s">
        <v>29</v>
      </c>
      <c r="I301" s="74" t="s">
        <v>9</v>
      </c>
      <c r="J301" s="68" t="s">
        <v>25</v>
      </c>
      <c r="K301" s="45" t="s">
        <v>20</v>
      </c>
      <c r="L301" s="45" t="s">
        <v>21</v>
      </c>
      <c r="M301" s="58" t="s">
        <v>28</v>
      </c>
      <c r="N301" s="58" t="s">
        <v>29</v>
      </c>
      <c r="O301" s="75" t="s">
        <v>9</v>
      </c>
      <c r="P301" s="22"/>
      <c r="Q301" s="23"/>
      <c r="R301" s="23"/>
      <c r="S301" s="23"/>
      <c r="T301" s="23"/>
      <c r="U301" s="25"/>
    </row>
    <row r="302" s="122" customFormat="true" ht="17.25" hidden="false" customHeight="false" outlineLevel="0" collapsed="false">
      <c r="A302" s="15" t="n">
        <v>46777</v>
      </c>
      <c r="B302" s="16" t="s">
        <v>14</v>
      </c>
      <c r="C302" s="134" t="s">
        <v>155</v>
      </c>
      <c r="D302" s="44" t="s">
        <v>25</v>
      </c>
      <c r="E302" s="58" t="s">
        <v>37</v>
      </c>
      <c r="F302" s="58" t="s">
        <v>38</v>
      </c>
      <c r="G302" s="45" t="s">
        <v>28</v>
      </c>
      <c r="H302" s="58" t="s">
        <v>40</v>
      </c>
      <c r="I302" s="52" t="s">
        <v>9</v>
      </c>
      <c r="J302" s="44" t="s">
        <v>25</v>
      </c>
      <c r="K302" s="58" t="s">
        <v>37</v>
      </c>
      <c r="L302" s="58" t="s">
        <v>38</v>
      </c>
      <c r="M302" s="45" t="s">
        <v>28</v>
      </c>
      <c r="N302" s="58" t="s">
        <v>40</v>
      </c>
      <c r="O302" s="53" t="s">
        <v>9</v>
      </c>
      <c r="P302" s="76" t="s">
        <v>25</v>
      </c>
      <c r="Q302" s="77" t="s">
        <v>37</v>
      </c>
      <c r="R302" s="77" t="s">
        <v>38</v>
      </c>
      <c r="S302" s="56" t="s">
        <v>28</v>
      </c>
      <c r="T302" s="77" t="s">
        <v>40</v>
      </c>
      <c r="U302" s="53" t="s">
        <v>9</v>
      </c>
    </row>
    <row r="303" s="122" customFormat="true" ht="17.25" hidden="false" customHeight="false" outlineLevel="0" collapsed="false">
      <c r="A303" s="15" t="n">
        <v>46778</v>
      </c>
      <c r="B303" s="16" t="s">
        <v>17</v>
      </c>
      <c r="C303" s="30" t="s">
        <v>156</v>
      </c>
      <c r="D303" s="44" t="s">
        <v>31</v>
      </c>
      <c r="E303" s="45" t="s">
        <v>32</v>
      </c>
      <c r="F303" s="58" t="s">
        <v>43</v>
      </c>
      <c r="G303" s="45" t="s">
        <v>34</v>
      </c>
      <c r="H303" s="58" t="s">
        <v>45</v>
      </c>
      <c r="I303" s="52" t="s">
        <v>11</v>
      </c>
      <c r="J303" s="44" t="s">
        <v>31</v>
      </c>
      <c r="K303" s="45" t="s">
        <v>32</v>
      </c>
      <c r="L303" s="58" t="s">
        <v>43</v>
      </c>
      <c r="M303" s="45" t="s">
        <v>34</v>
      </c>
      <c r="N303" s="58" t="s">
        <v>45</v>
      </c>
      <c r="O303" s="53" t="s">
        <v>11</v>
      </c>
      <c r="P303" s="44" t="s">
        <v>31</v>
      </c>
      <c r="Q303" s="45" t="s">
        <v>32</v>
      </c>
      <c r="R303" s="58" t="s">
        <v>43</v>
      </c>
      <c r="S303" s="45" t="s">
        <v>34</v>
      </c>
      <c r="T303" s="58" t="s">
        <v>45</v>
      </c>
      <c r="U303" s="53" t="s">
        <v>11</v>
      </c>
    </row>
    <row r="304" customFormat="false" ht="17.25" hidden="false" customHeight="false" outlineLevel="0" collapsed="false">
      <c r="A304" s="15" t="n">
        <v>46779</v>
      </c>
      <c r="B304" s="16" t="s">
        <v>6</v>
      </c>
      <c r="C304" s="28"/>
      <c r="D304" s="44" t="s">
        <v>36</v>
      </c>
      <c r="E304" s="45" t="s">
        <v>37</v>
      </c>
      <c r="F304" s="58" t="s">
        <v>33</v>
      </c>
      <c r="G304" s="45" t="s">
        <v>39</v>
      </c>
      <c r="H304" s="58" t="s">
        <v>35</v>
      </c>
      <c r="I304" s="24"/>
      <c r="J304" s="44" t="s">
        <v>36</v>
      </c>
      <c r="K304" s="45" t="s">
        <v>37</v>
      </c>
      <c r="L304" s="58" t="s">
        <v>33</v>
      </c>
      <c r="M304" s="45" t="s">
        <v>39</v>
      </c>
      <c r="N304" s="58" t="s">
        <v>35</v>
      </c>
      <c r="O304" s="25"/>
      <c r="P304" s="44" t="s">
        <v>36</v>
      </c>
      <c r="Q304" s="45" t="s">
        <v>37</v>
      </c>
      <c r="R304" s="58" t="s">
        <v>33</v>
      </c>
      <c r="S304" s="45" t="s">
        <v>39</v>
      </c>
      <c r="T304" s="58" t="s">
        <v>35</v>
      </c>
      <c r="U304" s="25"/>
    </row>
    <row r="305" customFormat="false" ht="17.25" hidden="false" customHeight="false" outlineLevel="0" collapsed="false">
      <c r="A305" s="15" t="n">
        <v>46780</v>
      </c>
      <c r="B305" s="16" t="s">
        <v>8</v>
      </c>
      <c r="C305" s="28"/>
      <c r="D305" s="70" t="s">
        <v>41</v>
      </c>
      <c r="E305" s="71" t="s">
        <v>42</v>
      </c>
      <c r="F305" s="58" t="s">
        <v>33</v>
      </c>
      <c r="G305" s="45" t="s">
        <v>44</v>
      </c>
      <c r="H305" s="58" t="s">
        <v>35</v>
      </c>
      <c r="I305" s="52" t="s">
        <v>12</v>
      </c>
      <c r="J305" s="70" t="s">
        <v>41</v>
      </c>
      <c r="K305" s="71" t="s">
        <v>42</v>
      </c>
      <c r="L305" s="58" t="s">
        <v>33</v>
      </c>
      <c r="M305" s="45" t="s">
        <v>44</v>
      </c>
      <c r="N305" s="58" t="s">
        <v>35</v>
      </c>
      <c r="O305" s="54" t="s">
        <v>12</v>
      </c>
      <c r="P305" s="70" t="s">
        <v>41</v>
      </c>
      <c r="Q305" s="71" t="s">
        <v>42</v>
      </c>
      <c r="R305" s="58" t="s">
        <v>33</v>
      </c>
      <c r="S305" s="45" t="s">
        <v>44</v>
      </c>
      <c r="T305" s="58" t="s">
        <v>35</v>
      </c>
      <c r="U305" s="53" t="s">
        <v>12</v>
      </c>
    </row>
    <row r="306" customFormat="false" ht="17.25" hidden="false" customHeight="false" outlineLevel="0" collapsed="false">
      <c r="A306" s="26" t="n">
        <v>46781</v>
      </c>
      <c r="B306" s="27" t="s">
        <v>10</v>
      </c>
      <c r="C306" s="17"/>
      <c r="D306" s="22"/>
      <c r="E306" s="24"/>
      <c r="F306" s="23"/>
      <c r="G306" s="23"/>
      <c r="H306" s="23"/>
      <c r="I306" s="24"/>
      <c r="J306" s="22"/>
      <c r="K306" s="24"/>
      <c r="L306" s="23"/>
      <c r="M306" s="23"/>
      <c r="N306" s="23"/>
      <c r="O306" s="25"/>
      <c r="P306" s="22"/>
      <c r="Q306" s="24"/>
      <c r="R306" s="23"/>
      <c r="S306" s="23"/>
      <c r="T306" s="23"/>
      <c r="U306" s="25"/>
    </row>
    <row r="307" customFormat="false" ht="17.25" hidden="false" customHeight="false" outlineLevel="0" collapsed="false">
      <c r="A307" s="26" t="n">
        <v>46782</v>
      </c>
      <c r="B307" s="27" t="s">
        <v>4</v>
      </c>
      <c r="C307" s="17"/>
      <c r="D307" s="22"/>
      <c r="E307" s="23"/>
      <c r="F307" s="23"/>
      <c r="G307" s="23"/>
      <c r="H307" s="23"/>
      <c r="I307" s="24"/>
      <c r="J307" s="22"/>
      <c r="K307" s="23"/>
      <c r="L307" s="23"/>
      <c r="M307" s="23"/>
      <c r="N307" s="23"/>
      <c r="O307" s="25"/>
      <c r="P307" s="22"/>
      <c r="Q307" s="23"/>
      <c r="R307" s="23"/>
      <c r="S307" s="23"/>
      <c r="T307" s="23"/>
      <c r="U307" s="25"/>
    </row>
    <row r="308" customFormat="false" ht="18" hidden="false" customHeight="true" outlineLevel="0" collapsed="false">
      <c r="A308" s="15" t="n">
        <v>46783</v>
      </c>
      <c r="B308" s="16" t="s">
        <v>3</v>
      </c>
      <c r="C308" s="28"/>
      <c r="D308" s="135" t="s">
        <v>19</v>
      </c>
      <c r="E308" s="136" t="s">
        <v>42</v>
      </c>
      <c r="F308" s="137" t="s">
        <v>21</v>
      </c>
      <c r="G308" s="137" t="s">
        <v>22</v>
      </c>
      <c r="H308" s="137" t="s">
        <v>23</v>
      </c>
      <c r="I308" s="138" t="s">
        <v>7</v>
      </c>
      <c r="J308" s="135" t="s">
        <v>19</v>
      </c>
      <c r="K308" s="136" t="s">
        <v>42</v>
      </c>
      <c r="L308" s="137" t="s">
        <v>21</v>
      </c>
      <c r="M308" s="137" t="s">
        <v>22</v>
      </c>
      <c r="N308" s="137" t="s">
        <v>23</v>
      </c>
      <c r="O308" s="139" t="s">
        <v>7</v>
      </c>
      <c r="P308" s="135" t="s">
        <v>19</v>
      </c>
      <c r="Q308" s="136" t="s">
        <v>42</v>
      </c>
      <c r="R308" s="137" t="s">
        <v>21</v>
      </c>
      <c r="S308" s="137" t="s">
        <v>22</v>
      </c>
      <c r="T308" s="137" t="s">
        <v>23</v>
      </c>
      <c r="U308" s="109" t="s">
        <v>7</v>
      </c>
    </row>
    <row r="309" s="122" customFormat="true" ht="17.25" hidden="false" customHeight="false" outlineLevel="0" collapsed="false">
      <c r="A309" s="15" t="n">
        <v>46784</v>
      </c>
      <c r="B309" s="16" t="s">
        <v>14</v>
      </c>
      <c r="C309" s="28"/>
      <c r="D309" s="112" t="s">
        <v>31</v>
      </c>
      <c r="E309" s="112" t="s">
        <v>32</v>
      </c>
      <c r="F309" s="111" t="s">
        <v>27</v>
      </c>
      <c r="G309" s="112" t="s">
        <v>34</v>
      </c>
      <c r="H309" s="111" t="s">
        <v>29</v>
      </c>
      <c r="I309" s="140" t="s">
        <v>11</v>
      </c>
      <c r="J309" s="141" t="s">
        <v>31</v>
      </c>
      <c r="K309" s="112" t="s">
        <v>32</v>
      </c>
      <c r="L309" s="111" t="s">
        <v>27</v>
      </c>
      <c r="M309" s="112" t="s">
        <v>34</v>
      </c>
      <c r="N309" s="111" t="s">
        <v>29</v>
      </c>
      <c r="O309" s="140" t="s">
        <v>11</v>
      </c>
      <c r="P309" s="141" t="s">
        <v>31</v>
      </c>
      <c r="Q309" s="112" t="s">
        <v>32</v>
      </c>
      <c r="R309" s="111" t="s">
        <v>27</v>
      </c>
      <c r="S309" s="112" t="s">
        <v>34</v>
      </c>
      <c r="T309" s="111" t="s">
        <v>29</v>
      </c>
      <c r="U309" s="140" t="s">
        <v>11</v>
      </c>
    </row>
    <row r="310" s="122" customFormat="true" ht="17.25" hidden="false" customHeight="false" outlineLevel="0" collapsed="false">
      <c r="A310" s="15" t="n">
        <v>46785</v>
      </c>
      <c r="B310" s="16" t="s">
        <v>17</v>
      </c>
      <c r="C310" s="30" t="s">
        <v>157</v>
      </c>
      <c r="D310" s="68" t="s">
        <v>36</v>
      </c>
      <c r="E310" s="58" t="s">
        <v>37</v>
      </c>
      <c r="F310" s="58" t="s">
        <v>38</v>
      </c>
      <c r="G310" s="58" t="s">
        <v>39</v>
      </c>
      <c r="H310" s="45" t="s">
        <v>35</v>
      </c>
      <c r="I310" s="52" t="s">
        <v>11</v>
      </c>
      <c r="J310" s="68" t="s">
        <v>36</v>
      </c>
      <c r="K310" s="58" t="s">
        <v>37</v>
      </c>
      <c r="L310" s="58" t="s">
        <v>38</v>
      </c>
      <c r="M310" s="58" t="s">
        <v>39</v>
      </c>
      <c r="N310" s="45" t="s">
        <v>35</v>
      </c>
      <c r="O310" s="53" t="s">
        <v>11</v>
      </c>
      <c r="P310" s="68" t="s">
        <v>36</v>
      </c>
      <c r="Q310" s="58" t="s">
        <v>37</v>
      </c>
      <c r="R310" s="58" t="s">
        <v>38</v>
      </c>
      <c r="S310" s="58" t="s">
        <v>39</v>
      </c>
      <c r="T310" s="45" t="s">
        <v>35</v>
      </c>
      <c r="U310" s="53" t="s">
        <v>11</v>
      </c>
    </row>
    <row r="311" customFormat="false" ht="17.25" hidden="false" customHeight="false" outlineLevel="0" collapsed="false">
      <c r="A311" s="15" t="n">
        <v>46786</v>
      </c>
      <c r="B311" s="16" t="s">
        <v>6</v>
      </c>
      <c r="C311" s="30" t="s">
        <v>158</v>
      </c>
      <c r="D311" s="68" t="s">
        <v>41</v>
      </c>
      <c r="E311" s="58" t="s">
        <v>42</v>
      </c>
      <c r="F311" s="45" t="s">
        <v>38</v>
      </c>
      <c r="G311" s="58" t="s">
        <v>44</v>
      </c>
      <c r="H311" s="45" t="s">
        <v>40</v>
      </c>
      <c r="I311" s="24"/>
      <c r="J311" s="68" t="s">
        <v>41</v>
      </c>
      <c r="K311" s="58" t="s">
        <v>42</v>
      </c>
      <c r="L311" s="45" t="s">
        <v>38</v>
      </c>
      <c r="M311" s="58" t="s">
        <v>44</v>
      </c>
      <c r="N311" s="45" t="s">
        <v>40</v>
      </c>
      <c r="O311" s="25"/>
      <c r="P311" s="68" t="s">
        <v>41</v>
      </c>
      <c r="Q311" s="58" t="s">
        <v>42</v>
      </c>
      <c r="R311" s="45" t="s">
        <v>38</v>
      </c>
      <c r="S311" s="58" t="s">
        <v>44</v>
      </c>
      <c r="T311" s="45" t="s">
        <v>40</v>
      </c>
      <c r="U311" s="25"/>
    </row>
    <row r="312" customFormat="false" ht="17.25" hidden="false" customHeight="false" outlineLevel="0" collapsed="false">
      <c r="A312" s="15" t="n">
        <v>46787</v>
      </c>
      <c r="B312" s="16" t="s">
        <v>8</v>
      </c>
      <c r="C312" s="28"/>
      <c r="D312" s="70" t="s">
        <v>41</v>
      </c>
      <c r="E312" s="105" t="s">
        <v>26</v>
      </c>
      <c r="F312" s="45" t="s">
        <v>43</v>
      </c>
      <c r="G312" s="58" t="s">
        <v>28</v>
      </c>
      <c r="H312" s="45" t="s">
        <v>45</v>
      </c>
      <c r="I312" s="74" t="s">
        <v>9</v>
      </c>
      <c r="J312" s="70" t="s">
        <v>41</v>
      </c>
      <c r="K312" s="105" t="s">
        <v>26</v>
      </c>
      <c r="L312" s="45" t="s">
        <v>43</v>
      </c>
      <c r="M312" s="58" t="s">
        <v>28</v>
      </c>
      <c r="N312" s="45" t="s">
        <v>45</v>
      </c>
      <c r="O312" s="75" t="s">
        <v>9</v>
      </c>
      <c r="P312" s="70" t="s">
        <v>41</v>
      </c>
      <c r="Q312" s="105" t="s">
        <v>26</v>
      </c>
      <c r="R312" s="45" t="s">
        <v>43</v>
      </c>
      <c r="S312" s="58" t="s">
        <v>28</v>
      </c>
      <c r="T312" s="45" t="s">
        <v>45</v>
      </c>
      <c r="U312" s="75" t="s">
        <v>9</v>
      </c>
    </row>
    <row r="313" customFormat="false" ht="17.25" hidden="false" customHeight="false" outlineLevel="0" collapsed="false">
      <c r="A313" s="26" t="n">
        <v>46788</v>
      </c>
      <c r="B313" s="27" t="s">
        <v>10</v>
      </c>
      <c r="C313" s="17"/>
      <c r="D313" s="22"/>
      <c r="E313" s="24"/>
      <c r="F313" s="23"/>
      <c r="G313" s="23"/>
      <c r="H313" s="23"/>
      <c r="I313" s="24"/>
      <c r="J313" s="22"/>
      <c r="K313" s="24"/>
      <c r="L313" s="23"/>
      <c r="M313" s="23"/>
      <c r="N313" s="23"/>
      <c r="O313" s="25"/>
      <c r="P313" s="22"/>
      <c r="Q313" s="24"/>
      <c r="R313" s="23"/>
      <c r="S313" s="23"/>
      <c r="T313" s="23"/>
      <c r="U313" s="25"/>
    </row>
    <row r="314" customFormat="false" ht="17.25" hidden="false" customHeight="false" outlineLevel="0" collapsed="false">
      <c r="A314" s="26" t="n">
        <v>46789</v>
      </c>
      <c r="B314" s="27" t="s">
        <v>4</v>
      </c>
      <c r="C314" s="17"/>
      <c r="D314" s="22"/>
      <c r="E314" s="23"/>
      <c r="F314" s="23"/>
      <c r="G314" s="23"/>
      <c r="H314" s="23"/>
      <c r="I314" s="24"/>
      <c r="J314" s="22"/>
      <c r="K314" s="23"/>
      <c r="L314" s="23"/>
      <c r="M314" s="23"/>
      <c r="N314" s="23"/>
      <c r="O314" s="25"/>
      <c r="P314" s="22"/>
      <c r="Q314" s="23"/>
      <c r="R314" s="23"/>
      <c r="S314" s="23"/>
      <c r="T314" s="23"/>
      <c r="U314" s="25"/>
    </row>
    <row r="315" customFormat="false" ht="17.25" hidden="false" customHeight="false" outlineLevel="0" collapsed="false">
      <c r="A315" s="15" t="n">
        <v>46790</v>
      </c>
      <c r="B315" s="16" t="s">
        <v>3</v>
      </c>
      <c r="C315" s="30" t="s">
        <v>159</v>
      </c>
      <c r="D315" s="44" t="s">
        <v>19</v>
      </c>
      <c r="E315" s="45" t="s">
        <v>20</v>
      </c>
      <c r="F315" s="58" t="s">
        <v>33</v>
      </c>
      <c r="G315" s="45" t="s">
        <v>22</v>
      </c>
      <c r="H315" s="45" t="s">
        <v>23</v>
      </c>
      <c r="I315" s="52" t="s">
        <v>7</v>
      </c>
      <c r="J315" s="44" t="s">
        <v>19</v>
      </c>
      <c r="K315" s="45" t="s">
        <v>20</v>
      </c>
      <c r="L315" s="58" t="s">
        <v>33</v>
      </c>
      <c r="M315" s="45" t="s">
        <v>22</v>
      </c>
      <c r="N315" s="45" t="s">
        <v>23</v>
      </c>
      <c r="O315" s="53" t="s">
        <v>7</v>
      </c>
      <c r="P315" s="44" t="s">
        <v>19</v>
      </c>
      <c r="Q315" s="45" t="s">
        <v>20</v>
      </c>
      <c r="R315" s="58" t="s">
        <v>33</v>
      </c>
      <c r="S315" s="45" t="s">
        <v>22</v>
      </c>
      <c r="T315" s="45" t="s">
        <v>23</v>
      </c>
      <c r="U315" s="53" t="s">
        <v>7</v>
      </c>
    </row>
    <row r="316" s="122" customFormat="true" ht="17.25" hidden="false" customHeight="false" outlineLevel="0" collapsed="false">
      <c r="A316" s="15" t="n">
        <v>46791</v>
      </c>
      <c r="B316" s="16" t="s">
        <v>14</v>
      </c>
      <c r="C316" s="28"/>
      <c r="D316" s="68" t="s">
        <v>31</v>
      </c>
      <c r="E316" s="58" t="s">
        <v>32</v>
      </c>
      <c r="F316" s="45" t="s">
        <v>27</v>
      </c>
      <c r="G316" s="58" t="s">
        <v>34</v>
      </c>
      <c r="H316" s="45" t="s">
        <v>29</v>
      </c>
      <c r="I316" s="53" t="s">
        <v>9</v>
      </c>
      <c r="J316" s="68" t="s">
        <v>31</v>
      </c>
      <c r="K316" s="58" t="s">
        <v>32</v>
      </c>
      <c r="L316" s="45" t="s">
        <v>27</v>
      </c>
      <c r="M316" s="58" t="s">
        <v>34</v>
      </c>
      <c r="N316" s="45" t="s">
        <v>29</v>
      </c>
      <c r="O316" s="53" t="s">
        <v>9</v>
      </c>
      <c r="P316" s="68" t="s">
        <v>31</v>
      </c>
      <c r="Q316" s="58" t="s">
        <v>32</v>
      </c>
      <c r="R316" s="45" t="s">
        <v>27</v>
      </c>
      <c r="S316" s="58" t="s">
        <v>34</v>
      </c>
      <c r="T316" s="45" t="s">
        <v>29</v>
      </c>
      <c r="U316" s="53" t="s">
        <v>9</v>
      </c>
    </row>
    <row r="317" s="122" customFormat="true" ht="17.25" hidden="false" customHeight="false" outlineLevel="0" collapsed="false">
      <c r="A317" s="15" t="n">
        <v>46792</v>
      </c>
      <c r="B317" s="16" t="s">
        <v>17</v>
      </c>
      <c r="C317" s="28"/>
      <c r="D317" s="68" t="s">
        <v>36</v>
      </c>
      <c r="E317" s="58" t="s">
        <v>37</v>
      </c>
      <c r="F317" s="45" t="s">
        <v>33</v>
      </c>
      <c r="G317" s="58" t="s">
        <v>39</v>
      </c>
      <c r="H317" s="45" t="s">
        <v>35</v>
      </c>
      <c r="I317" s="53" t="s">
        <v>11</v>
      </c>
      <c r="J317" s="68" t="s">
        <v>36</v>
      </c>
      <c r="K317" s="58" t="s">
        <v>37</v>
      </c>
      <c r="L317" s="45" t="s">
        <v>33</v>
      </c>
      <c r="M317" s="58" t="s">
        <v>39</v>
      </c>
      <c r="N317" s="45" t="s">
        <v>35</v>
      </c>
      <c r="O317" s="53" t="s">
        <v>11</v>
      </c>
      <c r="P317" s="68" t="s">
        <v>36</v>
      </c>
      <c r="Q317" s="58" t="s">
        <v>37</v>
      </c>
      <c r="R317" s="45" t="s">
        <v>33</v>
      </c>
      <c r="S317" s="58" t="s">
        <v>39</v>
      </c>
      <c r="T317" s="45" t="s">
        <v>35</v>
      </c>
      <c r="U317" s="53" t="s">
        <v>11</v>
      </c>
    </row>
    <row r="318" customFormat="false" ht="17.25" hidden="false" customHeight="false" outlineLevel="0" collapsed="false">
      <c r="A318" s="15" t="n">
        <v>46793</v>
      </c>
      <c r="B318" s="16" t="s">
        <v>6</v>
      </c>
      <c r="C318" s="30" t="s">
        <v>84</v>
      </c>
      <c r="D318" s="44" t="s">
        <v>36</v>
      </c>
      <c r="E318" s="45" t="s">
        <v>37</v>
      </c>
      <c r="F318" s="45" t="s">
        <v>38</v>
      </c>
      <c r="G318" s="58" t="s">
        <v>28</v>
      </c>
      <c r="H318" s="45" t="s">
        <v>40</v>
      </c>
      <c r="I318" s="24"/>
      <c r="J318" s="44" t="s">
        <v>36</v>
      </c>
      <c r="K318" s="45" t="s">
        <v>37</v>
      </c>
      <c r="L318" s="45" t="s">
        <v>38</v>
      </c>
      <c r="M318" s="58" t="s">
        <v>28</v>
      </c>
      <c r="N318" s="45" t="s">
        <v>40</v>
      </c>
      <c r="O318" s="25"/>
      <c r="P318" s="44" t="s">
        <v>36</v>
      </c>
      <c r="Q318" s="45" t="s">
        <v>37</v>
      </c>
      <c r="R318" s="45" t="s">
        <v>38</v>
      </c>
      <c r="S318" s="58" t="s">
        <v>28</v>
      </c>
      <c r="T318" s="45" t="s">
        <v>40</v>
      </c>
      <c r="U318" s="25"/>
    </row>
    <row r="319" s="122" customFormat="true" ht="17.25" hidden="false" customHeight="false" outlineLevel="0" collapsed="false">
      <c r="A319" s="26" t="n">
        <v>46794</v>
      </c>
      <c r="B319" s="27" t="s">
        <v>8</v>
      </c>
      <c r="C319" s="17" t="s">
        <v>160</v>
      </c>
      <c r="D319" s="22"/>
      <c r="E319" s="23"/>
      <c r="F319" s="23"/>
      <c r="G319" s="23"/>
      <c r="H319" s="23"/>
      <c r="I319" s="24"/>
      <c r="J319" s="22"/>
      <c r="K319" s="23"/>
      <c r="L319" s="23"/>
      <c r="M319" s="23"/>
      <c r="N319" s="23"/>
      <c r="O319" s="25"/>
      <c r="P319" s="22"/>
      <c r="Q319" s="23"/>
      <c r="R319" s="23"/>
      <c r="S319" s="23"/>
      <c r="T319" s="23"/>
      <c r="U319" s="25"/>
    </row>
    <row r="320" customFormat="false" ht="17.25" hidden="false" customHeight="false" outlineLevel="0" collapsed="false">
      <c r="A320" s="26" t="n">
        <v>46795</v>
      </c>
      <c r="B320" s="27" t="s">
        <v>10</v>
      </c>
      <c r="C320" s="17"/>
      <c r="D320" s="22"/>
      <c r="E320" s="24"/>
      <c r="F320" s="23"/>
      <c r="G320" s="23"/>
      <c r="H320" s="23"/>
      <c r="I320" s="24"/>
      <c r="J320" s="22"/>
      <c r="K320" s="24"/>
      <c r="L320" s="23"/>
      <c r="M320" s="23"/>
      <c r="N320" s="23"/>
      <c r="O320" s="25"/>
      <c r="P320" s="22"/>
      <c r="Q320" s="24"/>
      <c r="R320" s="23"/>
      <c r="S320" s="23"/>
      <c r="T320" s="23"/>
      <c r="U320" s="25"/>
    </row>
    <row r="321" customFormat="false" ht="17.25" hidden="false" customHeight="false" outlineLevel="0" collapsed="false">
      <c r="A321" s="26" t="n">
        <v>46796</v>
      </c>
      <c r="B321" s="27" t="s">
        <v>4</v>
      </c>
      <c r="C321" s="17" t="s">
        <v>79</v>
      </c>
      <c r="D321" s="22"/>
      <c r="E321" s="23"/>
      <c r="F321" s="23"/>
      <c r="G321" s="23"/>
      <c r="H321" s="23"/>
      <c r="I321" s="24"/>
      <c r="J321" s="22"/>
      <c r="K321" s="23"/>
      <c r="L321" s="23"/>
      <c r="M321" s="23"/>
      <c r="N321" s="23"/>
      <c r="O321" s="25"/>
      <c r="P321" s="22"/>
      <c r="Q321" s="23"/>
      <c r="R321" s="23"/>
      <c r="S321" s="23"/>
      <c r="T321" s="23"/>
      <c r="U321" s="25"/>
    </row>
    <row r="322" customFormat="false" ht="17.25" hidden="false" customHeight="false" outlineLevel="0" collapsed="false">
      <c r="A322" s="15" t="n">
        <v>46797</v>
      </c>
      <c r="B322" s="16" t="s">
        <v>3</v>
      </c>
      <c r="C322" s="30" t="s">
        <v>161</v>
      </c>
      <c r="D322" s="68" t="s">
        <v>25</v>
      </c>
      <c r="E322" s="58" t="s">
        <v>26</v>
      </c>
      <c r="F322" s="45" t="s">
        <v>21</v>
      </c>
      <c r="G322" s="45" t="s">
        <v>22</v>
      </c>
      <c r="H322" s="45" t="s">
        <v>23</v>
      </c>
      <c r="I322" s="52" t="s">
        <v>7</v>
      </c>
      <c r="J322" s="68" t="s">
        <v>25</v>
      </c>
      <c r="K322" s="58" t="s">
        <v>26</v>
      </c>
      <c r="L322" s="45" t="s">
        <v>21</v>
      </c>
      <c r="M322" s="45" t="s">
        <v>22</v>
      </c>
      <c r="N322" s="45" t="s">
        <v>23</v>
      </c>
      <c r="O322" s="53" t="s">
        <v>7</v>
      </c>
      <c r="P322" s="68" t="s">
        <v>25</v>
      </c>
      <c r="Q322" s="58" t="s">
        <v>26</v>
      </c>
      <c r="R322" s="45" t="s">
        <v>21</v>
      </c>
      <c r="S322" s="45" t="s">
        <v>22</v>
      </c>
      <c r="T322" s="45" t="s">
        <v>23</v>
      </c>
      <c r="U322" s="53" t="s">
        <v>7</v>
      </c>
    </row>
    <row r="323" s="122" customFormat="true" ht="17.25" hidden="false" customHeight="false" outlineLevel="0" collapsed="false">
      <c r="A323" s="15" t="n">
        <v>46798</v>
      </c>
      <c r="B323" s="16" t="s">
        <v>14</v>
      </c>
      <c r="C323" s="134" t="s">
        <v>162</v>
      </c>
      <c r="D323" s="68" t="s">
        <v>31</v>
      </c>
      <c r="E323" s="58" t="s">
        <v>32</v>
      </c>
      <c r="F323" s="45" t="s">
        <v>27</v>
      </c>
      <c r="G323" s="58" t="s">
        <v>34</v>
      </c>
      <c r="H323" s="45" t="s">
        <v>29</v>
      </c>
      <c r="I323" s="74" t="s">
        <v>11</v>
      </c>
      <c r="J323" s="68" t="s">
        <v>31</v>
      </c>
      <c r="K323" s="58" t="s">
        <v>32</v>
      </c>
      <c r="L323" s="45" t="s">
        <v>27</v>
      </c>
      <c r="M323" s="58" t="s">
        <v>34</v>
      </c>
      <c r="N323" s="45" t="s">
        <v>29</v>
      </c>
      <c r="O323" s="75" t="s">
        <v>11</v>
      </c>
      <c r="P323" s="68" t="s">
        <v>31</v>
      </c>
      <c r="Q323" s="58" t="s">
        <v>32</v>
      </c>
      <c r="R323" s="45" t="s">
        <v>27</v>
      </c>
      <c r="S323" s="58" t="s">
        <v>34</v>
      </c>
      <c r="T323" s="45" t="s">
        <v>29</v>
      </c>
      <c r="U323" s="75" t="s">
        <v>11</v>
      </c>
    </row>
    <row r="324" s="122" customFormat="true" ht="17.25" hidden="false" customHeight="false" outlineLevel="0" collapsed="false">
      <c r="A324" s="15" t="n">
        <v>46799</v>
      </c>
      <c r="B324" s="16" t="s">
        <v>17</v>
      </c>
      <c r="C324" s="30" t="s">
        <v>163</v>
      </c>
      <c r="D324" s="68" t="s">
        <v>41</v>
      </c>
      <c r="E324" s="58" t="s">
        <v>42</v>
      </c>
      <c r="F324" s="58" t="s">
        <v>43</v>
      </c>
      <c r="G324" s="58" t="s">
        <v>44</v>
      </c>
      <c r="H324" s="58" t="s">
        <v>45</v>
      </c>
      <c r="I324" s="74" t="s">
        <v>12</v>
      </c>
      <c r="J324" s="68" t="s">
        <v>41</v>
      </c>
      <c r="K324" s="58" t="s">
        <v>42</v>
      </c>
      <c r="L324" s="58" t="s">
        <v>43</v>
      </c>
      <c r="M324" s="58" t="s">
        <v>44</v>
      </c>
      <c r="N324" s="58" t="s">
        <v>45</v>
      </c>
      <c r="O324" s="75" t="s">
        <v>12</v>
      </c>
      <c r="P324" s="68" t="s">
        <v>41</v>
      </c>
      <c r="Q324" s="58" t="s">
        <v>42</v>
      </c>
      <c r="R324" s="58" t="s">
        <v>43</v>
      </c>
      <c r="S324" s="58" t="s">
        <v>44</v>
      </c>
      <c r="T324" s="58" t="s">
        <v>45</v>
      </c>
      <c r="U324" s="75" t="s">
        <v>12</v>
      </c>
    </row>
    <row r="325" s="73" customFormat="true" ht="17.25" hidden="false" customHeight="false" outlineLevel="0" collapsed="false">
      <c r="A325" s="15" t="n">
        <v>46800</v>
      </c>
      <c r="B325" s="16" t="s">
        <v>6</v>
      </c>
      <c r="C325" s="30" t="s">
        <v>164</v>
      </c>
      <c r="D325" s="22"/>
      <c r="E325" s="23"/>
      <c r="F325" s="23"/>
      <c r="G325" s="23"/>
      <c r="H325" s="23"/>
      <c r="I325" s="24"/>
      <c r="J325" s="22"/>
      <c r="K325" s="23"/>
      <c r="L325" s="23"/>
      <c r="M325" s="23"/>
      <c r="N325" s="23"/>
      <c r="O325" s="25"/>
      <c r="P325" s="68" t="s">
        <v>19</v>
      </c>
      <c r="Q325" s="58" t="s">
        <v>20</v>
      </c>
      <c r="R325" s="58" t="s">
        <v>21</v>
      </c>
      <c r="S325" s="45" t="s">
        <v>39</v>
      </c>
      <c r="T325" s="45" t="s">
        <v>40</v>
      </c>
      <c r="U325" s="25"/>
      <c r="X325" s="142" t="s">
        <v>19</v>
      </c>
      <c r="Y325" s="142" t="s">
        <v>20</v>
      </c>
      <c r="Z325" s="142" t="s">
        <v>21</v>
      </c>
      <c r="AA325" s="142" t="s">
        <v>22</v>
      </c>
      <c r="AB325" s="142" t="s">
        <v>23</v>
      </c>
      <c r="AC325" s="142" t="s">
        <v>7</v>
      </c>
      <c r="AD325" s="142" t="s">
        <v>19</v>
      </c>
      <c r="AE325" s="142" t="s">
        <v>20</v>
      </c>
      <c r="AF325" s="142" t="s">
        <v>21</v>
      </c>
      <c r="AG325" s="142" t="s">
        <v>22</v>
      </c>
      <c r="AH325" s="142" t="s">
        <v>23</v>
      </c>
      <c r="AI325" s="142" t="s">
        <v>7</v>
      </c>
      <c r="AJ325" s="142" t="s">
        <v>19</v>
      </c>
      <c r="AK325" s="142" t="s">
        <v>20</v>
      </c>
      <c r="AL325" s="142" t="s">
        <v>21</v>
      </c>
      <c r="AM325" s="142" t="s">
        <v>22</v>
      </c>
      <c r="AN325" s="142" t="s">
        <v>23</v>
      </c>
      <c r="AO325" s="142" t="s">
        <v>7</v>
      </c>
    </row>
    <row r="326" customFormat="false" ht="17.25" hidden="false" customHeight="false" outlineLevel="0" collapsed="false">
      <c r="A326" s="15" t="n">
        <v>46801</v>
      </c>
      <c r="B326" s="16" t="s">
        <v>8</v>
      </c>
      <c r="C326" s="30" t="s">
        <v>165</v>
      </c>
      <c r="D326" s="22"/>
      <c r="E326" s="23"/>
      <c r="F326" s="23"/>
      <c r="G326" s="23"/>
      <c r="H326" s="23"/>
      <c r="I326" s="24"/>
      <c r="J326" s="22"/>
      <c r="K326" s="23"/>
      <c r="L326" s="23"/>
      <c r="M326" s="23"/>
      <c r="N326" s="23"/>
      <c r="O326" s="25"/>
      <c r="P326" s="68" t="s">
        <v>25</v>
      </c>
      <c r="Q326" s="58" t="s">
        <v>12</v>
      </c>
      <c r="R326" s="45" t="s">
        <v>43</v>
      </c>
      <c r="S326" s="45" t="s">
        <v>44</v>
      </c>
      <c r="T326" s="45" t="s">
        <v>45</v>
      </c>
      <c r="U326" s="75" t="s">
        <v>9</v>
      </c>
      <c r="X326" s="29" t="s">
        <v>25</v>
      </c>
      <c r="Y326" s="29" t="s">
        <v>26</v>
      </c>
      <c r="Z326" s="29" t="s">
        <v>27</v>
      </c>
      <c r="AA326" s="29" t="s">
        <v>28</v>
      </c>
      <c r="AB326" s="29" t="s">
        <v>29</v>
      </c>
      <c r="AC326" s="29" t="s">
        <v>9</v>
      </c>
      <c r="AD326" s="29" t="s">
        <v>25</v>
      </c>
      <c r="AE326" s="29" t="s">
        <v>26</v>
      </c>
      <c r="AF326" s="29" t="s">
        <v>27</v>
      </c>
      <c r="AG326" s="29" t="s">
        <v>28</v>
      </c>
      <c r="AH326" s="29" t="s">
        <v>29</v>
      </c>
      <c r="AI326" s="29" t="s">
        <v>9</v>
      </c>
      <c r="AJ326" s="29" t="s">
        <v>25</v>
      </c>
      <c r="AK326" s="29" t="s">
        <v>26</v>
      </c>
      <c r="AL326" s="29" t="s">
        <v>27</v>
      </c>
      <c r="AM326" s="29" t="s">
        <v>28</v>
      </c>
      <c r="AN326" s="29" t="s">
        <v>29</v>
      </c>
      <c r="AO326" s="29" t="s">
        <v>9</v>
      </c>
    </row>
    <row r="327" customFormat="false" ht="17.25" hidden="false" customHeight="false" outlineLevel="0" collapsed="false">
      <c r="A327" s="26" t="n">
        <v>46802</v>
      </c>
      <c r="B327" s="27" t="s">
        <v>10</v>
      </c>
      <c r="C327" s="17"/>
      <c r="D327" s="22"/>
      <c r="E327" s="23"/>
      <c r="F327" s="23"/>
      <c r="G327" s="23"/>
      <c r="H327" s="23"/>
      <c r="I327" s="24"/>
      <c r="J327" s="22"/>
      <c r="K327" s="23"/>
      <c r="L327" s="23"/>
      <c r="M327" s="23"/>
      <c r="N327" s="23"/>
      <c r="O327" s="25"/>
      <c r="P327" s="22"/>
      <c r="Q327" s="23"/>
      <c r="R327" s="23"/>
      <c r="S327" s="23"/>
      <c r="T327" s="23"/>
      <c r="U327" s="25"/>
      <c r="X327" s="29" t="s">
        <v>31</v>
      </c>
      <c r="Y327" s="29" t="s">
        <v>32</v>
      </c>
      <c r="Z327" s="29" t="s">
        <v>33</v>
      </c>
      <c r="AA327" s="29" t="s">
        <v>34</v>
      </c>
      <c r="AB327" s="29" t="s">
        <v>35</v>
      </c>
      <c r="AC327" s="29" t="s">
        <v>11</v>
      </c>
      <c r="AD327" s="29" t="s">
        <v>31</v>
      </c>
      <c r="AE327" s="29" t="s">
        <v>32</v>
      </c>
      <c r="AF327" s="29" t="s">
        <v>33</v>
      </c>
      <c r="AG327" s="29" t="s">
        <v>34</v>
      </c>
      <c r="AH327" s="29" t="s">
        <v>35</v>
      </c>
      <c r="AI327" s="29" t="s">
        <v>11</v>
      </c>
      <c r="AJ327" s="29" t="s">
        <v>31</v>
      </c>
      <c r="AK327" s="29" t="s">
        <v>32</v>
      </c>
      <c r="AL327" s="29" t="s">
        <v>33</v>
      </c>
      <c r="AM327" s="29" t="s">
        <v>34</v>
      </c>
      <c r="AN327" s="29" t="s">
        <v>35</v>
      </c>
      <c r="AO327" s="29" t="s">
        <v>11</v>
      </c>
    </row>
    <row r="328" customFormat="false" ht="17.25" hidden="false" customHeight="false" outlineLevel="0" collapsed="false">
      <c r="A328" s="26" t="n">
        <v>46803</v>
      </c>
      <c r="B328" s="27" t="s">
        <v>4</v>
      </c>
      <c r="C328" s="17"/>
      <c r="D328" s="22"/>
      <c r="E328" s="23"/>
      <c r="F328" s="23"/>
      <c r="G328" s="23"/>
      <c r="H328" s="23"/>
      <c r="I328" s="24"/>
      <c r="J328" s="22"/>
      <c r="K328" s="23"/>
      <c r="L328" s="23"/>
      <c r="M328" s="23"/>
      <c r="N328" s="23"/>
      <c r="O328" s="25"/>
      <c r="P328" s="22"/>
      <c r="Q328" s="23"/>
      <c r="R328" s="23"/>
      <c r="S328" s="23"/>
      <c r="T328" s="23"/>
      <c r="U328" s="25"/>
      <c r="X328" s="29" t="s">
        <v>36</v>
      </c>
      <c r="Y328" s="29" t="s">
        <v>37</v>
      </c>
      <c r="Z328" s="29" t="s">
        <v>38</v>
      </c>
      <c r="AA328" s="29" t="s">
        <v>39</v>
      </c>
      <c r="AB328" s="29" t="s">
        <v>40</v>
      </c>
      <c r="AD328" s="29" t="s">
        <v>36</v>
      </c>
      <c r="AE328" s="29" t="s">
        <v>37</v>
      </c>
      <c r="AF328" s="29" t="s">
        <v>38</v>
      </c>
      <c r="AG328" s="29" t="s">
        <v>39</v>
      </c>
      <c r="AH328" s="29" t="s">
        <v>40</v>
      </c>
      <c r="AJ328" s="29" t="s">
        <v>36</v>
      </c>
      <c r="AK328" s="29" t="s">
        <v>37</v>
      </c>
      <c r="AL328" s="29" t="s">
        <v>38</v>
      </c>
      <c r="AM328" s="29" t="s">
        <v>39</v>
      </c>
      <c r="AN328" s="29" t="s">
        <v>40</v>
      </c>
    </row>
    <row r="329" customFormat="false" ht="17.25" hidden="false" customHeight="false" outlineLevel="0" collapsed="false">
      <c r="A329" s="15" t="n">
        <v>46804</v>
      </c>
      <c r="B329" s="16" t="s">
        <v>3</v>
      </c>
      <c r="C329" s="28"/>
      <c r="D329" s="44" t="s">
        <v>19</v>
      </c>
      <c r="E329" s="45" t="s">
        <v>20</v>
      </c>
      <c r="F329" s="45" t="s">
        <v>21</v>
      </c>
      <c r="G329" s="45" t="s">
        <v>22</v>
      </c>
      <c r="H329" s="45" t="s">
        <v>23</v>
      </c>
      <c r="I329" s="52" t="s">
        <v>7</v>
      </c>
      <c r="J329" s="44" t="s">
        <v>19</v>
      </c>
      <c r="K329" s="45" t="s">
        <v>20</v>
      </c>
      <c r="L329" s="45" t="s">
        <v>21</v>
      </c>
      <c r="M329" s="45" t="s">
        <v>22</v>
      </c>
      <c r="N329" s="45" t="s">
        <v>23</v>
      </c>
      <c r="O329" s="53" t="s">
        <v>7</v>
      </c>
      <c r="P329" s="44" t="s">
        <v>19</v>
      </c>
      <c r="Q329" s="45" t="s">
        <v>20</v>
      </c>
      <c r="R329" s="45" t="s">
        <v>21</v>
      </c>
      <c r="S329" s="45" t="s">
        <v>22</v>
      </c>
      <c r="T329" s="45" t="s">
        <v>23</v>
      </c>
      <c r="U329" s="53" t="s">
        <v>7</v>
      </c>
      <c r="X329" s="29" t="s">
        <v>41</v>
      </c>
      <c r="Y329" s="29" t="s">
        <v>42</v>
      </c>
      <c r="Z329" s="29" t="s">
        <v>43</v>
      </c>
      <c r="AA329" s="29" t="s">
        <v>44</v>
      </c>
      <c r="AB329" s="29" t="s">
        <v>45</v>
      </c>
      <c r="AC329" s="29" t="s">
        <v>12</v>
      </c>
      <c r="AD329" s="29" t="s">
        <v>41</v>
      </c>
      <c r="AE329" s="29" t="s">
        <v>42</v>
      </c>
      <c r="AF329" s="29" t="s">
        <v>43</v>
      </c>
      <c r="AG329" s="29" t="s">
        <v>44</v>
      </c>
      <c r="AH329" s="29" t="s">
        <v>45</v>
      </c>
      <c r="AI329" s="29" t="s">
        <v>12</v>
      </c>
      <c r="AJ329" s="29" t="s">
        <v>41</v>
      </c>
      <c r="AK329" s="29" t="s">
        <v>42</v>
      </c>
      <c r="AL329" s="29" t="s">
        <v>43</v>
      </c>
      <c r="AM329" s="29" t="s">
        <v>44</v>
      </c>
      <c r="AN329" s="29" t="s">
        <v>45</v>
      </c>
      <c r="AO329" s="29" t="s">
        <v>12</v>
      </c>
    </row>
    <row r="330" s="122" customFormat="true" ht="17.25" hidden="false" customHeight="false" outlineLevel="0" collapsed="false">
      <c r="A330" s="15" t="n">
        <v>46805</v>
      </c>
      <c r="B330" s="16" t="s">
        <v>14</v>
      </c>
      <c r="C330" s="30" t="s">
        <v>166</v>
      </c>
      <c r="D330" s="44" t="s">
        <v>25</v>
      </c>
      <c r="E330" s="45" t="s">
        <v>26</v>
      </c>
      <c r="F330" s="45" t="s">
        <v>27</v>
      </c>
      <c r="G330" s="45" t="s">
        <v>28</v>
      </c>
      <c r="H330" s="45" t="s">
        <v>29</v>
      </c>
      <c r="I330" s="52" t="s">
        <v>9</v>
      </c>
      <c r="J330" s="44" t="s">
        <v>25</v>
      </c>
      <c r="K330" s="45" t="s">
        <v>26</v>
      </c>
      <c r="L330" s="45" t="s">
        <v>27</v>
      </c>
      <c r="M330" s="45" t="s">
        <v>28</v>
      </c>
      <c r="N330" s="45" t="s">
        <v>29</v>
      </c>
      <c r="O330" s="53" t="s">
        <v>9</v>
      </c>
      <c r="P330" s="44" t="s">
        <v>25</v>
      </c>
      <c r="Q330" s="45" t="s">
        <v>26</v>
      </c>
      <c r="R330" s="45" t="s">
        <v>27</v>
      </c>
      <c r="S330" s="45" t="s">
        <v>28</v>
      </c>
      <c r="T330" s="45" t="s">
        <v>29</v>
      </c>
      <c r="U330" s="53" t="s">
        <v>9</v>
      </c>
    </row>
    <row r="331" s="122" customFormat="true" ht="19.5" hidden="false" customHeight="true" outlineLevel="0" collapsed="false">
      <c r="A331" s="26" t="n">
        <v>46806</v>
      </c>
      <c r="B331" s="27" t="s">
        <v>17</v>
      </c>
      <c r="C331" s="17" t="s">
        <v>167</v>
      </c>
      <c r="D331" s="22"/>
      <c r="E331" s="23"/>
      <c r="F331" s="23"/>
      <c r="G331" s="23"/>
      <c r="H331" s="23"/>
      <c r="I331" s="24"/>
      <c r="J331" s="22"/>
      <c r="K331" s="23"/>
      <c r="L331" s="23"/>
      <c r="M331" s="23"/>
      <c r="N331" s="23"/>
      <c r="O331" s="25"/>
      <c r="P331" s="22"/>
      <c r="Q331" s="23"/>
      <c r="R331" s="23"/>
      <c r="S331" s="23"/>
      <c r="T331" s="23"/>
      <c r="U331" s="25"/>
    </row>
    <row r="332" s="122" customFormat="true" ht="17.25" hidden="false" customHeight="false" outlineLevel="0" collapsed="false">
      <c r="A332" s="15" t="n">
        <v>46807</v>
      </c>
      <c r="B332" s="16" t="s">
        <v>6</v>
      </c>
      <c r="C332" s="134" t="s">
        <v>168</v>
      </c>
      <c r="D332" s="44" t="s">
        <v>36</v>
      </c>
      <c r="E332" s="45" t="s">
        <v>37</v>
      </c>
      <c r="F332" s="45" t="s">
        <v>38</v>
      </c>
      <c r="G332" s="45" t="s">
        <v>39</v>
      </c>
      <c r="H332" s="45" t="s">
        <v>40</v>
      </c>
      <c r="I332" s="25"/>
      <c r="J332" s="44" t="s">
        <v>36</v>
      </c>
      <c r="K332" s="45" t="s">
        <v>37</v>
      </c>
      <c r="L332" s="45" t="s">
        <v>38</v>
      </c>
      <c r="M332" s="45" t="s">
        <v>39</v>
      </c>
      <c r="N332" s="45" t="s">
        <v>40</v>
      </c>
      <c r="O332" s="25"/>
      <c r="P332" s="44" t="s">
        <v>36</v>
      </c>
      <c r="Q332" s="45" t="s">
        <v>37</v>
      </c>
      <c r="R332" s="45" t="s">
        <v>38</v>
      </c>
      <c r="S332" s="45" t="s">
        <v>39</v>
      </c>
      <c r="T332" s="45" t="s">
        <v>40</v>
      </c>
      <c r="U332" s="25"/>
    </row>
    <row r="333" customFormat="false" ht="17.25" hidden="false" customHeight="false" outlineLevel="0" collapsed="false">
      <c r="A333" s="15" t="n">
        <v>46808</v>
      </c>
      <c r="B333" s="16" t="s">
        <v>8</v>
      </c>
      <c r="C333" s="28" t="s">
        <v>169</v>
      </c>
      <c r="D333" s="44" t="s">
        <v>41</v>
      </c>
      <c r="E333" s="45" t="s">
        <v>42</v>
      </c>
      <c r="F333" s="45" t="s">
        <v>43</v>
      </c>
      <c r="G333" s="45" t="s">
        <v>44</v>
      </c>
      <c r="H333" s="45" t="s">
        <v>45</v>
      </c>
      <c r="I333" s="52" t="s">
        <v>12</v>
      </c>
      <c r="J333" s="44" t="s">
        <v>41</v>
      </c>
      <c r="K333" s="45" t="s">
        <v>42</v>
      </c>
      <c r="L333" s="45" t="s">
        <v>43</v>
      </c>
      <c r="M333" s="45" t="s">
        <v>44</v>
      </c>
      <c r="N333" s="45" t="s">
        <v>45</v>
      </c>
      <c r="O333" s="54" t="s">
        <v>12</v>
      </c>
      <c r="P333" s="44" t="s">
        <v>41</v>
      </c>
      <c r="Q333" s="45" t="s">
        <v>42</v>
      </c>
      <c r="R333" s="45" t="s">
        <v>43</v>
      </c>
      <c r="S333" s="45" t="s">
        <v>44</v>
      </c>
      <c r="T333" s="45" t="s">
        <v>45</v>
      </c>
      <c r="U333" s="53" t="s">
        <v>12</v>
      </c>
    </row>
    <row r="334" customFormat="false" ht="17.25" hidden="false" customHeight="false" outlineLevel="0" collapsed="false">
      <c r="A334" s="26" t="n">
        <v>46809</v>
      </c>
      <c r="B334" s="27" t="s">
        <v>10</v>
      </c>
      <c r="C334" s="17"/>
      <c r="D334" s="22"/>
      <c r="E334" s="24"/>
      <c r="F334" s="23"/>
      <c r="G334" s="23"/>
      <c r="H334" s="23"/>
      <c r="I334" s="24"/>
      <c r="J334" s="22"/>
      <c r="K334" s="24"/>
      <c r="L334" s="23"/>
      <c r="M334" s="23"/>
      <c r="N334" s="23"/>
      <c r="O334" s="25"/>
      <c r="P334" s="22"/>
      <c r="Q334" s="24"/>
      <c r="R334" s="23"/>
      <c r="S334" s="23"/>
      <c r="T334" s="23"/>
      <c r="U334" s="25"/>
    </row>
    <row r="335" customFormat="false" ht="17.25" hidden="false" customHeight="false" outlineLevel="0" collapsed="false">
      <c r="A335" s="26" t="n">
        <v>46810</v>
      </c>
      <c r="B335" s="27" t="s">
        <v>4</v>
      </c>
      <c r="C335" s="17"/>
      <c r="D335" s="22"/>
      <c r="E335" s="23"/>
      <c r="F335" s="23"/>
      <c r="G335" s="23"/>
      <c r="H335" s="23"/>
      <c r="I335" s="24"/>
      <c r="J335" s="22"/>
      <c r="K335" s="23"/>
      <c r="L335" s="23"/>
      <c r="M335" s="23"/>
      <c r="N335" s="23"/>
      <c r="O335" s="25"/>
      <c r="P335" s="22"/>
      <c r="Q335" s="23"/>
      <c r="R335" s="23"/>
      <c r="S335" s="23"/>
      <c r="T335" s="23"/>
      <c r="U335" s="25"/>
    </row>
    <row r="336" customFormat="false" ht="18" hidden="false" customHeight="true" outlineLevel="0" collapsed="false">
      <c r="A336" s="15" t="n">
        <v>46811</v>
      </c>
      <c r="B336" s="16" t="s">
        <v>3</v>
      </c>
      <c r="C336" s="28" t="s">
        <v>170</v>
      </c>
      <c r="D336" s="59" t="s">
        <v>31</v>
      </c>
      <c r="E336" s="60" t="s">
        <v>32</v>
      </c>
      <c r="F336" s="60" t="s">
        <v>33</v>
      </c>
      <c r="G336" s="60" t="s">
        <v>34</v>
      </c>
      <c r="H336" s="61"/>
      <c r="I336" s="118"/>
      <c r="J336" s="59" t="s">
        <v>31</v>
      </c>
      <c r="K336" s="60" t="s">
        <v>32</v>
      </c>
      <c r="L336" s="60" t="s">
        <v>33</v>
      </c>
      <c r="M336" s="60" t="s">
        <v>34</v>
      </c>
      <c r="N336" s="61"/>
      <c r="O336" s="132"/>
      <c r="P336" s="59" t="s">
        <v>31</v>
      </c>
      <c r="Q336" s="60" t="s">
        <v>32</v>
      </c>
      <c r="R336" s="60" t="s">
        <v>33</v>
      </c>
      <c r="S336" s="60" t="s">
        <v>34</v>
      </c>
      <c r="T336" s="61"/>
      <c r="U336" s="132"/>
    </row>
    <row r="337" s="122" customFormat="true" ht="17.25" hidden="false" customHeight="false" outlineLevel="0" collapsed="false">
      <c r="A337" s="15" t="n">
        <v>46812</v>
      </c>
      <c r="B337" s="16" t="s">
        <v>14</v>
      </c>
      <c r="C337" s="28" t="s">
        <v>171</v>
      </c>
      <c r="D337" s="141" t="s">
        <v>11</v>
      </c>
      <c r="E337" s="111" t="s">
        <v>26</v>
      </c>
      <c r="F337" s="111" t="s">
        <v>27</v>
      </c>
      <c r="G337" s="111" t="s">
        <v>28</v>
      </c>
      <c r="H337" s="65"/>
      <c r="I337" s="66"/>
      <c r="J337" s="141" t="s">
        <v>11</v>
      </c>
      <c r="K337" s="111" t="s">
        <v>26</v>
      </c>
      <c r="L337" s="111" t="s">
        <v>27</v>
      </c>
      <c r="M337" s="111" t="s">
        <v>28</v>
      </c>
      <c r="N337" s="65"/>
      <c r="O337" s="67"/>
      <c r="P337" s="141" t="s">
        <v>11</v>
      </c>
      <c r="Q337" s="111" t="s">
        <v>26</v>
      </c>
      <c r="R337" s="111" t="s">
        <v>27</v>
      </c>
      <c r="S337" s="111" t="s">
        <v>28</v>
      </c>
      <c r="T337" s="65"/>
      <c r="U337" s="67"/>
    </row>
    <row r="338" s="122" customFormat="true" ht="17.25" hidden="false" customHeight="false" outlineLevel="0" collapsed="false">
      <c r="A338" s="15" t="n">
        <v>46813</v>
      </c>
      <c r="B338" s="16" t="s">
        <v>17</v>
      </c>
      <c r="C338" s="28"/>
      <c r="D338" s="44" t="s">
        <v>31</v>
      </c>
      <c r="E338" s="45" t="s">
        <v>32</v>
      </c>
      <c r="F338" s="45" t="s">
        <v>33</v>
      </c>
      <c r="G338" s="45" t="s">
        <v>34</v>
      </c>
      <c r="H338" s="90" t="s">
        <v>40</v>
      </c>
      <c r="I338" s="52" t="s">
        <v>11</v>
      </c>
      <c r="J338" s="44" t="s">
        <v>31</v>
      </c>
      <c r="K338" s="45" t="s">
        <v>32</v>
      </c>
      <c r="L338" s="45" t="s">
        <v>33</v>
      </c>
      <c r="M338" s="45" t="s">
        <v>34</v>
      </c>
      <c r="N338" s="89"/>
      <c r="O338" s="25"/>
      <c r="P338" s="44" t="s">
        <v>31</v>
      </c>
      <c r="Q338" s="45" t="s">
        <v>32</v>
      </c>
      <c r="R338" s="45" t="s">
        <v>33</v>
      </c>
      <c r="S338" s="45" t="s">
        <v>34</v>
      </c>
      <c r="T338" s="90" t="s">
        <v>40</v>
      </c>
      <c r="U338" s="53" t="s">
        <v>11</v>
      </c>
      <c r="X338" s="126" t="s">
        <v>19</v>
      </c>
      <c r="Y338" s="126" t="s">
        <v>20</v>
      </c>
      <c r="Z338" s="126" t="s">
        <v>21</v>
      </c>
      <c r="AA338" s="126" t="s">
        <v>22</v>
      </c>
      <c r="AB338" s="126" t="s">
        <v>23</v>
      </c>
      <c r="AC338" s="126" t="s">
        <v>7</v>
      </c>
      <c r="AD338" s="126" t="s">
        <v>19</v>
      </c>
      <c r="AE338" s="126" t="s">
        <v>20</v>
      </c>
      <c r="AF338" s="126" t="s">
        <v>21</v>
      </c>
      <c r="AG338" s="126" t="s">
        <v>22</v>
      </c>
      <c r="AH338" s="126" t="s">
        <v>23</v>
      </c>
      <c r="AI338" s="126" t="s">
        <v>7</v>
      </c>
      <c r="AJ338" s="126" t="s">
        <v>19</v>
      </c>
      <c r="AK338" s="126" t="s">
        <v>20</v>
      </c>
      <c r="AL338" s="126" t="s">
        <v>21</v>
      </c>
      <c r="AM338" s="126" t="s">
        <v>22</v>
      </c>
      <c r="AN338" s="126" t="s">
        <v>23</v>
      </c>
      <c r="AO338" s="126" t="s">
        <v>7</v>
      </c>
    </row>
    <row r="339" customFormat="false" ht="17.25" hidden="false" customHeight="false" outlineLevel="0" collapsed="false">
      <c r="A339" s="15" t="n">
        <v>46814</v>
      </c>
      <c r="B339" s="16" t="s">
        <v>6</v>
      </c>
      <c r="C339" s="28"/>
      <c r="D339" s="70" t="s">
        <v>36</v>
      </c>
      <c r="E339" s="71" t="s">
        <v>37</v>
      </c>
      <c r="F339" s="71" t="s">
        <v>38</v>
      </c>
      <c r="G339" s="71" t="s">
        <v>39</v>
      </c>
      <c r="H339" s="50"/>
      <c r="I339" s="24"/>
      <c r="J339" s="70" t="s">
        <v>36</v>
      </c>
      <c r="K339" s="50"/>
      <c r="L339" s="50"/>
      <c r="M339" s="71" t="s">
        <v>39</v>
      </c>
      <c r="N339" s="50"/>
      <c r="O339" s="25"/>
      <c r="P339" s="70" t="s">
        <v>36</v>
      </c>
      <c r="Q339" s="71" t="s">
        <v>37</v>
      </c>
      <c r="R339" s="71" t="s">
        <v>38</v>
      </c>
      <c r="S339" s="71" t="s">
        <v>39</v>
      </c>
      <c r="T339" s="105" t="s">
        <v>35</v>
      </c>
      <c r="U339" s="25"/>
      <c r="X339" s="29" t="s">
        <v>25</v>
      </c>
      <c r="Y339" s="29" t="s">
        <v>26</v>
      </c>
      <c r="Z339" s="29" t="s">
        <v>27</v>
      </c>
      <c r="AA339" s="29" t="s">
        <v>28</v>
      </c>
      <c r="AB339" s="29" t="s">
        <v>29</v>
      </c>
      <c r="AC339" s="126" t="s">
        <v>9</v>
      </c>
      <c r="AD339" s="126" t="s">
        <v>25</v>
      </c>
      <c r="AE339" s="126" t="s">
        <v>26</v>
      </c>
      <c r="AF339" s="126" t="s">
        <v>27</v>
      </c>
      <c r="AG339" s="126" t="s">
        <v>28</v>
      </c>
      <c r="AH339" s="126" t="s">
        <v>29</v>
      </c>
      <c r="AI339" s="29" t="s">
        <v>9</v>
      </c>
      <c r="AJ339" s="29" t="s">
        <v>25</v>
      </c>
      <c r="AK339" s="29" t="s">
        <v>26</v>
      </c>
      <c r="AL339" s="29" t="s">
        <v>27</v>
      </c>
      <c r="AM339" s="29" t="s">
        <v>28</v>
      </c>
      <c r="AN339" s="29" t="s">
        <v>29</v>
      </c>
      <c r="AO339" s="29" t="s">
        <v>9</v>
      </c>
    </row>
    <row r="340" customFormat="false" ht="17.25" hidden="false" customHeight="false" outlineLevel="0" collapsed="false">
      <c r="A340" s="15" t="n">
        <v>46815</v>
      </c>
      <c r="B340" s="16" t="s">
        <v>8</v>
      </c>
      <c r="C340" s="28" t="s">
        <v>172</v>
      </c>
      <c r="D340" s="49"/>
      <c r="E340" s="50"/>
      <c r="F340" s="50"/>
      <c r="G340" s="50"/>
      <c r="H340" s="50"/>
      <c r="I340" s="24"/>
      <c r="J340" s="49"/>
      <c r="K340" s="50"/>
      <c r="L340" s="50"/>
      <c r="M340" s="50"/>
      <c r="N340" s="50"/>
      <c r="O340" s="25"/>
      <c r="P340" s="49"/>
      <c r="Q340" s="50"/>
      <c r="R340" s="50"/>
      <c r="S340" s="71" t="s">
        <v>44</v>
      </c>
      <c r="T340" s="50"/>
      <c r="U340" s="25"/>
      <c r="X340" s="29" t="s">
        <v>31</v>
      </c>
      <c r="Y340" s="29" t="s">
        <v>32</v>
      </c>
      <c r="Z340" s="29" t="s">
        <v>33</v>
      </c>
      <c r="AA340" s="29" t="s">
        <v>34</v>
      </c>
      <c r="AB340" s="29" t="s">
        <v>35</v>
      </c>
      <c r="AC340" s="29" t="s">
        <v>11</v>
      </c>
      <c r="AD340" s="29" t="s">
        <v>31</v>
      </c>
      <c r="AE340" s="29" t="s">
        <v>32</v>
      </c>
      <c r="AF340" s="29" t="s">
        <v>33</v>
      </c>
      <c r="AG340" s="29" t="s">
        <v>34</v>
      </c>
      <c r="AH340" s="29" t="s">
        <v>35</v>
      </c>
      <c r="AI340" s="29" t="s">
        <v>11</v>
      </c>
      <c r="AJ340" s="29" t="s">
        <v>31</v>
      </c>
      <c r="AK340" s="29" t="s">
        <v>32</v>
      </c>
      <c r="AL340" s="29" t="s">
        <v>33</v>
      </c>
      <c r="AM340" s="29" t="s">
        <v>34</v>
      </c>
      <c r="AN340" s="29" t="s">
        <v>35</v>
      </c>
      <c r="AO340" s="29" t="s">
        <v>11</v>
      </c>
    </row>
    <row r="341" customFormat="false" ht="17.25" hidden="false" customHeight="false" outlineLevel="0" collapsed="false">
      <c r="A341" s="26" t="n">
        <v>46816</v>
      </c>
      <c r="B341" s="27" t="s">
        <v>10</v>
      </c>
      <c r="C341" s="17"/>
      <c r="D341" s="69"/>
      <c r="E341" s="23"/>
      <c r="F341" s="23"/>
      <c r="G341" s="23"/>
      <c r="H341" s="50"/>
      <c r="I341" s="24"/>
      <c r="J341" s="49"/>
      <c r="K341" s="23"/>
      <c r="L341" s="23"/>
      <c r="M341" s="23"/>
      <c r="N341" s="50"/>
      <c r="O341" s="25"/>
      <c r="P341" s="49"/>
      <c r="Q341" s="23"/>
      <c r="R341" s="23"/>
      <c r="S341" s="23"/>
      <c r="T341" s="50"/>
      <c r="U341" s="25"/>
      <c r="X341" s="29" t="s">
        <v>36</v>
      </c>
      <c r="Y341" s="29" t="s">
        <v>37</v>
      </c>
      <c r="Z341" s="29" t="s">
        <v>38</v>
      </c>
      <c r="AA341" s="29" t="s">
        <v>39</v>
      </c>
      <c r="AB341" s="29" t="s">
        <v>40</v>
      </c>
      <c r="AD341" s="29" t="s">
        <v>36</v>
      </c>
      <c r="AE341" s="29" t="s">
        <v>37</v>
      </c>
      <c r="AF341" s="29" t="s">
        <v>38</v>
      </c>
      <c r="AG341" s="29" t="s">
        <v>39</v>
      </c>
      <c r="AH341" s="29" t="s">
        <v>40</v>
      </c>
      <c r="AJ341" s="29" t="s">
        <v>36</v>
      </c>
      <c r="AK341" s="29" t="s">
        <v>37</v>
      </c>
      <c r="AL341" s="29" t="s">
        <v>38</v>
      </c>
      <c r="AM341" s="29" t="s">
        <v>39</v>
      </c>
      <c r="AN341" s="29" t="s">
        <v>40</v>
      </c>
    </row>
    <row r="342" customFormat="false" ht="17.25" hidden="false" customHeight="false" outlineLevel="0" collapsed="false">
      <c r="A342" s="26" t="n">
        <v>46817</v>
      </c>
      <c r="B342" s="27" t="s">
        <v>4</v>
      </c>
      <c r="C342" s="17"/>
      <c r="D342" s="22"/>
      <c r="E342" s="23"/>
      <c r="F342" s="23"/>
      <c r="G342" s="23"/>
      <c r="H342" s="23"/>
      <c r="I342" s="24"/>
      <c r="J342" s="22"/>
      <c r="K342" s="23"/>
      <c r="L342" s="23"/>
      <c r="M342" s="23"/>
      <c r="N342" s="23"/>
      <c r="O342" s="25"/>
      <c r="P342" s="22"/>
      <c r="Q342" s="23"/>
      <c r="R342" s="23"/>
      <c r="S342" s="23"/>
      <c r="T342" s="23"/>
      <c r="U342" s="25"/>
      <c r="X342" s="29" t="s">
        <v>41</v>
      </c>
      <c r="Y342" s="29" t="s">
        <v>42</v>
      </c>
      <c r="Z342" s="29" t="s">
        <v>43</v>
      </c>
      <c r="AA342" s="29" t="s">
        <v>44</v>
      </c>
      <c r="AB342" s="29" t="s">
        <v>45</v>
      </c>
      <c r="AC342" s="29" t="s">
        <v>12</v>
      </c>
      <c r="AD342" s="29" t="s">
        <v>41</v>
      </c>
      <c r="AE342" s="29" t="s">
        <v>42</v>
      </c>
      <c r="AF342" s="29" t="s">
        <v>43</v>
      </c>
      <c r="AG342" s="29" t="s">
        <v>44</v>
      </c>
      <c r="AH342" s="29" t="s">
        <v>45</v>
      </c>
      <c r="AI342" s="29" t="s">
        <v>12</v>
      </c>
      <c r="AJ342" s="29" t="s">
        <v>41</v>
      </c>
      <c r="AK342" s="29" t="s">
        <v>42</v>
      </c>
      <c r="AL342" s="29" t="s">
        <v>43</v>
      </c>
      <c r="AM342" s="29" t="s">
        <v>44</v>
      </c>
      <c r="AN342" s="29" t="s">
        <v>45</v>
      </c>
      <c r="AO342" s="29" t="s">
        <v>12</v>
      </c>
    </row>
    <row r="343" customFormat="false" ht="17.25" hidden="false" customHeight="false" outlineLevel="0" collapsed="false">
      <c r="A343" s="15" t="n">
        <v>46818</v>
      </c>
      <c r="B343" s="16" t="s">
        <v>3</v>
      </c>
      <c r="C343" s="30" t="s">
        <v>173</v>
      </c>
      <c r="D343" s="44" t="s">
        <v>19</v>
      </c>
      <c r="E343" s="45" t="s">
        <v>20</v>
      </c>
      <c r="F343" s="45" t="s">
        <v>21</v>
      </c>
      <c r="G343" s="45" t="s">
        <v>22</v>
      </c>
      <c r="H343" s="58" t="s">
        <v>35</v>
      </c>
      <c r="I343" s="52" t="s">
        <v>7</v>
      </c>
      <c r="J343" s="44" t="s">
        <v>19</v>
      </c>
      <c r="K343" s="45" t="s">
        <v>20</v>
      </c>
      <c r="L343" s="45" t="s">
        <v>21</v>
      </c>
      <c r="M343" s="45" t="s">
        <v>22</v>
      </c>
      <c r="N343" s="58" t="s">
        <v>35</v>
      </c>
      <c r="O343" s="53" t="s">
        <v>7</v>
      </c>
      <c r="P343" s="22"/>
      <c r="Q343" s="23"/>
      <c r="R343" s="23"/>
      <c r="S343" s="45" t="s">
        <v>22</v>
      </c>
      <c r="T343" s="23"/>
      <c r="U343" s="25"/>
    </row>
    <row r="344" s="122" customFormat="true" ht="17.25" hidden="false" customHeight="false" outlineLevel="0" collapsed="false">
      <c r="A344" s="15" t="n">
        <v>46819</v>
      </c>
      <c r="B344" s="16" t="s">
        <v>14</v>
      </c>
      <c r="C344" s="30" t="s">
        <v>174</v>
      </c>
      <c r="D344" s="44" t="s">
        <v>25</v>
      </c>
      <c r="E344" s="58" t="s">
        <v>42</v>
      </c>
      <c r="F344" s="58" t="s">
        <v>43</v>
      </c>
      <c r="G344" s="58" t="s">
        <v>44</v>
      </c>
      <c r="H344" s="45" t="s">
        <v>29</v>
      </c>
      <c r="I344" s="52" t="s">
        <v>9</v>
      </c>
      <c r="J344" s="44" t="s">
        <v>25</v>
      </c>
      <c r="K344" s="58" t="s">
        <v>42</v>
      </c>
      <c r="L344" s="58" t="s">
        <v>43</v>
      </c>
      <c r="M344" s="58" t="s">
        <v>44</v>
      </c>
      <c r="N344" s="45" t="s">
        <v>29</v>
      </c>
      <c r="O344" s="53" t="s">
        <v>9</v>
      </c>
      <c r="P344" s="22"/>
      <c r="Q344" s="23"/>
      <c r="R344" s="23"/>
      <c r="S344" s="23"/>
      <c r="T344" s="23"/>
      <c r="U344" s="25"/>
    </row>
    <row r="345" s="122" customFormat="true" ht="17.25" hidden="false" customHeight="false" outlineLevel="0" collapsed="false">
      <c r="A345" s="15" t="n">
        <v>46820</v>
      </c>
      <c r="B345" s="16" t="s">
        <v>17</v>
      </c>
      <c r="C345" s="30" t="s">
        <v>175</v>
      </c>
      <c r="D345" s="68" t="s">
        <v>19</v>
      </c>
      <c r="E345" s="45" t="s">
        <v>32</v>
      </c>
      <c r="F345" s="45" t="s">
        <v>33</v>
      </c>
      <c r="G345" s="45" t="s">
        <v>34</v>
      </c>
      <c r="H345" s="58" t="s">
        <v>23</v>
      </c>
      <c r="I345" s="74" t="s">
        <v>7</v>
      </c>
      <c r="J345" s="68" t="s">
        <v>19</v>
      </c>
      <c r="K345" s="45" t="s">
        <v>32</v>
      </c>
      <c r="L345" s="45" t="s">
        <v>33</v>
      </c>
      <c r="M345" s="45" t="s">
        <v>34</v>
      </c>
      <c r="N345" s="58" t="s">
        <v>23</v>
      </c>
      <c r="O345" s="75" t="s">
        <v>7</v>
      </c>
      <c r="P345" s="22"/>
      <c r="Q345" s="23"/>
      <c r="R345" s="23"/>
      <c r="S345" s="23"/>
      <c r="T345" s="23"/>
      <c r="U345" s="25"/>
    </row>
    <row r="346" customFormat="false" ht="17.25" hidden="false" customHeight="false" outlineLevel="0" collapsed="false">
      <c r="A346" s="15" t="n">
        <v>46821</v>
      </c>
      <c r="B346" s="16" t="s">
        <v>6</v>
      </c>
      <c r="C346" s="30" t="s">
        <v>176</v>
      </c>
      <c r="D346" s="68" t="s">
        <v>41</v>
      </c>
      <c r="E346" s="58" t="s">
        <v>12</v>
      </c>
      <c r="F346" s="45" t="s">
        <v>38</v>
      </c>
      <c r="G346" s="45" t="s">
        <v>39</v>
      </c>
      <c r="H346" s="45" t="s">
        <v>40</v>
      </c>
      <c r="I346" s="24"/>
      <c r="J346" s="68" t="s">
        <v>41</v>
      </c>
      <c r="K346" s="58" t="s">
        <v>12</v>
      </c>
      <c r="L346" s="45" t="s">
        <v>38</v>
      </c>
      <c r="M346" s="45" t="s">
        <v>39</v>
      </c>
      <c r="N346" s="45" t="s">
        <v>40</v>
      </c>
      <c r="O346" s="25"/>
      <c r="P346" s="22"/>
      <c r="Q346" s="23"/>
      <c r="R346" s="23"/>
      <c r="S346" s="23"/>
      <c r="T346" s="23"/>
      <c r="U346" s="25"/>
    </row>
    <row r="347" customFormat="false" ht="17.25" hidden="false" customHeight="false" outlineLevel="0" collapsed="false">
      <c r="A347" s="15" t="n">
        <v>46822</v>
      </c>
      <c r="B347" s="16" t="s">
        <v>8</v>
      </c>
      <c r="C347" s="28"/>
      <c r="D347" s="70" t="s">
        <v>41</v>
      </c>
      <c r="E347" s="105" t="s">
        <v>37</v>
      </c>
      <c r="F347" s="71" t="s">
        <v>43</v>
      </c>
      <c r="G347" s="71" t="s">
        <v>44</v>
      </c>
      <c r="H347" s="23"/>
      <c r="I347" s="24"/>
      <c r="J347" s="70" t="s">
        <v>41</v>
      </c>
      <c r="K347" s="105" t="s">
        <v>37</v>
      </c>
      <c r="L347" s="71" t="s">
        <v>43</v>
      </c>
      <c r="M347" s="71" t="s">
        <v>44</v>
      </c>
      <c r="N347" s="23"/>
      <c r="O347" s="25"/>
      <c r="P347" s="22"/>
      <c r="Q347" s="23"/>
      <c r="R347" s="23"/>
      <c r="S347" s="23"/>
      <c r="T347" s="23"/>
      <c r="U347" s="25"/>
    </row>
    <row r="348" customFormat="false" ht="17.25" hidden="false" customHeight="false" outlineLevel="0" collapsed="false">
      <c r="A348" s="26" t="n">
        <v>46823</v>
      </c>
      <c r="B348" s="27" t="s">
        <v>10</v>
      </c>
      <c r="C348" s="17"/>
      <c r="D348" s="22"/>
      <c r="E348" s="23"/>
      <c r="F348" s="23"/>
      <c r="G348" s="23"/>
      <c r="H348" s="23"/>
      <c r="I348" s="24"/>
      <c r="J348" s="22"/>
      <c r="K348" s="23"/>
      <c r="L348" s="23"/>
      <c r="M348" s="23"/>
      <c r="N348" s="23"/>
      <c r="O348" s="25"/>
      <c r="P348" s="22"/>
      <c r="Q348" s="23"/>
      <c r="R348" s="23"/>
      <c r="S348" s="23"/>
      <c r="T348" s="23"/>
      <c r="U348" s="25"/>
    </row>
    <row r="349" customFormat="false" ht="17.25" hidden="false" customHeight="false" outlineLevel="0" collapsed="false">
      <c r="A349" s="26" t="n">
        <v>46824</v>
      </c>
      <c r="B349" s="27" t="s">
        <v>4</v>
      </c>
      <c r="C349" s="17" t="s">
        <v>79</v>
      </c>
      <c r="D349" s="22"/>
      <c r="E349" s="23"/>
      <c r="F349" s="23"/>
      <c r="G349" s="23"/>
      <c r="H349" s="23"/>
      <c r="I349" s="24"/>
      <c r="J349" s="22"/>
      <c r="K349" s="23"/>
      <c r="L349" s="23"/>
      <c r="M349" s="23"/>
      <c r="N349" s="23"/>
      <c r="O349" s="25"/>
      <c r="P349" s="22"/>
      <c r="Q349" s="23"/>
      <c r="R349" s="23"/>
      <c r="S349" s="23"/>
      <c r="T349" s="23"/>
      <c r="U349" s="25"/>
    </row>
    <row r="350" customFormat="false" ht="17.25" hidden="false" customHeight="false" outlineLevel="0" collapsed="false">
      <c r="A350" s="15" t="n">
        <v>46825</v>
      </c>
      <c r="B350" s="16" t="s">
        <v>3</v>
      </c>
      <c r="C350" s="30" t="s">
        <v>177</v>
      </c>
      <c r="D350" s="44" t="s">
        <v>19</v>
      </c>
      <c r="E350" s="45" t="s">
        <v>20</v>
      </c>
      <c r="F350" s="45" t="s">
        <v>21</v>
      </c>
      <c r="G350" s="45" t="s">
        <v>22</v>
      </c>
      <c r="H350" s="58" t="s">
        <v>45</v>
      </c>
      <c r="I350" s="24"/>
      <c r="J350" s="44" t="s">
        <v>19</v>
      </c>
      <c r="K350" s="45" t="s">
        <v>20</v>
      </c>
      <c r="L350" s="45" t="s">
        <v>21</v>
      </c>
      <c r="M350" s="45" t="s">
        <v>22</v>
      </c>
      <c r="N350" s="58" t="s">
        <v>45</v>
      </c>
      <c r="O350" s="25"/>
      <c r="P350" s="22"/>
      <c r="Q350" s="23"/>
      <c r="R350" s="23"/>
      <c r="S350" s="23"/>
      <c r="T350" s="23"/>
      <c r="U350" s="25"/>
    </row>
    <row r="351" s="122" customFormat="true" ht="17.25" hidden="false" customHeight="false" outlineLevel="0" collapsed="false">
      <c r="A351" s="15" t="n">
        <v>46826</v>
      </c>
      <c r="B351" s="16" t="s">
        <v>14</v>
      </c>
      <c r="C351" s="28" t="s">
        <v>178</v>
      </c>
      <c r="D351" s="44" t="s">
        <v>25</v>
      </c>
      <c r="E351" s="45" t="s">
        <v>26</v>
      </c>
      <c r="F351" s="45" t="s">
        <v>27</v>
      </c>
      <c r="G351" s="45" t="s">
        <v>28</v>
      </c>
      <c r="H351" s="58" t="s">
        <v>35</v>
      </c>
      <c r="I351" s="52" t="s">
        <v>9</v>
      </c>
      <c r="J351" s="44" t="s">
        <v>25</v>
      </c>
      <c r="K351" s="45" t="s">
        <v>26</v>
      </c>
      <c r="L351" s="45" t="s">
        <v>27</v>
      </c>
      <c r="M351" s="45" t="s">
        <v>28</v>
      </c>
      <c r="N351" s="58" t="s">
        <v>35</v>
      </c>
      <c r="O351" s="53" t="s">
        <v>9</v>
      </c>
      <c r="P351" s="22"/>
      <c r="Q351" s="23"/>
      <c r="R351" s="23"/>
      <c r="S351" s="23"/>
      <c r="T351" s="23"/>
      <c r="U351" s="25"/>
    </row>
    <row r="352" s="122" customFormat="true" ht="17.25" hidden="false" customHeight="false" outlineLevel="0" collapsed="false">
      <c r="A352" s="15" t="n">
        <v>46827</v>
      </c>
      <c r="B352" s="16" t="s">
        <v>17</v>
      </c>
      <c r="C352" s="30" t="s">
        <v>179</v>
      </c>
      <c r="D352" s="44" t="s">
        <v>31</v>
      </c>
      <c r="E352" s="58" t="s">
        <v>7</v>
      </c>
      <c r="F352" s="45" t="s">
        <v>33</v>
      </c>
      <c r="G352" s="45" t="s">
        <v>34</v>
      </c>
      <c r="H352" s="58" t="s">
        <v>23</v>
      </c>
      <c r="I352" s="52" t="s">
        <v>11</v>
      </c>
      <c r="J352" s="44" t="s">
        <v>31</v>
      </c>
      <c r="K352" s="58" t="s">
        <v>7</v>
      </c>
      <c r="L352" s="45" t="s">
        <v>33</v>
      </c>
      <c r="M352" s="45" t="s">
        <v>34</v>
      </c>
      <c r="N352" s="58" t="s">
        <v>23</v>
      </c>
      <c r="O352" s="53" t="s">
        <v>11</v>
      </c>
      <c r="P352" s="22"/>
      <c r="Q352" s="23"/>
      <c r="R352" s="23"/>
      <c r="S352" s="23"/>
      <c r="T352" s="23"/>
      <c r="U352" s="25"/>
    </row>
    <row r="353" customFormat="false" ht="17.25" hidden="false" customHeight="false" outlineLevel="0" collapsed="false">
      <c r="A353" s="15" t="n">
        <v>46828</v>
      </c>
      <c r="B353" s="16" t="s">
        <v>6</v>
      </c>
      <c r="C353" s="28" t="s">
        <v>180</v>
      </c>
      <c r="D353" s="44" t="s">
        <v>36</v>
      </c>
      <c r="E353" s="58" t="s">
        <v>42</v>
      </c>
      <c r="F353" s="58" t="s">
        <v>43</v>
      </c>
      <c r="G353" s="58" t="s">
        <v>12</v>
      </c>
      <c r="H353" s="23"/>
      <c r="I353" s="24"/>
      <c r="J353" s="44" t="s">
        <v>36</v>
      </c>
      <c r="K353" s="58" t="s">
        <v>42</v>
      </c>
      <c r="L353" s="58" t="s">
        <v>43</v>
      </c>
      <c r="M353" s="58" t="s">
        <v>12</v>
      </c>
      <c r="N353" s="23"/>
      <c r="O353" s="25"/>
      <c r="P353" s="22"/>
      <c r="Q353" s="23"/>
      <c r="R353" s="23"/>
      <c r="S353" s="23"/>
      <c r="T353" s="23"/>
      <c r="U353" s="25"/>
    </row>
    <row r="354" customFormat="false" ht="17.25" hidden="false" customHeight="false" outlineLevel="0" collapsed="false">
      <c r="A354" s="15" t="n">
        <v>46829</v>
      </c>
      <c r="B354" s="16" t="s">
        <v>8</v>
      </c>
      <c r="C354" s="28"/>
      <c r="D354" s="70" t="s">
        <v>41</v>
      </c>
      <c r="E354" s="105" t="s">
        <v>37</v>
      </c>
      <c r="F354" s="105" t="s">
        <v>38</v>
      </c>
      <c r="G354" s="71" t="s">
        <v>44</v>
      </c>
      <c r="H354" s="45" t="s">
        <v>45</v>
      </c>
      <c r="I354" s="52" t="s">
        <v>12</v>
      </c>
      <c r="J354" s="70" t="s">
        <v>41</v>
      </c>
      <c r="K354" s="105" t="s">
        <v>37</v>
      </c>
      <c r="L354" s="105" t="s">
        <v>38</v>
      </c>
      <c r="M354" s="71" t="s">
        <v>44</v>
      </c>
      <c r="N354" s="45" t="s">
        <v>45</v>
      </c>
      <c r="O354" s="54" t="s">
        <v>12</v>
      </c>
      <c r="P354" s="22"/>
      <c r="Q354" s="23"/>
      <c r="R354" s="23"/>
      <c r="S354" s="23"/>
      <c r="T354" s="23"/>
      <c r="U354" s="25"/>
    </row>
    <row r="355" customFormat="false" ht="17.25" hidden="false" customHeight="false" outlineLevel="0" collapsed="false">
      <c r="A355" s="26" t="n">
        <v>46830</v>
      </c>
      <c r="B355" s="27" t="s">
        <v>10</v>
      </c>
      <c r="C355" s="17"/>
      <c r="D355" s="22"/>
      <c r="E355" s="23"/>
      <c r="F355" s="23"/>
      <c r="G355" s="23"/>
      <c r="H355" s="23"/>
      <c r="I355" s="24"/>
      <c r="J355" s="22"/>
      <c r="K355" s="23"/>
      <c r="L355" s="23"/>
      <c r="M355" s="23"/>
      <c r="N355" s="23"/>
      <c r="O355" s="25"/>
      <c r="P355" s="22"/>
      <c r="Q355" s="23"/>
      <c r="R355" s="23"/>
      <c r="S355" s="23"/>
      <c r="T355" s="23"/>
      <c r="U355" s="25"/>
    </row>
    <row r="356" customFormat="false" ht="17.25" hidden="false" customHeight="false" outlineLevel="0" collapsed="false">
      <c r="A356" s="26" t="n">
        <v>46831</v>
      </c>
      <c r="B356" s="27" t="s">
        <v>4</v>
      </c>
      <c r="C356" s="17"/>
      <c r="D356" s="22"/>
      <c r="E356" s="23"/>
      <c r="F356" s="23"/>
      <c r="G356" s="23"/>
      <c r="H356" s="23"/>
      <c r="I356" s="24"/>
      <c r="J356" s="22"/>
      <c r="K356" s="23"/>
      <c r="L356" s="23"/>
      <c r="M356" s="23"/>
      <c r="N356" s="23"/>
      <c r="O356" s="25"/>
      <c r="P356" s="22"/>
      <c r="Q356" s="23"/>
      <c r="R356" s="23"/>
      <c r="S356" s="23"/>
      <c r="T356" s="23"/>
      <c r="U356" s="25"/>
    </row>
    <row r="357" customFormat="false" ht="17.25" hidden="false" customHeight="false" outlineLevel="0" collapsed="false">
      <c r="A357" s="26" t="n">
        <v>46832</v>
      </c>
      <c r="B357" s="27" t="s">
        <v>3</v>
      </c>
      <c r="C357" s="17" t="s">
        <v>181</v>
      </c>
      <c r="D357" s="22"/>
      <c r="E357" s="23"/>
      <c r="F357" s="23"/>
      <c r="G357" s="23"/>
      <c r="H357" s="23"/>
      <c r="I357" s="24"/>
      <c r="J357" s="22"/>
      <c r="K357" s="23"/>
      <c r="L357" s="23"/>
      <c r="M357" s="23"/>
      <c r="N357" s="23"/>
      <c r="O357" s="25"/>
      <c r="P357" s="22"/>
      <c r="Q357" s="23"/>
      <c r="R357" s="23"/>
      <c r="S357" s="23"/>
      <c r="T357" s="23"/>
      <c r="U357" s="25"/>
    </row>
    <row r="358" s="122" customFormat="true" ht="17.25" hidden="false" customHeight="false" outlineLevel="0" collapsed="false">
      <c r="A358" s="15" t="n">
        <v>46833</v>
      </c>
      <c r="B358" s="16" t="s">
        <v>14</v>
      </c>
      <c r="C358" s="30" t="s">
        <v>182</v>
      </c>
      <c r="D358" s="44" t="s">
        <v>25</v>
      </c>
      <c r="E358" s="45" t="s">
        <v>26</v>
      </c>
      <c r="F358" s="45" t="s">
        <v>27</v>
      </c>
      <c r="G358" s="45" t="s">
        <v>28</v>
      </c>
      <c r="H358" s="45" t="s">
        <v>29</v>
      </c>
      <c r="I358" s="74" t="s">
        <v>11</v>
      </c>
      <c r="J358" s="44" t="s">
        <v>25</v>
      </c>
      <c r="K358" s="45" t="s">
        <v>26</v>
      </c>
      <c r="L358" s="45" t="s">
        <v>27</v>
      </c>
      <c r="M358" s="45" t="s">
        <v>28</v>
      </c>
      <c r="N358" s="45" t="s">
        <v>29</v>
      </c>
      <c r="O358" s="75" t="s">
        <v>11</v>
      </c>
      <c r="P358" s="22"/>
      <c r="Q358" s="23"/>
      <c r="R358" s="23"/>
      <c r="S358" s="23"/>
      <c r="T358" s="23"/>
      <c r="U358" s="25"/>
    </row>
    <row r="359" s="122" customFormat="true" ht="17.25" hidden="false" customHeight="false" outlineLevel="0" collapsed="false">
      <c r="A359" s="15" t="n">
        <v>46834</v>
      </c>
      <c r="B359" s="16" t="s">
        <v>17</v>
      </c>
      <c r="C359" s="28"/>
      <c r="D359" s="44" t="s">
        <v>31</v>
      </c>
      <c r="E359" s="45" t="s">
        <v>32</v>
      </c>
      <c r="F359" s="58" t="s">
        <v>21</v>
      </c>
      <c r="G359" s="58" t="s">
        <v>22</v>
      </c>
      <c r="H359" s="45" t="s">
        <v>35</v>
      </c>
      <c r="I359" s="52" t="s">
        <v>11</v>
      </c>
      <c r="J359" s="44" t="s">
        <v>31</v>
      </c>
      <c r="K359" s="45" t="s">
        <v>32</v>
      </c>
      <c r="L359" s="58" t="s">
        <v>21</v>
      </c>
      <c r="M359" s="58" t="s">
        <v>22</v>
      </c>
      <c r="N359" s="45" t="s">
        <v>35</v>
      </c>
      <c r="O359" s="53" t="s">
        <v>11</v>
      </c>
      <c r="P359" s="22"/>
      <c r="Q359" s="23"/>
      <c r="R359" s="23"/>
      <c r="S359" s="23"/>
      <c r="T359" s="23"/>
      <c r="U359" s="25"/>
    </row>
    <row r="360" customFormat="false" ht="17.25" hidden="false" customHeight="false" outlineLevel="0" collapsed="false">
      <c r="A360" s="15" t="n">
        <v>46835</v>
      </c>
      <c r="B360" s="16" t="s">
        <v>6</v>
      </c>
      <c r="C360" s="30" t="s">
        <v>95</v>
      </c>
      <c r="D360" s="44" t="s">
        <v>36</v>
      </c>
      <c r="E360" s="58" t="s">
        <v>42</v>
      </c>
      <c r="F360" s="58" t="s">
        <v>43</v>
      </c>
      <c r="G360" s="45" t="s">
        <v>39</v>
      </c>
      <c r="H360" s="23"/>
      <c r="I360" s="24"/>
      <c r="J360" s="44" t="s">
        <v>36</v>
      </c>
      <c r="K360" s="58" t="s">
        <v>42</v>
      </c>
      <c r="L360" s="23"/>
      <c r="M360" s="45" t="s">
        <v>39</v>
      </c>
      <c r="N360" s="45" t="s">
        <v>40</v>
      </c>
      <c r="O360" s="25"/>
      <c r="P360" s="22"/>
      <c r="Q360" s="23"/>
      <c r="R360" s="23"/>
      <c r="S360" s="23"/>
      <c r="T360" s="23"/>
      <c r="U360" s="25"/>
    </row>
    <row r="361" customFormat="false" ht="17.25" hidden="false" customHeight="false" outlineLevel="0" collapsed="false">
      <c r="A361" s="15" t="n">
        <v>46836</v>
      </c>
      <c r="B361" s="16" t="s">
        <v>8</v>
      </c>
      <c r="C361" s="30" t="s">
        <v>183</v>
      </c>
      <c r="D361" s="22"/>
      <c r="E361" s="58" t="s">
        <v>20</v>
      </c>
      <c r="F361" s="23"/>
      <c r="G361" s="23"/>
      <c r="H361" s="23"/>
      <c r="I361" s="24"/>
      <c r="J361" s="22"/>
      <c r="K361" s="58" t="s">
        <v>20</v>
      </c>
      <c r="L361" s="23"/>
      <c r="M361" s="23"/>
      <c r="N361" s="23"/>
      <c r="O361" s="25"/>
      <c r="P361" s="22"/>
      <c r="Q361" s="23"/>
      <c r="R361" s="23"/>
      <c r="S361" s="23"/>
      <c r="T361" s="23"/>
      <c r="U361" s="25"/>
    </row>
    <row r="362" customFormat="false" ht="17.25" hidden="false" customHeight="false" outlineLevel="0" collapsed="false">
      <c r="A362" s="26" t="n">
        <v>46837</v>
      </c>
      <c r="B362" s="27" t="s">
        <v>10</v>
      </c>
      <c r="C362" s="17" t="s">
        <v>184</v>
      </c>
      <c r="D362" s="22"/>
      <c r="E362" s="23"/>
      <c r="F362" s="23"/>
      <c r="G362" s="23"/>
      <c r="H362" s="23"/>
      <c r="I362" s="24"/>
      <c r="J362" s="22"/>
      <c r="K362" s="23"/>
      <c r="L362" s="23"/>
      <c r="M362" s="23"/>
      <c r="N362" s="23"/>
      <c r="O362" s="25"/>
      <c r="P362" s="22"/>
      <c r="Q362" s="23"/>
      <c r="R362" s="23"/>
      <c r="S362" s="23"/>
      <c r="T362" s="23"/>
      <c r="U362" s="25"/>
    </row>
    <row r="363" customFormat="false" ht="17.25" hidden="false" customHeight="false" outlineLevel="0" collapsed="false">
      <c r="A363" s="26" t="n">
        <v>46838</v>
      </c>
      <c r="B363" s="27" t="s">
        <v>4</v>
      </c>
      <c r="C363" s="17"/>
      <c r="D363" s="22"/>
      <c r="E363" s="23"/>
      <c r="F363" s="23"/>
      <c r="G363" s="23"/>
      <c r="H363" s="23"/>
      <c r="I363" s="24"/>
      <c r="J363" s="22"/>
      <c r="K363" s="23"/>
      <c r="L363" s="23"/>
      <c r="M363" s="23"/>
      <c r="N363" s="23"/>
      <c r="O363" s="25"/>
      <c r="P363" s="22"/>
      <c r="Q363" s="23"/>
      <c r="R363" s="23"/>
      <c r="S363" s="23"/>
      <c r="T363" s="23"/>
      <c r="U363" s="25"/>
    </row>
    <row r="364" customFormat="false" ht="17.25" hidden="false" customHeight="false" outlineLevel="0" collapsed="false">
      <c r="A364" s="15" t="n">
        <v>46839</v>
      </c>
      <c r="B364" s="16" t="s">
        <v>3</v>
      </c>
      <c r="C364" s="28"/>
      <c r="D364" s="22"/>
      <c r="E364" s="23"/>
      <c r="F364" s="23"/>
      <c r="G364" s="23"/>
      <c r="H364" s="23"/>
      <c r="I364" s="24"/>
      <c r="J364" s="22"/>
      <c r="K364" s="23"/>
      <c r="L364" s="23"/>
      <c r="M364" s="23"/>
      <c r="N364" s="23"/>
      <c r="O364" s="25"/>
      <c r="P364" s="22"/>
      <c r="Q364" s="23"/>
      <c r="R364" s="23"/>
      <c r="S364" s="23"/>
      <c r="T364" s="23"/>
      <c r="U364" s="25"/>
    </row>
    <row r="365" s="122" customFormat="true" ht="17.25" hidden="false" customHeight="false" outlineLevel="0" collapsed="false">
      <c r="A365" s="15" t="n">
        <v>46840</v>
      </c>
      <c r="B365" s="16" t="s">
        <v>14</v>
      </c>
      <c r="C365" s="28"/>
      <c r="D365" s="121"/>
      <c r="E365" s="61"/>
      <c r="F365" s="61"/>
      <c r="G365" s="61"/>
      <c r="H365" s="61"/>
      <c r="I365" s="118"/>
      <c r="J365" s="121"/>
      <c r="K365" s="61"/>
      <c r="L365" s="61"/>
      <c r="M365" s="61"/>
      <c r="N365" s="61"/>
      <c r="O365" s="132"/>
      <c r="P365" s="121"/>
      <c r="Q365" s="61"/>
      <c r="R365" s="61"/>
      <c r="S365" s="61"/>
      <c r="T365" s="61"/>
      <c r="U365" s="132"/>
    </row>
    <row r="366" s="122" customFormat="true" ht="17.25" hidden="false" customHeight="false" outlineLevel="0" collapsed="false">
      <c r="A366" s="15" t="n">
        <v>46841</v>
      </c>
      <c r="B366" s="16" t="s">
        <v>17</v>
      </c>
      <c r="C366" s="28"/>
      <c r="D366" s="57"/>
      <c r="E366" s="23"/>
      <c r="F366" s="23"/>
      <c r="G366" s="23"/>
      <c r="H366" s="23"/>
      <c r="I366" s="23"/>
      <c r="J366" s="22"/>
      <c r="K366" s="23"/>
      <c r="L366" s="23"/>
      <c r="M366" s="23"/>
      <c r="N366" s="23"/>
      <c r="O366" s="25"/>
      <c r="P366" s="22"/>
      <c r="Q366" s="23"/>
      <c r="R366" s="23"/>
      <c r="S366" s="23"/>
      <c r="T366" s="23"/>
      <c r="U366" s="25"/>
    </row>
    <row r="367" customFormat="false" ht="18" hidden="false" customHeight="true" outlineLevel="0" collapsed="false">
      <c r="A367" s="15" t="n">
        <v>46842</v>
      </c>
      <c r="B367" s="16" t="s">
        <v>6</v>
      </c>
      <c r="C367" s="28"/>
      <c r="D367" s="143"/>
      <c r="E367" s="81"/>
      <c r="F367" s="81"/>
      <c r="G367" s="81"/>
      <c r="H367" s="81"/>
      <c r="I367" s="81"/>
      <c r="J367" s="80"/>
      <c r="K367" s="81"/>
      <c r="L367" s="81"/>
      <c r="M367" s="81"/>
      <c r="N367" s="81"/>
      <c r="O367" s="83"/>
      <c r="P367" s="80"/>
      <c r="Q367" s="81"/>
      <c r="R367" s="81"/>
      <c r="S367" s="81"/>
      <c r="T367" s="81"/>
      <c r="U367" s="83"/>
    </row>
    <row r="368" customFormat="false" ht="17.25" hidden="false" customHeight="false" outlineLevel="0" collapsed="false">
      <c r="A368" s="15" t="n">
        <v>46843</v>
      </c>
      <c r="B368" s="16" t="s">
        <v>8</v>
      </c>
      <c r="C368" s="28"/>
      <c r="D368" s="144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</row>
    <row r="369" customFormat="false" ht="17.25" hidden="false" customHeight="false" outlineLevel="0" collapsed="false">
      <c r="A369" s="26"/>
    </row>
  </sheetData>
  <mergeCells count="3">
    <mergeCell ref="D1:I1"/>
    <mergeCell ref="J1:O1"/>
    <mergeCell ref="P1:U1"/>
  </mergeCells>
  <printOptions headings="false" gridLines="false" gridLinesSet="true" horizontalCentered="false" verticalCentered="false"/>
  <pageMargins left="0.629861111111111" right="0.236111111111111" top="0.551388888888889" bottom="0.354166666666667" header="0.511811023622047" footer="0.511811023622047"/>
  <pageSetup paperSize="9" scale="6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5" manualBreakCount="5">
    <brk id="63" man="true" max="16383" min="0"/>
    <brk id="124" man="true" max="16383" min="0"/>
    <brk id="185" man="true" max="16383" min="0"/>
    <brk id="246" man="true" max="16383" min="0"/>
    <brk id="308" man="true" max="16383" min="0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P249"/>
  <sheetViews>
    <sheetView showFormulas="false" showGridLines="true" showRowColHeaders="true" showZeros="true" rightToLeft="false" tabSelected="true" showOutlineSymbols="true" defaultGridColor="true" view="pageBreakPreview" topLeftCell="A1" colorId="64" zoomScale="80" zoomScaleNormal="85" zoomScalePageLayoutView="80" workbookViewId="0">
      <selection pane="topLeft" activeCell="AF39" activeCellId="0" sqref="AF39"/>
    </sheetView>
  </sheetViews>
  <sheetFormatPr defaultColWidth="8.53125" defaultRowHeight="17.25" zeroHeight="false" outlineLevelRow="0" outlineLevelCol="0"/>
  <cols>
    <col collapsed="false" customWidth="true" hidden="false" outlineLevel="0" max="1" min="1" style="145" width="2.5"/>
    <col collapsed="false" customWidth="true" hidden="false" outlineLevel="0" max="5" min="2" style="145" width="3.37"/>
    <col collapsed="false" customWidth="true" hidden="false" outlineLevel="0" max="6" min="6" style="145" width="3.87"/>
    <col collapsed="false" customWidth="true" hidden="false" outlineLevel="0" max="16" min="7" style="145" width="3.37"/>
    <col collapsed="false" customWidth="true" hidden="false" outlineLevel="0" max="17" min="17" style="145" width="3"/>
    <col collapsed="false" customWidth="true" hidden="false" outlineLevel="0" max="33" min="18" style="145" width="4"/>
    <col collapsed="false" customWidth="true" hidden="false" outlineLevel="0" max="34" min="34" style="145" width="3.63"/>
    <col collapsed="false" customWidth="true" hidden="false" outlineLevel="0" max="68" min="39" style="145" width="5.25"/>
  </cols>
  <sheetData>
    <row r="1" customFormat="false" ht="17.25" hidden="false" customHeight="false" outlineLevel="0" collapsed="false">
      <c r="AF1" s="146"/>
      <c r="AG1" s="146"/>
      <c r="AH1" s="146"/>
    </row>
    <row r="2" customFormat="false" ht="21.75" hidden="false" customHeight="true" outlineLevel="0" collapsed="false">
      <c r="A2" s="147" t="s">
        <v>185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</row>
    <row r="3" customFormat="false" ht="21.75" hidden="false" customHeight="true" outlineLevel="0" collapsed="false">
      <c r="A3" s="148"/>
      <c r="B3" s="147" t="s">
        <v>186</v>
      </c>
      <c r="C3" s="147"/>
      <c r="D3" s="147"/>
      <c r="E3" s="147"/>
      <c r="F3" s="147"/>
      <c r="G3" s="147" t="s">
        <v>187</v>
      </c>
      <c r="H3" s="147"/>
      <c r="I3" s="147"/>
      <c r="J3" s="147"/>
      <c r="K3" s="147"/>
      <c r="L3" s="147" t="s">
        <v>188</v>
      </c>
      <c r="M3" s="147"/>
      <c r="N3" s="147"/>
      <c r="O3" s="147"/>
      <c r="P3" s="147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</row>
    <row r="4" customFormat="false" ht="18" hidden="false" customHeight="true" outlineLevel="0" collapsed="false">
      <c r="A4" s="149" t="s">
        <v>189</v>
      </c>
      <c r="B4" s="149"/>
      <c r="C4" s="149"/>
      <c r="D4" s="149"/>
      <c r="E4" s="149"/>
      <c r="F4" s="149"/>
      <c r="G4" s="149"/>
      <c r="H4" s="149"/>
      <c r="T4" s="150" t="s">
        <v>7</v>
      </c>
      <c r="U4" s="150" t="s">
        <v>190</v>
      </c>
    </row>
    <row r="5" customFormat="false" ht="18" hidden="false" customHeight="true" outlineLevel="0" collapsed="false">
      <c r="A5" s="151"/>
      <c r="B5" s="152" t="s">
        <v>3</v>
      </c>
      <c r="C5" s="152" t="s">
        <v>14</v>
      </c>
      <c r="D5" s="152" t="s">
        <v>17</v>
      </c>
      <c r="E5" s="152" t="s">
        <v>6</v>
      </c>
      <c r="F5" s="153" t="s">
        <v>8</v>
      </c>
      <c r="G5" s="154" t="s">
        <v>3</v>
      </c>
      <c r="H5" s="155" t="s">
        <v>14</v>
      </c>
      <c r="I5" s="155" t="s">
        <v>17</v>
      </c>
      <c r="J5" s="155" t="s">
        <v>6</v>
      </c>
      <c r="K5" s="156" t="s">
        <v>8</v>
      </c>
      <c r="L5" s="157" t="s">
        <v>3</v>
      </c>
      <c r="M5" s="155" t="s">
        <v>14</v>
      </c>
      <c r="N5" s="155" t="s">
        <v>17</v>
      </c>
      <c r="O5" s="155" t="s">
        <v>6</v>
      </c>
      <c r="P5" s="156" t="s">
        <v>8</v>
      </c>
      <c r="T5" s="150" t="s">
        <v>9</v>
      </c>
      <c r="U5" s="150" t="s">
        <v>191</v>
      </c>
      <c r="AI5" s="158" t="s">
        <v>13</v>
      </c>
      <c r="AJ5" s="150" t="str">
        <f aca="false">IFERROR(MATCH(AI5,年計!$C$2:$C$368,0),"")</f>
        <v/>
      </c>
      <c r="AM5" s="159" t="s">
        <v>19</v>
      </c>
      <c r="AN5" s="160" t="s">
        <v>25</v>
      </c>
      <c r="AO5" s="160" t="s">
        <v>31</v>
      </c>
      <c r="AP5" s="160" t="s">
        <v>36</v>
      </c>
      <c r="AQ5" s="160" t="s">
        <v>41</v>
      </c>
      <c r="AR5" s="159" t="s">
        <v>19</v>
      </c>
      <c r="AS5" s="160" t="s">
        <v>25</v>
      </c>
      <c r="AT5" s="160" t="s">
        <v>31</v>
      </c>
      <c r="AU5" s="160" t="s">
        <v>36</v>
      </c>
      <c r="AV5" s="161" t="s">
        <v>41</v>
      </c>
      <c r="AW5" s="160" t="s">
        <v>19</v>
      </c>
      <c r="AX5" s="160" t="s">
        <v>25</v>
      </c>
      <c r="AY5" s="160" t="s">
        <v>31</v>
      </c>
      <c r="AZ5" s="160" t="s">
        <v>36</v>
      </c>
      <c r="BA5" s="161" t="s">
        <v>41</v>
      </c>
    </row>
    <row r="6" customFormat="false" ht="17.25" hidden="false" customHeight="false" outlineLevel="0" collapsed="false">
      <c r="A6" s="162" t="n">
        <v>1</v>
      </c>
      <c r="B6" s="163" t="n">
        <f aca="false">COUNTIF(年計!$D$3:$I$48,AM5)</f>
        <v>3</v>
      </c>
      <c r="C6" s="164" t="n">
        <f aca="false">COUNTIF(年計!$D$3:$I$48,AN5)</f>
        <v>3</v>
      </c>
      <c r="D6" s="164" t="n">
        <f aca="false">COUNTIF(年計!$D$3:$I$48,AO5)</f>
        <v>4</v>
      </c>
      <c r="E6" s="164" t="n">
        <f aca="false">COUNTIF(年計!$D$3:$I$48,AP5)</f>
        <v>4</v>
      </c>
      <c r="F6" s="165" t="n">
        <f aca="false">COUNTIF(年計!$D$3:$I$48,AQ5)</f>
        <v>4</v>
      </c>
      <c r="G6" s="163" t="n">
        <f aca="false">COUNTIF(年計!$J$3:$O$48,AR5)</f>
        <v>3</v>
      </c>
      <c r="H6" s="164" t="n">
        <f aca="false">COUNTIF(年計!$J$3:$O$48,AS5)</f>
        <v>3</v>
      </c>
      <c r="I6" s="164" t="n">
        <f aca="false">COUNTIF(年計!$J$3:$O$48,AT5)</f>
        <v>4</v>
      </c>
      <c r="J6" s="164" t="n">
        <f aca="false">COUNTIF(年計!$J$3:$O$48,AU5)</f>
        <v>4</v>
      </c>
      <c r="K6" s="166" t="n">
        <f aca="false">COUNTIF(年計!$J$3:$O$48,AV5)</f>
        <v>4</v>
      </c>
      <c r="L6" s="163" t="n">
        <f aca="false">COUNTIF(年計!$P$3:$U$48,AW5)</f>
        <v>3</v>
      </c>
      <c r="M6" s="164" t="n">
        <f aca="false">COUNTIF(年計!$P$3:$U$48,AX5)</f>
        <v>3</v>
      </c>
      <c r="N6" s="164" t="n">
        <f aca="false">COUNTIF(年計!$P$3:$U$48,AY5)</f>
        <v>4</v>
      </c>
      <c r="O6" s="164" t="n">
        <f aca="false">COUNTIF(年計!$P$3:$U$48,AZ5)</f>
        <v>3</v>
      </c>
      <c r="P6" s="165" t="n">
        <f aca="false">COUNTIF(年計!$P$3:$U$48,BA5)</f>
        <v>4</v>
      </c>
      <c r="T6" s="150" t="s">
        <v>11</v>
      </c>
      <c r="U6" s="150" t="s">
        <v>16</v>
      </c>
      <c r="AI6" s="150" t="s">
        <v>192</v>
      </c>
      <c r="AJ6" s="150" t="str">
        <f aca="false">IFERROR(MATCH(AI6,年計!$C$2:$C$368,0),"")</f>
        <v/>
      </c>
      <c r="AM6" s="167" t="s">
        <v>20</v>
      </c>
      <c r="AN6" s="150" t="s">
        <v>26</v>
      </c>
      <c r="AO6" s="150" t="s">
        <v>32</v>
      </c>
      <c r="AP6" s="150" t="s">
        <v>37</v>
      </c>
      <c r="AQ6" s="150" t="s">
        <v>42</v>
      </c>
      <c r="AR6" s="167" t="s">
        <v>20</v>
      </c>
      <c r="AS6" s="150" t="s">
        <v>26</v>
      </c>
      <c r="AT6" s="150" t="s">
        <v>32</v>
      </c>
      <c r="AU6" s="150" t="s">
        <v>37</v>
      </c>
      <c r="AV6" s="168" t="s">
        <v>42</v>
      </c>
      <c r="AW6" s="150" t="s">
        <v>20</v>
      </c>
      <c r="AX6" s="150" t="s">
        <v>26</v>
      </c>
      <c r="AY6" s="150" t="s">
        <v>32</v>
      </c>
      <c r="AZ6" s="150" t="s">
        <v>37</v>
      </c>
      <c r="BA6" s="168" t="s">
        <v>42</v>
      </c>
    </row>
    <row r="7" customFormat="false" ht="17.25" hidden="false" customHeight="false" outlineLevel="0" collapsed="false">
      <c r="A7" s="169" t="n">
        <v>2</v>
      </c>
      <c r="B7" s="170" t="n">
        <f aca="false">COUNTIF(年計!$D$3:$I$48,AM6)</f>
        <v>3</v>
      </c>
      <c r="C7" s="171" t="n">
        <f aca="false">COUNTIF(年計!$D$3:$I$48,AN6)</f>
        <v>3</v>
      </c>
      <c r="D7" s="172" t="n">
        <f aca="false">COUNTIF(年計!$D$3:$I$48,AO6)</f>
        <v>3</v>
      </c>
      <c r="E7" s="172" t="n">
        <f aca="false">COUNTIF(年計!$D$3:$I$48,AP6)</f>
        <v>4</v>
      </c>
      <c r="F7" s="173" t="n">
        <f aca="false">COUNTIF(年計!$D$3:$I$48,AQ6)</f>
        <v>4</v>
      </c>
      <c r="G7" s="174" t="n">
        <f aca="false">COUNTIF(年計!$J$3:$O$48,AR6)</f>
        <v>3</v>
      </c>
      <c r="H7" s="172" t="n">
        <f aca="false">COUNTIF(年計!$J$3:$O$48,AS6)</f>
        <v>3</v>
      </c>
      <c r="I7" s="172" t="n">
        <f aca="false">COUNTIF(年計!$J$3:$O$48,AT6)</f>
        <v>3</v>
      </c>
      <c r="J7" s="172" t="n">
        <f aca="false">COUNTIF(年計!$J$3:$O$48,AU6)</f>
        <v>4</v>
      </c>
      <c r="K7" s="175" t="n">
        <f aca="false">COUNTIF(年計!$J$3:$O$48,AV6)</f>
        <v>4</v>
      </c>
      <c r="L7" s="174" t="n">
        <f aca="false">COUNTIF(年計!$P$3:$U$48,AW6)</f>
        <v>3</v>
      </c>
      <c r="M7" s="172" t="n">
        <f aca="false">COUNTIF(年計!$P$3:$U$48,AX6)</f>
        <v>3</v>
      </c>
      <c r="N7" s="172" t="n">
        <f aca="false">COUNTIF(年計!$P$3:$U$48,AY6)</f>
        <v>3</v>
      </c>
      <c r="O7" s="172" t="n">
        <f aca="false">COUNTIF(年計!$P$3:$U$48,AZ6)</f>
        <v>3</v>
      </c>
      <c r="P7" s="173" t="n">
        <f aca="false">COUNTIF(年計!$P$3:$U$48,BA6)</f>
        <v>4</v>
      </c>
      <c r="T7" s="150" t="s">
        <v>12</v>
      </c>
      <c r="U7" s="150" t="s">
        <v>193</v>
      </c>
      <c r="AM7" s="167" t="s">
        <v>21</v>
      </c>
      <c r="AN7" s="150" t="s">
        <v>27</v>
      </c>
      <c r="AO7" s="150" t="s">
        <v>33</v>
      </c>
      <c r="AP7" s="150" t="s">
        <v>38</v>
      </c>
      <c r="AQ7" s="150" t="s">
        <v>43</v>
      </c>
      <c r="AR7" s="167" t="s">
        <v>21</v>
      </c>
      <c r="AS7" s="150" t="s">
        <v>27</v>
      </c>
      <c r="AT7" s="150" t="s">
        <v>33</v>
      </c>
      <c r="AU7" s="150" t="s">
        <v>38</v>
      </c>
      <c r="AV7" s="168" t="s">
        <v>43</v>
      </c>
      <c r="AW7" s="150" t="s">
        <v>21</v>
      </c>
      <c r="AX7" s="150" t="s">
        <v>27</v>
      </c>
      <c r="AY7" s="150" t="s">
        <v>33</v>
      </c>
      <c r="AZ7" s="150" t="s">
        <v>38</v>
      </c>
      <c r="BA7" s="168" t="s">
        <v>43</v>
      </c>
    </row>
    <row r="8" customFormat="false" ht="17.25" hidden="false" customHeight="false" outlineLevel="0" collapsed="false">
      <c r="A8" s="169" t="n">
        <v>3</v>
      </c>
      <c r="B8" s="170" t="n">
        <f aca="false">COUNTIF(年計!$D$3:$I$48,AM7)</f>
        <v>3</v>
      </c>
      <c r="C8" s="171" t="n">
        <f aca="false">COUNTIF(年計!$D$3:$I$48,AN7)</f>
        <v>3</v>
      </c>
      <c r="D8" s="172" t="n">
        <f aca="false">COUNTIF(年計!$D$3:$I$48,AO7)</f>
        <v>3</v>
      </c>
      <c r="E8" s="172" t="n">
        <f aca="false">COUNTIF(年計!$D$3:$I$48,AP7)</f>
        <v>4</v>
      </c>
      <c r="F8" s="173" t="n">
        <f aca="false">COUNTIF(年計!$D$3:$I$48,AQ7)</f>
        <v>4</v>
      </c>
      <c r="G8" s="174" t="n">
        <f aca="false">COUNTIF(年計!$J$3:$O$48,AR7)</f>
        <v>3</v>
      </c>
      <c r="H8" s="172" t="n">
        <f aca="false">COUNTIF(年計!$J$3:$O$48,AS7)</f>
        <v>3</v>
      </c>
      <c r="I8" s="172" t="n">
        <f aca="false">COUNTIF(年計!$J$3:$O$48,AT7)</f>
        <v>3</v>
      </c>
      <c r="J8" s="172" t="n">
        <f aca="false">COUNTIF(年計!$J$3:$O$48,AU7)</f>
        <v>4</v>
      </c>
      <c r="K8" s="175" t="n">
        <f aca="false">COUNTIF(年計!$J$3:$O$48,AV7)</f>
        <v>4</v>
      </c>
      <c r="L8" s="174" t="n">
        <f aca="false">COUNTIF(年計!$P$3:$U$48,AW7)</f>
        <v>3</v>
      </c>
      <c r="M8" s="172" t="n">
        <f aca="false">COUNTIF(年計!$P$3:$U$48,AX7)</f>
        <v>3</v>
      </c>
      <c r="N8" s="172" t="n">
        <f aca="false">COUNTIF(年計!$P$3:$U$48,AY7)</f>
        <v>3</v>
      </c>
      <c r="O8" s="172" t="n">
        <f aca="false">COUNTIF(年計!$P$3:$U$48,AZ7)</f>
        <v>3</v>
      </c>
      <c r="P8" s="173" t="n">
        <f aca="false">COUNTIF(年計!$P$3:$U$48,BA7)</f>
        <v>4</v>
      </c>
      <c r="AM8" s="167" t="s">
        <v>22</v>
      </c>
      <c r="AN8" s="150" t="s">
        <v>28</v>
      </c>
      <c r="AO8" s="150" t="s">
        <v>34</v>
      </c>
      <c r="AP8" s="150" t="s">
        <v>39</v>
      </c>
      <c r="AQ8" s="150" t="s">
        <v>44</v>
      </c>
      <c r="AR8" s="167" t="s">
        <v>22</v>
      </c>
      <c r="AS8" s="150" t="s">
        <v>28</v>
      </c>
      <c r="AT8" s="150" t="s">
        <v>34</v>
      </c>
      <c r="AU8" s="150" t="s">
        <v>39</v>
      </c>
      <c r="AV8" s="168" t="s">
        <v>44</v>
      </c>
      <c r="AW8" s="150" t="s">
        <v>22</v>
      </c>
      <c r="AX8" s="150" t="s">
        <v>28</v>
      </c>
      <c r="AY8" s="150" t="s">
        <v>34</v>
      </c>
      <c r="AZ8" s="150" t="s">
        <v>39</v>
      </c>
      <c r="BA8" s="168" t="s">
        <v>44</v>
      </c>
    </row>
    <row r="9" customFormat="false" ht="17.25" hidden="false" customHeight="false" outlineLevel="0" collapsed="false">
      <c r="A9" s="169" t="n">
        <v>4</v>
      </c>
      <c r="B9" s="170" t="n">
        <f aca="false">COUNTIF(年計!$D$3:$I$48,AM8)</f>
        <v>3</v>
      </c>
      <c r="C9" s="171" t="n">
        <f aca="false">COUNTIF(年計!$D$3:$I$48,AN8)</f>
        <v>3</v>
      </c>
      <c r="D9" s="172" t="n">
        <f aca="false">COUNTIF(年計!$D$3:$I$48,AO8)</f>
        <v>3</v>
      </c>
      <c r="E9" s="172" t="n">
        <f aca="false">COUNTIF(年計!$D$3:$I$48,AP8)</f>
        <v>4</v>
      </c>
      <c r="F9" s="173" t="n">
        <f aca="false">COUNTIF(年計!$D$3:$I$48,AQ8)</f>
        <v>4</v>
      </c>
      <c r="G9" s="174" t="n">
        <f aca="false">COUNTIF(年計!$J$3:$O$48,AR8)</f>
        <v>3</v>
      </c>
      <c r="H9" s="172" t="n">
        <f aca="false">COUNTIF(年計!$J$3:$O$48,AS8)</f>
        <v>3</v>
      </c>
      <c r="I9" s="172" t="n">
        <f aca="false">COUNTIF(年計!$J$3:$O$48,AT8)</f>
        <v>3</v>
      </c>
      <c r="J9" s="172" t="n">
        <f aca="false">COUNTIF(年計!$J$3:$O$48,AU8)</f>
        <v>4</v>
      </c>
      <c r="K9" s="175" t="n">
        <f aca="false">COUNTIF(年計!$J$3:$O$48,AV8)</f>
        <v>4</v>
      </c>
      <c r="L9" s="174" t="n">
        <f aca="false">COUNTIF(年計!$P$3:$U$48,AW8)</f>
        <v>3</v>
      </c>
      <c r="M9" s="172" t="n">
        <f aca="false">COUNTIF(年計!$P$3:$U$48,AX8)</f>
        <v>3</v>
      </c>
      <c r="N9" s="172" t="n">
        <f aca="false">COUNTIF(年計!$P$3:$U$48,AY8)</f>
        <v>3</v>
      </c>
      <c r="O9" s="172" t="n">
        <f aca="false">COUNTIF(年計!$P$3:$U$48,AZ8)</f>
        <v>4</v>
      </c>
      <c r="P9" s="173" t="n">
        <f aca="false">COUNTIF(年計!$P$3:$U$48,BA8)</f>
        <v>4</v>
      </c>
      <c r="AM9" s="167" t="s">
        <v>23</v>
      </c>
      <c r="AN9" s="150" t="s">
        <v>29</v>
      </c>
      <c r="AO9" s="150" t="s">
        <v>35</v>
      </c>
      <c r="AP9" s="150" t="s">
        <v>40</v>
      </c>
      <c r="AQ9" s="150" t="s">
        <v>45</v>
      </c>
      <c r="AR9" s="167" t="s">
        <v>23</v>
      </c>
      <c r="AS9" s="150" t="s">
        <v>29</v>
      </c>
      <c r="AT9" s="150" t="s">
        <v>35</v>
      </c>
      <c r="AU9" s="150" t="s">
        <v>40</v>
      </c>
      <c r="AV9" s="168" t="s">
        <v>45</v>
      </c>
      <c r="AW9" s="150" t="s">
        <v>23</v>
      </c>
      <c r="AX9" s="150" t="s">
        <v>29</v>
      </c>
      <c r="AY9" s="150" t="s">
        <v>35</v>
      </c>
      <c r="AZ9" s="150" t="s">
        <v>40</v>
      </c>
      <c r="BA9" s="168" t="s">
        <v>45</v>
      </c>
    </row>
    <row r="10" customFormat="false" ht="17.25" hidden="false" customHeight="false" outlineLevel="0" collapsed="false">
      <c r="A10" s="169" t="n">
        <v>5</v>
      </c>
      <c r="B10" s="170" t="n">
        <f aca="false">COUNTIF(年計!$D$3:$I$48,AM9)</f>
        <v>4</v>
      </c>
      <c r="C10" s="171" t="n">
        <f aca="false">COUNTIF(年計!$D$3:$I$48,AN9)</f>
        <v>3</v>
      </c>
      <c r="D10" s="172" t="n">
        <f aca="false">COUNTIF(年計!$D$3:$I$48,AO9)</f>
        <v>3</v>
      </c>
      <c r="E10" s="172" t="n">
        <f aca="false">COUNTIF(年計!$D$3:$I$48,AP9)</f>
        <v>3</v>
      </c>
      <c r="F10" s="173" t="n">
        <f aca="false">COUNTIF(年計!$D$3:$I$48,AQ9)</f>
        <v>4</v>
      </c>
      <c r="G10" s="174" t="n">
        <f aca="false">COUNTIF(年計!$J$3:$O$48,AR9)</f>
        <v>4</v>
      </c>
      <c r="H10" s="172" t="n">
        <f aca="false">COUNTIF(年計!$J$3:$O$48,AS9)</f>
        <v>3</v>
      </c>
      <c r="I10" s="172" t="n">
        <f aca="false">COUNTIF(年計!$J$3:$O$48,AT9)</f>
        <v>3</v>
      </c>
      <c r="J10" s="172" t="n">
        <f aca="false">COUNTIF(年計!$J$3:$O$48,AU9)</f>
        <v>3</v>
      </c>
      <c r="K10" s="175" t="n">
        <f aca="false">COUNTIF(年計!$J$3:$O$48,AV9)</f>
        <v>4</v>
      </c>
      <c r="L10" s="174" t="n">
        <f aca="false">COUNTIF(年計!$P$3:$U$48,AW9)</f>
        <v>3</v>
      </c>
      <c r="M10" s="172" t="n">
        <f aca="false">COUNTIF(年計!$P$3:$U$48,AX9)</f>
        <v>3</v>
      </c>
      <c r="N10" s="172" t="n">
        <f aca="false">COUNTIF(年計!$P$3:$U$48,AY9)</f>
        <v>3</v>
      </c>
      <c r="O10" s="172" t="n">
        <f aca="false">COUNTIF(年計!$P$3:$U$48,AZ9)</f>
        <v>3</v>
      </c>
      <c r="P10" s="173" t="n">
        <f aca="false">COUNTIF(年計!$P$3:$U$48,BA9)</f>
        <v>4</v>
      </c>
      <c r="AM10" s="176" t="s">
        <v>7</v>
      </c>
      <c r="AN10" s="177" t="s">
        <v>9</v>
      </c>
      <c r="AO10" s="177" t="s">
        <v>11</v>
      </c>
      <c r="AP10" s="177" t="s">
        <v>194</v>
      </c>
      <c r="AQ10" s="177" t="s">
        <v>12</v>
      </c>
      <c r="AR10" s="176" t="s">
        <v>7</v>
      </c>
      <c r="AS10" s="177" t="s">
        <v>9</v>
      </c>
      <c r="AT10" s="177" t="s">
        <v>11</v>
      </c>
      <c r="AU10" s="177" t="s">
        <v>194</v>
      </c>
      <c r="AV10" s="178" t="s">
        <v>12</v>
      </c>
      <c r="AW10" s="177" t="s">
        <v>7</v>
      </c>
      <c r="AX10" s="177" t="s">
        <v>9</v>
      </c>
      <c r="AY10" s="177" t="s">
        <v>11</v>
      </c>
      <c r="AZ10" s="177" t="s">
        <v>194</v>
      </c>
      <c r="BA10" s="178" t="s">
        <v>12</v>
      </c>
    </row>
    <row r="11" customFormat="false" ht="22.5" hidden="false" customHeight="true" outlineLevel="0" collapsed="false">
      <c r="A11" s="179" t="n">
        <v>6</v>
      </c>
      <c r="B11" s="180" t="n">
        <f aca="false">COUNTIF(年計!$D$3:$I$48,AM10)</f>
        <v>4</v>
      </c>
      <c r="C11" s="181" t="n">
        <f aca="false">COUNTIF(年計!$D$3:$I$48,AN10)</f>
        <v>3</v>
      </c>
      <c r="D11" s="182" t="n">
        <f aca="false">COUNTIF(年計!$D$3:$I$48,AO10)</f>
        <v>4</v>
      </c>
      <c r="E11" s="183"/>
      <c r="F11" s="184" t="n">
        <f aca="false">COUNTIF(年計!$D$3:$I$48,AQ10)</f>
        <v>4</v>
      </c>
      <c r="G11" s="185" t="n">
        <f aca="false">COUNTIF(年計!$J$3:$O$48,AR10)</f>
        <v>4</v>
      </c>
      <c r="H11" s="182" t="n">
        <f aca="false">COUNTIF(年計!$J$3:$O$48,AS10)</f>
        <v>3</v>
      </c>
      <c r="I11" s="182" t="n">
        <f aca="false">COUNTIF(年計!$J$3:$O$48,AT10)</f>
        <v>4</v>
      </c>
      <c r="J11" s="183" t="n">
        <f aca="false">COUNTIF(年計!$J$3:$O$48,AU10)</f>
        <v>0</v>
      </c>
      <c r="K11" s="184" t="n">
        <f aca="false">COUNTIF(年計!$J$3:$O$48,AV10)</f>
        <v>4</v>
      </c>
      <c r="L11" s="185" t="n">
        <f aca="false">COUNTIF(年計!$P$3:$U$48,AW10)</f>
        <v>4</v>
      </c>
      <c r="M11" s="182" t="n">
        <f aca="false">COUNTIF(年計!$P$3:$U$48,AX10)</f>
        <v>3</v>
      </c>
      <c r="N11" s="182" t="n">
        <f aca="false">COUNTIF(年計!$P$3:$U$48,AY10)</f>
        <v>4</v>
      </c>
      <c r="O11" s="183" t="n">
        <f aca="false">COUNTIF(年計!$P$3:$U$48,AZ10)</f>
        <v>0</v>
      </c>
      <c r="P11" s="184" t="n">
        <f aca="false">COUNTIF(年計!$P$3:$U$48,BA10)</f>
        <v>3</v>
      </c>
      <c r="S11" s="147" t="s">
        <v>186</v>
      </c>
      <c r="T11" s="147"/>
      <c r="U11" s="147"/>
      <c r="V11" s="147"/>
      <c r="W11" s="147"/>
      <c r="X11" s="147" t="s">
        <v>187</v>
      </c>
      <c r="Y11" s="147"/>
      <c r="Z11" s="147"/>
      <c r="AA11" s="147"/>
      <c r="AB11" s="147"/>
      <c r="AC11" s="147" t="s">
        <v>188</v>
      </c>
      <c r="AD11" s="147"/>
      <c r="AE11" s="147"/>
      <c r="AF11" s="147"/>
      <c r="AG11" s="147"/>
    </row>
    <row r="12" customFormat="false" ht="18" hidden="false" customHeight="true" outlineLevel="0" collapsed="false">
      <c r="A12" s="186" t="s">
        <v>195</v>
      </c>
      <c r="B12" s="186"/>
      <c r="C12" s="186"/>
      <c r="D12" s="186"/>
      <c r="E12" s="186"/>
      <c r="F12" s="186"/>
      <c r="G12" s="186"/>
      <c r="H12" s="186"/>
      <c r="S12" s="149" t="s">
        <v>196</v>
      </c>
      <c r="T12" s="149"/>
      <c r="U12" s="149"/>
      <c r="V12" s="149"/>
      <c r="W12" s="149"/>
      <c r="X12" s="149"/>
      <c r="Y12" s="149"/>
      <c r="Z12" s="149"/>
    </row>
    <row r="13" customFormat="false" ht="18" hidden="false" customHeight="true" outlineLevel="0" collapsed="false">
      <c r="A13" s="151"/>
      <c r="B13" s="152" t="s">
        <v>3</v>
      </c>
      <c r="C13" s="152" t="s">
        <v>14</v>
      </c>
      <c r="D13" s="152" t="s">
        <v>17</v>
      </c>
      <c r="E13" s="152" t="s">
        <v>6</v>
      </c>
      <c r="F13" s="153" t="s">
        <v>8</v>
      </c>
      <c r="G13" s="187" t="s">
        <v>3</v>
      </c>
      <c r="H13" s="152" t="s">
        <v>14</v>
      </c>
      <c r="I13" s="152" t="s">
        <v>17</v>
      </c>
      <c r="J13" s="152" t="s">
        <v>6</v>
      </c>
      <c r="K13" s="188" t="s">
        <v>8</v>
      </c>
      <c r="L13" s="189" t="s">
        <v>3</v>
      </c>
      <c r="M13" s="152" t="s">
        <v>14</v>
      </c>
      <c r="N13" s="152" t="s">
        <v>17</v>
      </c>
      <c r="O13" s="152" t="s">
        <v>6</v>
      </c>
      <c r="P13" s="188" t="s">
        <v>8</v>
      </c>
      <c r="S13" s="151"/>
      <c r="T13" s="155" t="s">
        <v>3</v>
      </c>
      <c r="U13" s="155" t="s">
        <v>14</v>
      </c>
      <c r="V13" s="155" t="s">
        <v>17</v>
      </c>
      <c r="W13" s="155" t="s">
        <v>6</v>
      </c>
      <c r="X13" s="190" t="s">
        <v>8</v>
      </c>
      <c r="Y13" s="154" t="s">
        <v>3</v>
      </c>
      <c r="Z13" s="155" t="s">
        <v>14</v>
      </c>
      <c r="AA13" s="155" t="s">
        <v>17</v>
      </c>
      <c r="AB13" s="155" t="s">
        <v>6</v>
      </c>
      <c r="AC13" s="156" t="s">
        <v>8</v>
      </c>
      <c r="AD13" s="157" t="s">
        <v>3</v>
      </c>
      <c r="AE13" s="155" t="s">
        <v>14</v>
      </c>
      <c r="AF13" s="155" t="s">
        <v>17</v>
      </c>
      <c r="AG13" s="155" t="s">
        <v>6</v>
      </c>
      <c r="AH13" s="156" t="s">
        <v>8</v>
      </c>
      <c r="AM13" s="150" t="s">
        <v>19</v>
      </c>
      <c r="AN13" s="150" t="s">
        <v>25</v>
      </c>
      <c r="AO13" s="150" t="s">
        <v>31</v>
      </c>
      <c r="AP13" s="150" t="s">
        <v>36</v>
      </c>
      <c r="AQ13" s="150" t="s">
        <v>41</v>
      </c>
      <c r="AR13" s="150" t="s">
        <v>19</v>
      </c>
      <c r="AS13" s="150" t="s">
        <v>25</v>
      </c>
      <c r="AT13" s="150" t="s">
        <v>31</v>
      </c>
      <c r="AU13" s="150" t="s">
        <v>36</v>
      </c>
      <c r="AV13" s="150" t="s">
        <v>41</v>
      </c>
      <c r="AW13" s="150" t="s">
        <v>19</v>
      </c>
      <c r="AX13" s="150" t="s">
        <v>25</v>
      </c>
      <c r="AY13" s="150" t="s">
        <v>31</v>
      </c>
      <c r="AZ13" s="150" t="s">
        <v>36</v>
      </c>
      <c r="BA13" s="150" t="s">
        <v>41</v>
      </c>
      <c r="BB13" s="150" t="s">
        <v>19</v>
      </c>
      <c r="BC13" s="150" t="s">
        <v>25</v>
      </c>
      <c r="BD13" s="150" t="s">
        <v>31</v>
      </c>
      <c r="BE13" s="150" t="s">
        <v>36</v>
      </c>
      <c r="BF13" s="150" t="s">
        <v>41</v>
      </c>
      <c r="BG13" s="150" t="s">
        <v>19</v>
      </c>
      <c r="BH13" s="150" t="s">
        <v>25</v>
      </c>
      <c r="BI13" s="150" t="s">
        <v>31</v>
      </c>
      <c r="BJ13" s="150" t="s">
        <v>36</v>
      </c>
      <c r="BK13" s="150" t="s">
        <v>41</v>
      </c>
      <c r="BL13" s="150" t="s">
        <v>19</v>
      </c>
      <c r="BM13" s="150" t="s">
        <v>25</v>
      </c>
      <c r="BN13" s="150" t="s">
        <v>31</v>
      </c>
      <c r="BO13" s="150" t="s">
        <v>36</v>
      </c>
      <c r="BP13" s="150" t="s">
        <v>41</v>
      </c>
    </row>
    <row r="14" customFormat="false" ht="17.25" hidden="false" customHeight="false" outlineLevel="0" collapsed="false">
      <c r="A14" s="162" t="n">
        <v>1</v>
      </c>
      <c r="B14" s="163" t="n">
        <f aca="false">COUNTIF(年計!$D$49:$I$86,AM13)</f>
        <v>5</v>
      </c>
      <c r="C14" s="164" t="n">
        <f aca="false">COUNTIF(年計!$D$49:$I$86,AN13)</f>
        <v>5</v>
      </c>
      <c r="D14" s="164" t="n">
        <f aca="false">COUNTIF(年計!$D$49:$I$86,AO13)</f>
        <v>4</v>
      </c>
      <c r="E14" s="164" t="n">
        <f aca="false">COUNTIF(年計!$D$49:$I$86,AP13)</f>
        <v>5</v>
      </c>
      <c r="F14" s="166" t="n">
        <f aca="false">COUNTIF(年計!$D$49:$I$86,AQ13)</f>
        <v>4</v>
      </c>
      <c r="G14" s="163" t="n">
        <f aca="false">COUNTIF(年計!$J$49:$O$86,AR13)</f>
        <v>5</v>
      </c>
      <c r="H14" s="164" t="n">
        <f aca="false">COUNTIF(年計!$J$49:$O$86,AS13)</f>
        <v>5</v>
      </c>
      <c r="I14" s="164" t="n">
        <f aca="false">COUNTIF(年計!$J$49:$O$86,AT13)</f>
        <v>4</v>
      </c>
      <c r="J14" s="164" t="n">
        <f aca="false">COUNTIF(年計!$J$49:$O$86,AU13)</f>
        <v>5</v>
      </c>
      <c r="K14" s="166" t="n">
        <f aca="false">COUNTIF(年計!$J$49:$O$86,AV13)</f>
        <v>4</v>
      </c>
      <c r="L14" s="163" t="n">
        <f aca="false">COUNTIF(年計!$P$49:$U$86,AW13)</f>
        <v>4</v>
      </c>
      <c r="M14" s="164" t="n">
        <f aca="false">COUNTIF(年計!$P$49:$U$86,AX13)</f>
        <v>3</v>
      </c>
      <c r="N14" s="164" t="n">
        <f aca="false">COUNTIF(年計!$P$49:$U$86,AY13)</f>
        <v>4</v>
      </c>
      <c r="O14" s="164" t="n">
        <f aca="false">COUNTIF(年計!$P$49:$U$86,AZ13)</f>
        <v>3</v>
      </c>
      <c r="P14" s="165" t="n">
        <f aca="false">COUNTIF(年計!$P$49:$U$86,BA13)</f>
        <v>4</v>
      </c>
      <c r="S14" s="162" t="n">
        <v>1</v>
      </c>
      <c r="T14" s="170" t="n">
        <f aca="false">COUNTIF(年計!$D$3:$I$86,BB13)</f>
        <v>8</v>
      </c>
      <c r="U14" s="171" t="n">
        <f aca="false">COUNTIF(年計!$D$3:$I$86,BC13)</f>
        <v>8</v>
      </c>
      <c r="V14" s="171" t="n">
        <f aca="false">COUNTIF(年計!$D$3:$I$86,BD13)</f>
        <v>8</v>
      </c>
      <c r="W14" s="171" t="n">
        <f aca="false">COUNTIF(年計!$D$3:$I$86,BE13)</f>
        <v>9</v>
      </c>
      <c r="X14" s="191" t="n">
        <f aca="false">COUNTIF(年計!$D$3:$I$86,BF13)</f>
        <v>8</v>
      </c>
      <c r="Y14" s="170" t="n">
        <f aca="false">COUNTIF(年計!$J$3:$O$86,BG13)</f>
        <v>8</v>
      </c>
      <c r="Z14" s="164" t="n">
        <f aca="false">COUNTIF(年計!$J$3:$O$86,BH13)</f>
        <v>8</v>
      </c>
      <c r="AA14" s="164" t="n">
        <f aca="false">COUNTIF(年計!$J$3:$O$86,BI13)</f>
        <v>8</v>
      </c>
      <c r="AB14" s="164" t="n">
        <f aca="false">COUNTIF(年計!$J$3:$O$86,BJ13)</f>
        <v>9</v>
      </c>
      <c r="AC14" s="166" t="n">
        <f aca="false">COUNTIF(年計!$J$3:$O$86,BK13)</f>
        <v>8</v>
      </c>
      <c r="AD14" s="163" t="n">
        <f aca="false">COUNTIF(年計!$P$3:$U$86,BL13)</f>
        <v>7</v>
      </c>
      <c r="AE14" s="164" t="n">
        <f aca="false">COUNTIF(年計!$P$3:$U$86,BM13)</f>
        <v>6</v>
      </c>
      <c r="AF14" s="164" t="n">
        <f aca="false">COUNTIF(年計!$P$3:$U$86,BN13)</f>
        <v>8</v>
      </c>
      <c r="AG14" s="164" t="n">
        <f aca="false">COUNTIF(年計!$P$3:$U$86,BO13)</f>
        <v>6</v>
      </c>
      <c r="AH14" s="165" t="n">
        <f aca="false">COUNTIF(年計!$P$3:$U$86,BP13)</f>
        <v>8</v>
      </c>
      <c r="AI14" s="150" t="s">
        <v>197</v>
      </c>
      <c r="AJ14" s="150" t="str">
        <f aca="false">IFERROR(MATCH(AI14,年計!$C$2:$C$368,0),"")</f>
        <v/>
      </c>
      <c r="AM14" s="150" t="s">
        <v>20</v>
      </c>
      <c r="AN14" s="150" t="s">
        <v>26</v>
      </c>
      <c r="AO14" s="150" t="s">
        <v>32</v>
      </c>
      <c r="AP14" s="150" t="s">
        <v>37</v>
      </c>
      <c r="AQ14" s="150" t="s">
        <v>42</v>
      </c>
      <c r="AR14" s="150" t="s">
        <v>20</v>
      </c>
      <c r="AS14" s="150" t="s">
        <v>26</v>
      </c>
      <c r="AT14" s="150" t="s">
        <v>32</v>
      </c>
      <c r="AU14" s="150" t="s">
        <v>37</v>
      </c>
      <c r="AV14" s="150" t="s">
        <v>42</v>
      </c>
      <c r="AW14" s="150" t="s">
        <v>20</v>
      </c>
      <c r="AX14" s="150" t="s">
        <v>26</v>
      </c>
      <c r="AY14" s="150" t="s">
        <v>32</v>
      </c>
      <c r="AZ14" s="150" t="s">
        <v>37</v>
      </c>
      <c r="BA14" s="150" t="s">
        <v>42</v>
      </c>
      <c r="BB14" s="150" t="s">
        <v>20</v>
      </c>
      <c r="BC14" s="150" t="s">
        <v>26</v>
      </c>
      <c r="BD14" s="150" t="s">
        <v>32</v>
      </c>
      <c r="BE14" s="150" t="s">
        <v>37</v>
      </c>
      <c r="BF14" s="150" t="s">
        <v>42</v>
      </c>
      <c r="BG14" s="150" t="s">
        <v>20</v>
      </c>
      <c r="BH14" s="150" t="s">
        <v>26</v>
      </c>
      <c r="BI14" s="150" t="s">
        <v>32</v>
      </c>
      <c r="BJ14" s="150" t="s">
        <v>37</v>
      </c>
      <c r="BK14" s="150" t="s">
        <v>42</v>
      </c>
      <c r="BL14" s="150" t="s">
        <v>20</v>
      </c>
      <c r="BM14" s="150" t="s">
        <v>26</v>
      </c>
      <c r="BN14" s="150" t="s">
        <v>32</v>
      </c>
      <c r="BO14" s="150" t="s">
        <v>37</v>
      </c>
      <c r="BP14" s="150" t="s">
        <v>42</v>
      </c>
    </row>
    <row r="15" customFormat="false" ht="17.25" hidden="false" customHeight="false" outlineLevel="0" collapsed="false">
      <c r="A15" s="169" t="n">
        <v>2</v>
      </c>
      <c r="B15" s="174" t="n">
        <f aca="false">COUNTIF(年計!$D$49:$I$86,AM14)</f>
        <v>6</v>
      </c>
      <c r="C15" s="172" t="n">
        <f aca="false">COUNTIF(年計!$D$49:$I$86,AN14)</f>
        <v>6</v>
      </c>
      <c r="D15" s="172" t="n">
        <f aca="false">COUNTIF(年計!$D$49:$I$86,AO14)</f>
        <v>5</v>
      </c>
      <c r="E15" s="172" t="n">
        <f aca="false">COUNTIF(年計!$D$49:$I$86,AP14)</f>
        <v>5</v>
      </c>
      <c r="F15" s="175" t="n">
        <f aca="false">COUNTIF(年計!$D$49:$I$86,AQ14)</f>
        <v>5</v>
      </c>
      <c r="G15" s="174" t="n">
        <f aca="false">COUNTIF(年計!$J$49:$O$86,AR14)</f>
        <v>6</v>
      </c>
      <c r="H15" s="172" t="n">
        <f aca="false">COUNTIF(年計!$J$49:$O$86,AS14)</f>
        <v>6</v>
      </c>
      <c r="I15" s="172" t="n">
        <f aca="false">COUNTIF(年計!$J$49:$O$86,AT14)</f>
        <v>5</v>
      </c>
      <c r="J15" s="172" t="n">
        <f aca="false">COUNTIF(年計!$J$49:$O$86,AU14)</f>
        <v>5</v>
      </c>
      <c r="K15" s="175" t="n">
        <f aca="false">COUNTIF(年計!$J$49:$O$86,AV14)</f>
        <v>5</v>
      </c>
      <c r="L15" s="174" t="n">
        <f aca="false">COUNTIF(年計!$P$49:$U$86,AW14)</f>
        <v>5</v>
      </c>
      <c r="M15" s="172" t="n">
        <f aca="false">COUNTIF(年計!$P$49:$U$86,AX14)</f>
        <v>5</v>
      </c>
      <c r="N15" s="172" t="n">
        <f aca="false">COUNTIF(年計!$P$49:$U$86,AY14)</f>
        <v>4</v>
      </c>
      <c r="O15" s="192" t="n">
        <f aca="false">COUNTIF(年計!$P$49:$U$86,AZ14)</f>
        <v>3</v>
      </c>
      <c r="P15" s="193" t="n">
        <f aca="false">COUNTIF(年計!$P$49:$U$86,BA14)</f>
        <v>4</v>
      </c>
      <c r="S15" s="169" t="n">
        <v>2</v>
      </c>
      <c r="T15" s="194" t="n">
        <f aca="false">COUNTIF(年計!$D$3:$I$86,BB14)</f>
        <v>9</v>
      </c>
      <c r="U15" s="192" t="n">
        <f aca="false">COUNTIF(年計!$D$3:$I$86,BC14)</f>
        <v>9</v>
      </c>
      <c r="V15" s="192" t="n">
        <f aca="false">COUNTIF(年計!$D$3:$I$86,BD14)</f>
        <v>8</v>
      </c>
      <c r="W15" s="192" t="n">
        <f aca="false">COUNTIF(年計!$D$3:$I$86,BE14)</f>
        <v>9</v>
      </c>
      <c r="X15" s="195" t="n">
        <f aca="false">COUNTIF(年計!$D$3:$I$86,BF14)</f>
        <v>9</v>
      </c>
      <c r="Y15" s="194" t="n">
        <f aca="false">COUNTIF(年計!$J$3:$O$86,BG14)</f>
        <v>9</v>
      </c>
      <c r="Z15" s="192" t="n">
        <f aca="false">COUNTIF(年計!$J$3:$O$86,BH14)</f>
        <v>9</v>
      </c>
      <c r="AA15" s="192" t="n">
        <f aca="false">COUNTIF(年計!$J$3:$O$86,BI14)</f>
        <v>8</v>
      </c>
      <c r="AB15" s="192" t="n">
        <f aca="false">COUNTIF(年計!$J$3:$O$86,BJ14)</f>
        <v>9</v>
      </c>
      <c r="AC15" s="195" t="n">
        <f aca="false">COUNTIF(年計!$J$3:$O$86,BK14)</f>
        <v>9</v>
      </c>
      <c r="AD15" s="194" t="n">
        <f aca="false">COUNTIF(年計!$P$3:$U$86,BL14)</f>
        <v>8</v>
      </c>
      <c r="AE15" s="192" t="n">
        <f aca="false">COUNTIF(年計!$P$3:$U$86,BM14)</f>
        <v>8</v>
      </c>
      <c r="AF15" s="192" t="n">
        <f aca="false">COUNTIF(年計!$P$3:$U$86,BN14)</f>
        <v>7</v>
      </c>
      <c r="AG15" s="192" t="n">
        <f aca="false">COUNTIF(年計!$P$3:$U$86,BO14)</f>
        <v>6</v>
      </c>
      <c r="AH15" s="193" t="n">
        <f aca="false">COUNTIF(年計!$P$3:$U$86,BP14)</f>
        <v>8</v>
      </c>
      <c r="AM15" s="150" t="s">
        <v>21</v>
      </c>
      <c r="AN15" s="150" t="s">
        <v>27</v>
      </c>
      <c r="AO15" s="150" t="s">
        <v>33</v>
      </c>
      <c r="AP15" s="150" t="s">
        <v>38</v>
      </c>
      <c r="AQ15" s="150" t="s">
        <v>43</v>
      </c>
      <c r="AR15" s="150" t="s">
        <v>21</v>
      </c>
      <c r="AS15" s="150" t="s">
        <v>27</v>
      </c>
      <c r="AT15" s="150" t="s">
        <v>33</v>
      </c>
      <c r="AU15" s="150" t="s">
        <v>38</v>
      </c>
      <c r="AV15" s="150" t="s">
        <v>43</v>
      </c>
      <c r="AW15" s="150" t="s">
        <v>21</v>
      </c>
      <c r="AX15" s="150" t="s">
        <v>27</v>
      </c>
      <c r="AY15" s="150" t="s">
        <v>33</v>
      </c>
      <c r="AZ15" s="150" t="s">
        <v>38</v>
      </c>
      <c r="BA15" s="150" t="s">
        <v>43</v>
      </c>
      <c r="BB15" s="150" t="s">
        <v>21</v>
      </c>
      <c r="BC15" s="150" t="s">
        <v>27</v>
      </c>
      <c r="BD15" s="150" t="s">
        <v>33</v>
      </c>
      <c r="BE15" s="150" t="s">
        <v>38</v>
      </c>
      <c r="BF15" s="150" t="s">
        <v>43</v>
      </c>
      <c r="BG15" s="150" t="s">
        <v>21</v>
      </c>
      <c r="BH15" s="150" t="s">
        <v>27</v>
      </c>
      <c r="BI15" s="150" t="s">
        <v>33</v>
      </c>
      <c r="BJ15" s="150" t="s">
        <v>38</v>
      </c>
      <c r="BK15" s="150" t="s">
        <v>43</v>
      </c>
      <c r="BL15" s="150" t="s">
        <v>21</v>
      </c>
      <c r="BM15" s="150" t="s">
        <v>27</v>
      </c>
      <c r="BN15" s="150" t="s">
        <v>33</v>
      </c>
      <c r="BO15" s="150" t="s">
        <v>38</v>
      </c>
      <c r="BP15" s="150" t="s">
        <v>43</v>
      </c>
    </row>
    <row r="16" customFormat="false" ht="17.25" hidden="false" customHeight="false" outlineLevel="0" collapsed="false">
      <c r="A16" s="169" t="n">
        <v>3</v>
      </c>
      <c r="B16" s="174" t="n">
        <f aca="false">COUNTIF(年計!$D$49:$I$86,AM15)</f>
        <v>6</v>
      </c>
      <c r="C16" s="172" t="n">
        <f aca="false">COUNTIF(年計!$D$49:$I$86,AN15)</f>
        <v>6</v>
      </c>
      <c r="D16" s="172" t="n">
        <f aca="false">COUNTIF(年計!$D$49:$I$86,AO15)</f>
        <v>5</v>
      </c>
      <c r="E16" s="172" t="n">
        <f aca="false">COUNTIF(年計!$D$49:$I$86,AP15)</f>
        <v>5</v>
      </c>
      <c r="F16" s="175" t="n">
        <f aca="false">COUNTIF(年計!$D$49:$I$86,AQ15)</f>
        <v>5</v>
      </c>
      <c r="G16" s="174" t="n">
        <f aca="false">COUNTIF(年計!$J$49:$O$86,AR15)</f>
        <v>6</v>
      </c>
      <c r="H16" s="172" t="n">
        <f aca="false">COUNTIF(年計!$J$49:$O$86,AS15)</f>
        <v>6</v>
      </c>
      <c r="I16" s="172" t="n">
        <f aca="false">COUNTIF(年計!$J$49:$O$86,AT15)</f>
        <v>5</v>
      </c>
      <c r="J16" s="172" t="n">
        <f aca="false">COUNTIF(年計!$J$49:$O$86,AU15)</f>
        <v>5</v>
      </c>
      <c r="K16" s="175" t="n">
        <f aca="false">COUNTIF(年計!$J$49:$O$86,AV15)</f>
        <v>5</v>
      </c>
      <c r="L16" s="174" t="n">
        <f aca="false">COUNTIF(年計!$P$49:$U$86,AW15)</f>
        <v>5</v>
      </c>
      <c r="M16" s="172" t="n">
        <f aca="false">COUNTIF(年計!$P$49:$U$86,AX15)</f>
        <v>5</v>
      </c>
      <c r="N16" s="172" t="n">
        <f aca="false">COUNTIF(年計!$P$49:$U$86,AY15)</f>
        <v>4</v>
      </c>
      <c r="O16" s="192" t="n">
        <f aca="false">COUNTIF(年計!$P$49:$U$86,AZ15)</f>
        <v>3</v>
      </c>
      <c r="P16" s="193" t="n">
        <f aca="false">COUNTIF(年計!$P$49:$U$86,BA15)</f>
        <v>4</v>
      </c>
      <c r="S16" s="169" t="n">
        <v>3</v>
      </c>
      <c r="T16" s="194" t="n">
        <f aca="false">COUNTIF(年計!$D$3:$I$86,BB15)</f>
        <v>9</v>
      </c>
      <c r="U16" s="192" t="n">
        <f aca="false">COUNTIF(年計!$D$3:$I$86,BC15)</f>
        <v>9</v>
      </c>
      <c r="V16" s="192" t="n">
        <f aca="false">COUNTIF(年計!$D$3:$I$86,BD15)</f>
        <v>8</v>
      </c>
      <c r="W16" s="192" t="n">
        <f aca="false">COUNTIF(年計!$D$3:$I$86,BE15)</f>
        <v>9</v>
      </c>
      <c r="X16" s="195" t="n">
        <f aca="false">COUNTIF(年計!$D$3:$I$86,BF15)</f>
        <v>9</v>
      </c>
      <c r="Y16" s="194" t="n">
        <f aca="false">COUNTIF(年計!$J$3:$O$86,BG15)</f>
        <v>9</v>
      </c>
      <c r="Z16" s="192" t="n">
        <f aca="false">COUNTIF(年計!$J$3:$O$86,BH15)</f>
        <v>9</v>
      </c>
      <c r="AA16" s="192" t="n">
        <f aca="false">COUNTIF(年計!$J$3:$O$86,BI15)</f>
        <v>8</v>
      </c>
      <c r="AB16" s="192" t="n">
        <f aca="false">COUNTIF(年計!$J$3:$O$86,BJ15)</f>
        <v>9</v>
      </c>
      <c r="AC16" s="195" t="n">
        <f aca="false">COUNTIF(年計!$J$3:$O$86,BK15)</f>
        <v>9</v>
      </c>
      <c r="AD16" s="194" t="n">
        <f aca="false">COUNTIF(年計!$P$3:$U$86,BL15)</f>
        <v>8</v>
      </c>
      <c r="AE16" s="192" t="n">
        <f aca="false">COUNTIF(年計!$P$3:$U$86,BM15)</f>
        <v>8</v>
      </c>
      <c r="AF16" s="192" t="n">
        <f aca="false">COUNTIF(年計!$P$3:$U$86,BN15)</f>
        <v>7</v>
      </c>
      <c r="AG16" s="192" t="n">
        <f aca="false">COUNTIF(年計!$P$3:$U$86,BO15)</f>
        <v>6</v>
      </c>
      <c r="AH16" s="193" t="n">
        <f aca="false">COUNTIF(年計!$P$3:$U$86,BP15)</f>
        <v>8</v>
      </c>
      <c r="AM16" s="150" t="s">
        <v>22</v>
      </c>
      <c r="AN16" s="150" t="s">
        <v>28</v>
      </c>
      <c r="AO16" s="150" t="s">
        <v>34</v>
      </c>
      <c r="AP16" s="150" t="s">
        <v>39</v>
      </c>
      <c r="AQ16" s="150" t="s">
        <v>44</v>
      </c>
      <c r="AR16" s="150" t="s">
        <v>22</v>
      </c>
      <c r="AS16" s="150" t="s">
        <v>28</v>
      </c>
      <c r="AT16" s="150" t="s">
        <v>34</v>
      </c>
      <c r="AU16" s="150" t="s">
        <v>39</v>
      </c>
      <c r="AV16" s="150" t="s">
        <v>44</v>
      </c>
      <c r="AW16" s="150" t="s">
        <v>22</v>
      </c>
      <c r="AX16" s="150" t="s">
        <v>28</v>
      </c>
      <c r="AY16" s="150" t="s">
        <v>34</v>
      </c>
      <c r="AZ16" s="150" t="s">
        <v>39</v>
      </c>
      <c r="BA16" s="150" t="s">
        <v>44</v>
      </c>
      <c r="BB16" s="150" t="s">
        <v>22</v>
      </c>
      <c r="BC16" s="150" t="s">
        <v>28</v>
      </c>
      <c r="BD16" s="150" t="s">
        <v>34</v>
      </c>
      <c r="BE16" s="150" t="s">
        <v>39</v>
      </c>
      <c r="BF16" s="150" t="s">
        <v>44</v>
      </c>
      <c r="BG16" s="150" t="s">
        <v>22</v>
      </c>
      <c r="BH16" s="150" t="s">
        <v>28</v>
      </c>
      <c r="BI16" s="150" t="s">
        <v>34</v>
      </c>
      <c r="BJ16" s="150" t="s">
        <v>39</v>
      </c>
      <c r="BK16" s="150" t="s">
        <v>44</v>
      </c>
      <c r="BL16" s="150" t="s">
        <v>22</v>
      </c>
      <c r="BM16" s="150" t="s">
        <v>28</v>
      </c>
      <c r="BN16" s="150" t="s">
        <v>34</v>
      </c>
      <c r="BO16" s="150" t="s">
        <v>39</v>
      </c>
      <c r="BP16" s="150" t="s">
        <v>44</v>
      </c>
    </row>
    <row r="17" customFormat="false" ht="17.25" hidden="false" customHeight="false" outlineLevel="0" collapsed="false">
      <c r="A17" s="169" t="n">
        <v>4</v>
      </c>
      <c r="B17" s="174" t="n">
        <f aca="false">COUNTIF(年計!$D$49:$I$86,AM16)</f>
        <v>6</v>
      </c>
      <c r="C17" s="172" t="n">
        <f aca="false">COUNTIF(年計!$D$49:$I$86,AN16)</f>
        <v>5</v>
      </c>
      <c r="D17" s="172" t="n">
        <f aca="false">COUNTIF(年計!$D$49:$I$86,AO16)</f>
        <v>6</v>
      </c>
      <c r="E17" s="172" t="n">
        <f aca="false">COUNTIF(年計!$D$49:$I$86,AP16)</f>
        <v>5</v>
      </c>
      <c r="F17" s="175" t="n">
        <f aca="false">COUNTIF(年計!$D$49:$I$86,AQ16)</f>
        <v>5</v>
      </c>
      <c r="G17" s="174" t="n">
        <f aca="false">COUNTIF(年計!$J$49:$O$86,AR16)</f>
        <v>6</v>
      </c>
      <c r="H17" s="172" t="n">
        <f aca="false">COUNTIF(年計!$J$49:$O$86,AS16)</f>
        <v>5</v>
      </c>
      <c r="I17" s="172" t="n">
        <f aca="false">COUNTIF(年計!$J$49:$O$86,AT16)</f>
        <v>6</v>
      </c>
      <c r="J17" s="172" t="n">
        <f aca="false">COUNTIF(年計!$J$49:$O$86,AU16)</f>
        <v>5</v>
      </c>
      <c r="K17" s="175" t="n">
        <f aca="false">COUNTIF(年計!$J$49:$O$86,AV16)</f>
        <v>5</v>
      </c>
      <c r="L17" s="174" t="n">
        <f aca="false">COUNTIF(年計!$P$49:$U$86,AW16)</f>
        <v>5</v>
      </c>
      <c r="M17" s="172" t="n">
        <f aca="false">COUNTIF(年計!$P$49:$U$86,AX16)</f>
        <v>4</v>
      </c>
      <c r="N17" s="172" t="n">
        <f aca="false">COUNTIF(年計!$P$49:$U$86,AY16)</f>
        <v>5</v>
      </c>
      <c r="O17" s="192" t="n">
        <f aca="false">COUNTIF(年計!$P$49:$U$86,AZ16)</f>
        <v>3</v>
      </c>
      <c r="P17" s="193" t="n">
        <f aca="false">COUNTIF(年計!$P$49:$U$86,BA16)</f>
        <v>4</v>
      </c>
      <c r="S17" s="169" t="n">
        <v>4</v>
      </c>
      <c r="T17" s="194" t="n">
        <f aca="false">COUNTIF(年計!$D$3:$I$86,BB16)</f>
        <v>9</v>
      </c>
      <c r="U17" s="192" t="n">
        <f aca="false">COUNTIF(年計!$D$3:$I$86,BC16)</f>
        <v>8</v>
      </c>
      <c r="V17" s="192" t="n">
        <f aca="false">COUNTIF(年計!$D$3:$I$86,BD16)</f>
        <v>9</v>
      </c>
      <c r="W17" s="192" t="n">
        <f aca="false">COUNTIF(年計!$D$3:$I$86,BE16)</f>
        <v>9</v>
      </c>
      <c r="X17" s="195" t="n">
        <f aca="false">COUNTIF(年計!$D$3:$I$86,BF16)</f>
        <v>9</v>
      </c>
      <c r="Y17" s="194" t="n">
        <f aca="false">COUNTIF(年計!$J$3:$O$86,BG16)</f>
        <v>9</v>
      </c>
      <c r="Z17" s="192" t="n">
        <f aca="false">COUNTIF(年計!$J$3:$O$86,BH16)</f>
        <v>8</v>
      </c>
      <c r="AA17" s="192" t="n">
        <f aca="false">COUNTIF(年計!$J$3:$O$86,BI16)</f>
        <v>9</v>
      </c>
      <c r="AB17" s="192" t="n">
        <f aca="false">COUNTIF(年計!$J$3:$O$86,BJ16)</f>
        <v>9</v>
      </c>
      <c r="AC17" s="195" t="n">
        <f aca="false">COUNTIF(年計!$J$3:$O$86,BK16)</f>
        <v>9</v>
      </c>
      <c r="AD17" s="194" t="n">
        <f aca="false">COUNTIF(年計!$P$3:$U$86,BL16)</f>
        <v>8</v>
      </c>
      <c r="AE17" s="192" t="n">
        <f aca="false">COUNTIF(年計!$P$3:$U$86,BM16)</f>
        <v>7</v>
      </c>
      <c r="AF17" s="192" t="n">
        <f aca="false">COUNTIF(年計!$P$3:$U$86,BN16)</f>
        <v>8</v>
      </c>
      <c r="AG17" s="192" t="n">
        <f aca="false">COUNTIF(年計!$P$3:$U$86,BO16)</f>
        <v>7</v>
      </c>
      <c r="AH17" s="193" t="n">
        <f aca="false">COUNTIF(年計!$P$3:$U$86,BP16)</f>
        <v>8</v>
      </c>
      <c r="AM17" s="150" t="s">
        <v>23</v>
      </c>
      <c r="AN17" s="150" t="s">
        <v>29</v>
      </c>
      <c r="AO17" s="150" t="s">
        <v>35</v>
      </c>
      <c r="AP17" s="150" t="s">
        <v>40</v>
      </c>
      <c r="AQ17" s="150" t="s">
        <v>45</v>
      </c>
      <c r="AR17" s="150" t="s">
        <v>23</v>
      </c>
      <c r="AS17" s="150" t="s">
        <v>29</v>
      </c>
      <c r="AT17" s="150" t="s">
        <v>35</v>
      </c>
      <c r="AU17" s="150" t="s">
        <v>40</v>
      </c>
      <c r="AV17" s="150" t="s">
        <v>45</v>
      </c>
      <c r="AW17" s="150" t="s">
        <v>23</v>
      </c>
      <c r="AX17" s="150" t="s">
        <v>29</v>
      </c>
      <c r="AY17" s="150" t="s">
        <v>35</v>
      </c>
      <c r="AZ17" s="150" t="s">
        <v>40</v>
      </c>
      <c r="BA17" s="150" t="s">
        <v>45</v>
      </c>
      <c r="BB17" s="150" t="s">
        <v>23</v>
      </c>
      <c r="BC17" s="150" t="s">
        <v>29</v>
      </c>
      <c r="BD17" s="150" t="s">
        <v>35</v>
      </c>
      <c r="BE17" s="150" t="s">
        <v>40</v>
      </c>
      <c r="BF17" s="150" t="s">
        <v>45</v>
      </c>
      <c r="BG17" s="150" t="s">
        <v>23</v>
      </c>
      <c r="BH17" s="150" t="s">
        <v>29</v>
      </c>
      <c r="BI17" s="150" t="s">
        <v>35</v>
      </c>
      <c r="BJ17" s="150" t="s">
        <v>40</v>
      </c>
      <c r="BK17" s="150" t="s">
        <v>45</v>
      </c>
      <c r="BL17" s="150" t="s">
        <v>23</v>
      </c>
      <c r="BM17" s="150" t="s">
        <v>29</v>
      </c>
      <c r="BN17" s="150" t="s">
        <v>35</v>
      </c>
      <c r="BO17" s="150" t="s">
        <v>40</v>
      </c>
      <c r="BP17" s="150" t="s">
        <v>45</v>
      </c>
    </row>
    <row r="18" customFormat="false" ht="17.25" hidden="false" customHeight="false" outlineLevel="0" collapsed="false">
      <c r="A18" s="169" t="n">
        <v>5</v>
      </c>
      <c r="B18" s="174" t="n">
        <f aca="false">COUNTIF(年計!$D$49:$I$86,AM17)</f>
        <v>4</v>
      </c>
      <c r="C18" s="172" t="n">
        <f aca="false">COUNTIF(年計!$D$49:$I$86,AN17)</f>
        <v>5</v>
      </c>
      <c r="D18" s="172" t="n">
        <f aca="false">COUNTIF(年計!$D$49:$I$86,AO17)</f>
        <v>5</v>
      </c>
      <c r="E18" s="172" t="n">
        <f aca="false">COUNTIF(年計!$D$49:$I$86,AP17)</f>
        <v>6</v>
      </c>
      <c r="F18" s="175" t="n">
        <f aca="false">COUNTIF(年計!$D$49:$I$86,AQ17)</f>
        <v>4</v>
      </c>
      <c r="G18" s="194" t="n">
        <f aca="false">COUNTIF(年計!$J$49:$O$86,AR17)</f>
        <v>4</v>
      </c>
      <c r="H18" s="192" t="n">
        <f aca="false">COUNTIF(年計!$J$49:$O$86,AS17)</f>
        <v>5</v>
      </c>
      <c r="I18" s="192" t="n">
        <f aca="false">COUNTIF(年計!$J$49:$O$86,AT17)</f>
        <v>5</v>
      </c>
      <c r="J18" s="192" t="n">
        <f aca="false">COUNTIF(年計!$J$49:$O$86,AU17)</f>
        <v>6</v>
      </c>
      <c r="K18" s="195" t="n">
        <f aca="false">COUNTIF(年計!$J$49:$O$86,AV17)</f>
        <v>4</v>
      </c>
      <c r="L18" s="194" t="n">
        <f aca="false">COUNTIF(年計!$P$49:$U$86,AW17)</f>
        <v>3</v>
      </c>
      <c r="M18" s="192" t="n">
        <f aca="false">COUNTIF(年計!$P$49:$U$86,AX17)</f>
        <v>4</v>
      </c>
      <c r="N18" s="192" t="n">
        <f aca="false">COUNTIF(年計!$P$49:$U$86,AY17)</f>
        <v>4</v>
      </c>
      <c r="O18" s="192" t="n">
        <f aca="false">COUNTIF(年計!$P$49:$U$86,AZ17)</f>
        <v>4</v>
      </c>
      <c r="P18" s="193" t="n">
        <f aca="false">COUNTIF(年計!$P$49:$U$86,BA17)</f>
        <v>3</v>
      </c>
      <c r="S18" s="169" t="n">
        <v>5</v>
      </c>
      <c r="T18" s="194" t="n">
        <f aca="false">COUNTIF(年計!$D$3:$I$86,BB17)</f>
        <v>8</v>
      </c>
      <c r="U18" s="192" t="n">
        <f aca="false">COUNTIF(年計!$D$3:$I$86,BC17)</f>
        <v>8</v>
      </c>
      <c r="V18" s="192" t="n">
        <f aca="false">COUNTIF(年計!$D$3:$I$86,BD17)</f>
        <v>8</v>
      </c>
      <c r="W18" s="192" t="n">
        <f aca="false">COUNTIF(年計!$D$3:$I$86,BE17)</f>
        <v>9</v>
      </c>
      <c r="X18" s="195" t="n">
        <f aca="false">COUNTIF(年計!$D$3:$I$86,BF17)</f>
        <v>8</v>
      </c>
      <c r="Y18" s="194" t="n">
        <f aca="false">COUNTIF(年計!$J$3:$O$86,BG17)</f>
        <v>8</v>
      </c>
      <c r="Z18" s="192" t="n">
        <f aca="false">COUNTIF(年計!$J$3:$O$86,BH17)</f>
        <v>8</v>
      </c>
      <c r="AA18" s="192" t="n">
        <f aca="false">COUNTIF(年計!$J$3:$O$86,BI17)</f>
        <v>8</v>
      </c>
      <c r="AB18" s="192" t="n">
        <f aca="false">COUNTIF(年計!$J$3:$O$86,BJ17)</f>
        <v>9</v>
      </c>
      <c r="AC18" s="195" t="n">
        <f aca="false">COUNTIF(年計!$J$3:$O$86,BK17)</f>
        <v>8</v>
      </c>
      <c r="AD18" s="194" t="n">
        <f aca="false">COUNTIF(年計!$P$3:$U$86,BL17)</f>
        <v>6</v>
      </c>
      <c r="AE18" s="192" t="n">
        <f aca="false">COUNTIF(年計!$P$3:$U$86,BM17)</f>
        <v>7</v>
      </c>
      <c r="AF18" s="192" t="n">
        <f aca="false">COUNTIF(年計!$P$3:$U$86,BN17)</f>
        <v>7</v>
      </c>
      <c r="AG18" s="192" t="n">
        <f aca="false">COUNTIF(年計!$P$3:$U$86,BO17)</f>
        <v>7</v>
      </c>
      <c r="AH18" s="193" t="n">
        <f aca="false">COUNTIF(年計!$P$3:$U$86,BP17)</f>
        <v>7</v>
      </c>
      <c r="AM18" s="150" t="s">
        <v>7</v>
      </c>
      <c r="AN18" s="150" t="s">
        <v>9</v>
      </c>
      <c r="AO18" s="150" t="s">
        <v>11</v>
      </c>
      <c r="AP18" s="150" t="s">
        <v>194</v>
      </c>
      <c r="AQ18" s="150" t="s">
        <v>12</v>
      </c>
      <c r="AR18" s="150" t="s">
        <v>7</v>
      </c>
      <c r="AS18" s="150" t="s">
        <v>9</v>
      </c>
      <c r="AT18" s="150" t="s">
        <v>11</v>
      </c>
      <c r="AU18" s="150" t="s">
        <v>194</v>
      </c>
      <c r="AV18" s="150" t="s">
        <v>12</v>
      </c>
      <c r="AW18" s="150" t="s">
        <v>7</v>
      </c>
      <c r="AX18" s="150" t="s">
        <v>9</v>
      </c>
      <c r="AY18" s="150" t="s">
        <v>11</v>
      </c>
      <c r="AZ18" s="150" t="s">
        <v>194</v>
      </c>
      <c r="BA18" s="150" t="s">
        <v>12</v>
      </c>
      <c r="BB18" s="150" t="s">
        <v>7</v>
      </c>
      <c r="BC18" s="150" t="s">
        <v>9</v>
      </c>
      <c r="BD18" s="150" t="s">
        <v>11</v>
      </c>
      <c r="BE18" s="150" t="s">
        <v>194</v>
      </c>
      <c r="BF18" s="150" t="s">
        <v>12</v>
      </c>
      <c r="BG18" s="150" t="s">
        <v>7</v>
      </c>
      <c r="BH18" s="150" t="s">
        <v>9</v>
      </c>
      <c r="BI18" s="150" t="s">
        <v>11</v>
      </c>
      <c r="BJ18" s="150" t="s">
        <v>194</v>
      </c>
      <c r="BK18" s="150" t="s">
        <v>12</v>
      </c>
      <c r="BL18" s="150" t="s">
        <v>7</v>
      </c>
      <c r="BM18" s="150" t="s">
        <v>9</v>
      </c>
      <c r="BN18" s="150" t="s">
        <v>11</v>
      </c>
      <c r="BO18" s="150" t="s">
        <v>194</v>
      </c>
      <c r="BP18" s="150" t="s">
        <v>12</v>
      </c>
    </row>
    <row r="19" customFormat="false" ht="18" hidden="false" customHeight="true" outlineLevel="0" collapsed="false">
      <c r="A19" s="179" t="n">
        <v>6</v>
      </c>
      <c r="B19" s="180" t="n">
        <f aca="false">COUNTIF(年計!$D$49:$I$86,AM18)</f>
        <v>5</v>
      </c>
      <c r="C19" s="181" t="n">
        <f aca="false">COUNTIF(年計!$D$49:$I$86,AN18)</f>
        <v>5</v>
      </c>
      <c r="D19" s="182" t="n">
        <f aca="false">COUNTIF(年計!$D$49:$I$86,AO18)</f>
        <v>5</v>
      </c>
      <c r="E19" s="183"/>
      <c r="F19" s="184" t="n">
        <f aca="false">COUNTIF(年計!$D$49:$I$86,AQ18)</f>
        <v>5</v>
      </c>
      <c r="G19" s="185" t="n">
        <f aca="false">COUNTIF(年計!$J$49:$O$86,AR18)</f>
        <v>5</v>
      </c>
      <c r="H19" s="182" t="n">
        <f aca="false">COUNTIF(年計!$J$49:$O$86,AS18)</f>
        <v>5</v>
      </c>
      <c r="I19" s="182" t="n">
        <f aca="false">COUNTIF(年計!$J$49:$O$86,AT18)</f>
        <v>5</v>
      </c>
      <c r="J19" s="183" t="n">
        <f aca="false">COUNTIF(年計!$J$49:$O$86,AU18)</f>
        <v>0</v>
      </c>
      <c r="K19" s="196" t="n">
        <f aca="false">COUNTIF(年計!$J$49:$O$86,AV18)</f>
        <v>5</v>
      </c>
      <c r="L19" s="185" t="n">
        <f aca="false">COUNTIF(年計!$P$49:$U$86,AW18)</f>
        <v>4</v>
      </c>
      <c r="M19" s="182" t="n">
        <f aca="false">COUNTIF(年計!$P$49:$U$86,AX18)</f>
        <v>3</v>
      </c>
      <c r="N19" s="182" t="n">
        <f aca="false">COUNTIF(年計!$P$49:$U$86,AY18)</f>
        <v>4</v>
      </c>
      <c r="O19" s="183" t="n">
        <f aca="false">COUNTIF(年計!$P$49:$U$86,AZ18)</f>
        <v>0</v>
      </c>
      <c r="P19" s="184" t="n">
        <f aca="false">COUNTIF(年計!$P$49:$U$86,BA18)</f>
        <v>4</v>
      </c>
      <c r="S19" s="179" t="n">
        <v>6</v>
      </c>
      <c r="T19" s="185" t="n">
        <f aca="false">COUNTIF(年計!$D$3:$I$86,BB18)</f>
        <v>9</v>
      </c>
      <c r="U19" s="197" t="n">
        <f aca="false">COUNTIF(年計!$D$3:$I$86,BC18)</f>
        <v>8</v>
      </c>
      <c r="V19" s="182" t="n">
        <f aca="false">COUNTIF(年計!$D$3:$I$86,BD18)</f>
        <v>9</v>
      </c>
      <c r="W19" s="183"/>
      <c r="X19" s="196" t="n">
        <f aca="false">COUNTIF(年計!$D$3:$I$86,BF18)</f>
        <v>9</v>
      </c>
      <c r="Y19" s="185" t="n">
        <f aca="false">COUNTIF(年計!$J$3:$O$86,BG18)</f>
        <v>9</v>
      </c>
      <c r="Z19" s="182" t="n">
        <f aca="false">COUNTIF(年計!$J$3:$O$86,BH18)</f>
        <v>8</v>
      </c>
      <c r="AA19" s="182" t="n">
        <f aca="false">COUNTIF(年計!$J$3:$O$86,BI18)</f>
        <v>9</v>
      </c>
      <c r="AB19" s="183" t="n">
        <f aca="false">COUNTIF(年計!$J$3:$O$86,BJ18)</f>
        <v>0</v>
      </c>
      <c r="AC19" s="196" t="n">
        <f aca="false">COUNTIF(年計!$J$3:$O$86,BK18)</f>
        <v>9</v>
      </c>
      <c r="AD19" s="185" t="n">
        <f aca="false">COUNTIF(年計!$P$3:$U$86,BL18)</f>
        <v>8</v>
      </c>
      <c r="AE19" s="182" t="n">
        <f aca="false">COUNTIF(年計!$P$3:$U$86,BM18)</f>
        <v>6</v>
      </c>
      <c r="AF19" s="182" t="n">
        <f aca="false">COUNTIF(年計!$P$3:$U$86,BN18)</f>
        <v>8</v>
      </c>
      <c r="AG19" s="183" t="n">
        <f aca="false">COUNTIF(年計!$P$3:$U$86,BO18)</f>
        <v>0</v>
      </c>
      <c r="AH19" s="184" t="n">
        <f aca="false">COUNTIF(年計!$P$3:$U$86,BP18)</f>
        <v>7</v>
      </c>
    </row>
    <row r="20" customFormat="false" ht="18" hidden="false" customHeight="true" outlineLevel="0" collapsed="false">
      <c r="A20" s="149" t="s">
        <v>198</v>
      </c>
      <c r="B20" s="149"/>
      <c r="C20" s="149"/>
      <c r="D20" s="149"/>
      <c r="E20" s="149"/>
      <c r="F20" s="149"/>
      <c r="G20" s="149"/>
      <c r="H20" s="149"/>
      <c r="S20" s="149" t="s">
        <v>199</v>
      </c>
      <c r="T20" s="149"/>
      <c r="U20" s="149"/>
      <c r="V20" s="149"/>
      <c r="W20" s="149"/>
      <c r="X20" s="149"/>
      <c r="Y20" s="149"/>
      <c r="Z20" s="149"/>
    </row>
    <row r="21" customFormat="false" ht="18" hidden="false" customHeight="true" outlineLevel="0" collapsed="false">
      <c r="A21" s="151"/>
      <c r="B21" s="155" t="s">
        <v>3</v>
      </c>
      <c r="C21" s="155" t="s">
        <v>14</v>
      </c>
      <c r="D21" s="155" t="s">
        <v>17</v>
      </c>
      <c r="E21" s="155" t="s">
        <v>6</v>
      </c>
      <c r="F21" s="190" t="s">
        <v>8</v>
      </c>
      <c r="G21" s="154" t="s">
        <v>3</v>
      </c>
      <c r="H21" s="155" t="s">
        <v>14</v>
      </c>
      <c r="I21" s="155" t="s">
        <v>17</v>
      </c>
      <c r="J21" s="155" t="s">
        <v>6</v>
      </c>
      <c r="K21" s="156" t="s">
        <v>8</v>
      </c>
      <c r="L21" s="157" t="s">
        <v>3</v>
      </c>
      <c r="M21" s="155" t="s">
        <v>14</v>
      </c>
      <c r="N21" s="155" t="s">
        <v>17</v>
      </c>
      <c r="O21" s="155" t="s">
        <v>6</v>
      </c>
      <c r="P21" s="156" t="s">
        <v>8</v>
      </c>
      <c r="S21" s="151"/>
      <c r="T21" s="155" t="s">
        <v>3</v>
      </c>
      <c r="U21" s="155" t="s">
        <v>14</v>
      </c>
      <c r="V21" s="155" t="s">
        <v>17</v>
      </c>
      <c r="W21" s="155" t="s">
        <v>6</v>
      </c>
      <c r="X21" s="190" t="s">
        <v>8</v>
      </c>
      <c r="Y21" s="154" t="s">
        <v>3</v>
      </c>
      <c r="Z21" s="155" t="s">
        <v>14</v>
      </c>
      <c r="AA21" s="155" t="s">
        <v>17</v>
      </c>
      <c r="AB21" s="155" t="s">
        <v>6</v>
      </c>
      <c r="AC21" s="156" t="s">
        <v>8</v>
      </c>
      <c r="AD21" s="157" t="s">
        <v>3</v>
      </c>
      <c r="AE21" s="155" t="s">
        <v>14</v>
      </c>
      <c r="AF21" s="155" t="s">
        <v>17</v>
      </c>
      <c r="AG21" s="155" t="s">
        <v>6</v>
      </c>
      <c r="AH21" s="156" t="s">
        <v>8</v>
      </c>
      <c r="AM21" s="150" t="s">
        <v>19</v>
      </c>
      <c r="AN21" s="150" t="s">
        <v>25</v>
      </c>
      <c r="AO21" s="150" t="s">
        <v>31</v>
      </c>
      <c r="AP21" s="150" t="s">
        <v>36</v>
      </c>
      <c r="AQ21" s="150" t="s">
        <v>41</v>
      </c>
      <c r="AR21" s="150" t="s">
        <v>19</v>
      </c>
      <c r="AS21" s="150" t="s">
        <v>25</v>
      </c>
      <c r="AT21" s="150" t="s">
        <v>31</v>
      </c>
      <c r="AU21" s="150" t="s">
        <v>36</v>
      </c>
      <c r="AV21" s="150" t="s">
        <v>41</v>
      </c>
      <c r="AW21" s="150" t="s">
        <v>19</v>
      </c>
      <c r="AX21" s="150" t="s">
        <v>25</v>
      </c>
      <c r="AY21" s="150" t="s">
        <v>31</v>
      </c>
      <c r="AZ21" s="150" t="s">
        <v>36</v>
      </c>
      <c r="BA21" s="150" t="s">
        <v>41</v>
      </c>
      <c r="BB21" s="150" t="s">
        <v>19</v>
      </c>
      <c r="BC21" s="150" t="s">
        <v>25</v>
      </c>
      <c r="BD21" s="150" t="s">
        <v>31</v>
      </c>
      <c r="BE21" s="150" t="s">
        <v>36</v>
      </c>
      <c r="BF21" s="150" t="s">
        <v>41</v>
      </c>
      <c r="BG21" s="150" t="s">
        <v>19</v>
      </c>
      <c r="BH21" s="150" t="s">
        <v>25</v>
      </c>
      <c r="BI21" s="150" t="s">
        <v>31</v>
      </c>
      <c r="BJ21" s="150" t="s">
        <v>36</v>
      </c>
      <c r="BK21" s="150" t="s">
        <v>41</v>
      </c>
      <c r="BL21" s="150" t="s">
        <v>19</v>
      </c>
      <c r="BM21" s="150" t="s">
        <v>25</v>
      </c>
      <c r="BN21" s="150" t="s">
        <v>31</v>
      </c>
      <c r="BO21" s="150" t="s">
        <v>36</v>
      </c>
      <c r="BP21" s="150" t="s">
        <v>41</v>
      </c>
    </row>
    <row r="22" customFormat="false" ht="17.25" hidden="false" customHeight="false" outlineLevel="0" collapsed="false">
      <c r="A22" s="162" t="n">
        <v>1</v>
      </c>
      <c r="B22" s="163" t="n">
        <f aca="false">COUNTIF(年計!$D$87:$I$181,AM21)</f>
        <v>5</v>
      </c>
      <c r="C22" s="164" t="n">
        <f aca="false">COUNTIF(年計!$D$87:$I$181,AN21)</f>
        <v>6</v>
      </c>
      <c r="D22" s="164" t="n">
        <f aca="false">COUNTIF(年計!$D$87:$I$181,AO21)</f>
        <v>5</v>
      </c>
      <c r="E22" s="164" t="n">
        <f aca="false">COUNTIF(年計!$D$87:$I$181,AP21)</f>
        <v>5</v>
      </c>
      <c r="F22" s="166" t="n">
        <f aca="false">COUNTIF(年計!$D$87:$I$181,AQ21)</f>
        <v>5</v>
      </c>
      <c r="G22" s="163" t="n">
        <f aca="false">COUNTIF(年計!$J$87:$O$181,AR21)</f>
        <v>5</v>
      </c>
      <c r="H22" s="164" t="n">
        <f aca="false">COUNTIF(年計!$J$87:$O$181,AS21)</f>
        <v>6</v>
      </c>
      <c r="I22" s="164" t="n">
        <f aca="false">COUNTIF(年計!$J$87:$O$181,AT21)</f>
        <v>5</v>
      </c>
      <c r="J22" s="164" t="n">
        <f aca="false">COUNTIF(年計!$J$87:$O$181,AU21)</f>
        <v>5</v>
      </c>
      <c r="K22" s="166" t="n">
        <f aca="false">COUNTIF(年計!$J$87:$O$181,AV21)</f>
        <v>5</v>
      </c>
      <c r="L22" s="163" t="n">
        <f aca="false">COUNTIF(年計!$P$87:$U$181,AW21)</f>
        <v>5</v>
      </c>
      <c r="M22" s="164" t="n">
        <f aca="false">COUNTIF(年計!$P$87:$U$181,AX21)</f>
        <v>6</v>
      </c>
      <c r="N22" s="164" t="n">
        <f aca="false">COUNTIF(年計!$P$87:$U$181,AY21)</f>
        <v>5</v>
      </c>
      <c r="O22" s="164" t="n">
        <f aca="false">COUNTIF(年計!$P$87:$U$181,AZ21)</f>
        <v>5</v>
      </c>
      <c r="P22" s="165" t="n">
        <f aca="false">COUNTIF(年計!$P$87:$U$181,BA21)</f>
        <v>5</v>
      </c>
      <c r="S22" s="162" t="n">
        <v>1</v>
      </c>
      <c r="T22" s="170" t="n">
        <f aca="false">COUNTIF(年計!$D$3:$I$181,BB21)</f>
        <v>13</v>
      </c>
      <c r="U22" s="171" t="n">
        <f aca="false">COUNTIF(年計!$D$3:$I$181,BC21)</f>
        <v>14</v>
      </c>
      <c r="V22" s="171" t="n">
        <f aca="false">COUNTIF(年計!$D$3:$I$181,BD21)</f>
        <v>13</v>
      </c>
      <c r="W22" s="171" t="n">
        <f aca="false">COUNTIF(年計!$D$3:$I$181,BE21)</f>
        <v>14</v>
      </c>
      <c r="X22" s="191" t="n">
        <f aca="false">COUNTIF(年計!$D$3:$I$181,BF21)</f>
        <v>13</v>
      </c>
      <c r="Y22" s="170" t="n">
        <f aca="false">COUNTIF(年計!$J$3:$O$181,BG21)</f>
        <v>13</v>
      </c>
      <c r="Z22" s="164" t="n">
        <f aca="false">COUNTIF(年計!$J$3:$O$181,BH21)</f>
        <v>14</v>
      </c>
      <c r="AA22" s="164" t="n">
        <f aca="false">COUNTIF(年計!$J$3:$O$181,BI21)</f>
        <v>13</v>
      </c>
      <c r="AB22" s="164" t="n">
        <f aca="false">COUNTIF(年計!$J$3:$O$181,BJ21)</f>
        <v>14</v>
      </c>
      <c r="AC22" s="166" t="n">
        <f aca="false">COUNTIF(年計!$J$3:$O$181,BK21)</f>
        <v>13</v>
      </c>
      <c r="AD22" s="163" t="n">
        <f aca="false">COUNTIF(年計!$P$3:$U$181,BL21)</f>
        <v>12</v>
      </c>
      <c r="AE22" s="164" t="n">
        <f aca="false">COUNTIF(年計!$P$3:$U$181,BM21)</f>
        <v>12</v>
      </c>
      <c r="AF22" s="164" t="n">
        <f aca="false">COUNTIF(年計!$P$3:$U$181,BN21)</f>
        <v>13</v>
      </c>
      <c r="AG22" s="164" t="n">
        <f aca="false">COUNTIF(年計!$P$3:$U$181,BO21)</f>
        <v>11</v>
      </c>
      <c r="AH22" s="165" t="n">
        <f aca="false">COUNTIF(年計!$P$3:$U$181,BP21)</f>
        <v>13</v>
      </c>
      <c r="AI22" s="150" t="s">
        <v>200</v>
      </c>
      <c r="AJ22" s="150" t="str">
        <f aca="false">IFERROR(MATCH(AI22,年計!$C$2:$C$368,0),"")</f>
        <v/>
      </c>
      <c r="AM22" s="150" t="s">
        <v>20</v>
      </c>
      <c r="AN22" s="150" t="s">
        <v>26</v>
      </c>
      <c r="AO22" s="150" t="s">
        <v>32</v>
      </c>
      <c r="AP22" s="150" t="s">
        <v>37</v>
      </c>
      <c r="AQ22" s="150" t="s">
        <v>42</v>
      </c>
      <c r="AR22" s="150" t="s">
        <v>20</v>
      </c>
      <c r="AS22" s="150" t="s">
        <v>26</v>
      </c>
      <c r="AT22" s="150" t="s">
        <v>32</v>
      </c>
      <c r="AU22" s="150" t="s">
        <v>37</v>
      </c>
      <c r="AV22" s="150" t="s">
        <v>42</v>
      </c>
      <c r="AW22" s="150" t="s">
        <v>20</v>
      </c>
      <c r="AX22" s="150" t="s">
        <v>26</v>
      </c>
      <c r="AY22" s="150" t="s">
        <v>32</v>
      </c>
      <c r="AZ22" s="150" t="s">
        <v>37</v>
      </c>
      <c r="BA22" s="150" t="s">
        <v>42</v>
      </c>
      <c r="BB22" s="150" t="s">
        <v>20</v>
      </c>
      <c r="BC22" s="150" t="s">
        <v>26</v>
      </c>
      <c r="BD22" s="150" t="s">
        <v>32</v>
      </c>
      <c r="BE22" s="150" t="s">
        <v>37</v>
      </c>
      <c r="BF22" s="150" t="s">
        <v>42</v>
      </c>
      <c r="BG22" s="150" t="s">
        <v>20</v>
      </c>
      <c r="BH22" s="150" t="s">
        <v>26</v>
      </c>
      <c r="BI22" s="150" t="s">
        <v>32</v>
      </c>
      <c r="BJ22" s="150" t="s">
        <v>37</v>
      </c>
      <c r="BK22" s="150" t="s">
        <v>42</v>
      </c>
      <c r="BL22" s="150" t="s">
        <v>20</v>
      </c>
      <c r="BM22" s="150" t="s">
        <v>26</v>
      </c>
      <c r="BN22" s="150" t="s">
        <v>32</v>
      </c>
      <c r="BO22" s="150" t="s">
        <v>37</v>
      </c>
      <c r="BP22" s="150" t="s">
        <v>42</v>
      </c>
    </row>
    <row r="23" customFormat="false" ht="17.25" hidden="false" customHeight="false" outlineLevel="0" collapsed="false">
      <c r="A23" s="169" t="n">
        <v>2</v>
      </c>
      <c r="B23" s="174" t="n">
        <f aca="false">COUNTIF(年計!$D$87:$I$181,AM22)</f>
        <v>5</v>
      </c>
      <c r="C23" s="172" t="n">
        <f aca="false">COUNTIF(年計!$D$87:$I$181,AN22)</f>
        <v>6</v>
      </c>
      <c r="D23" s="172" t="n">
        <f aca="false">COUNTIF(年計!$D$87:$I$181,AO22)</f>
        <v>6</v>
      </c>
      <c r="E23" s="172" t="n">
        <f aca="false">COUNTIF(年計!$D$87:$I$181,AP22)</f>
        <v>6</v>
      </c>
      <c r="F23" s="175" t="n">
        <f aca="false">COUNTIF(年計!$D$87:$I$181,AQ22)</f>
        <v>5</v>
      </c>
      <c r="G23" s="174" t="n">
        <f aca="false">COUNTIF(年計!$J$87:$O$181,AR22)</f>
        <v>5</v>
      </c>
      <c r="H23" s="172" t="n">
        <f aca="false">COUNTIF(年計!$J$87:$O$181,AS22)</f>
        <v>6</v>
      </c>
      <c r="I23" s="172" t="n">
        <f aca="false">COUNTIF(年計!$J$87:$O$181,AT22)</f>
        <v>6</v>
      </c>
      <c r="J23" s="172" t="n">
        <f aca="false">COUNTIF(年計!$J$87:$O$181,AU22)</f>
        <v>6</v>
      </c>
      <c r="K23" s="175" t="n">
        <f aca="false">COUNTIF(年計!$J$87:$O$181,AV22)</f>
        <v>5</v>
      </c>
      <c r="L23" s="174" t="n">
        <f aca="false">COUNTIF(年計!$P$87:$U$181,AW22)</f>
        <v>5</v>
      </c>
      <c r="M23" s="172" t="n">
        <f aca="false">COUNTIF(年計!$P$87:$U$181,AX22)</f>
        <v>6</v>
      </c>
      <c r="N23" s="172" t="n">
        <f aca="false">COUNTIF(年計!$P$87:$U$181,AY22)</f>
        <v>6</v>
      </c>
      <c r="O23" s="192" t="n">
        <f aca="false">COUNTIF(年計!$P$87:$U$181,AZ22)</f>
        <v>6</v>
      </c>
      <c r="P23" s="193" t="n">
        <f aca="false">COUNTIF(年計!$P$87:$U$181,BA22)</f>
        <v>5</v>
      </c>
      <c r="S23" s="169" t="n">
        <v>2</v>
      </c>
      <c r="T23" s="194" t="n">
        <f aca="false">COUNTIF(年計!$D$3:$I$181,BB22)</f>
        <v>14</v>
      </c>
      <c r="U23" s="192" t="n">
        <f aca="false">COUNTIF(年計!$D$3:$I$181,BC22)</f>
        <v>15</v>
      </c>
      <c r="V23" s="192" t="n">
        <f aca="false">COUNTIF(年計!$D$3:$I$181,BD22)</f>
        <v>14</v>
      </c>
      <c r="W23" s="192" t="n">
        <f aca="false">COUNTIF(年計!$D$3:$I$181,BE22)</f>
        <v>15</v>
      </c>
      <c r="X23" s="195" t="n">
        <f aca="false">COUNTIF(年計!$D$3:$I$181,BF22)</f>
        <v>14</v>
      </c>
      <c r="Y23" s="194" t="n">
        <f aca="false">COUNTIF(年計!$J$3:$O$181,BG22)</f>
        <v>14</v>
      </c>
      <c r="Z23" s="192" t="n">
        <f aca="false">COUNTIF(年計!$J$3:$O$181,BH22)</f>
        <v>15</v>
      </c>
      <c r="AA23" s="192" t="n">
        <f aca="false">COUNTIF(年計!$J$3:$O$181,BI22)</f>
        <v>14</v>
      </c>
      <c r="AB23" s="192" t="n">
        <f aca="false">COUNTIF(年計!$J$3:$O$181,BJ22)</f>
        <v>15</v>
      </c>
      <c r="AC23" s="195" t="n">
        <f aca="false">COUNTIF(年計!$J$3:$O$181,BK22)</f>
        <v>14</v>
      </c>
      <c r="AD23" s="194" t="n">
        <f aca="false">COUNTIF(年計!$P$3:$U$181,BL22)</f>
        <v>13</v>
      </c>
      <c r="AE23" s="192" t="n">
        <f aca="false">COUNTIF(年計!$P$3:$U$181,BM22)</f>
        <v>14</v>
      </c>
      <c r="AF23" s="192" t="n">
        <f aca="false">COUNTIF(年計!$P$3:$U$181,BN22)</f>
        <v>13</v>
      </c>
      <c r="AG23" s="192" t="n">
        <f aca="false">COUNTIF(年計!$P$3:$U$181,BO22)</f>
        <v>12</v>
      </c>
      <c r="AH23" s="193" t="n">
        <f aca="false">COUNTIF(年計!$P$3:$U$181,BP22)</f>
        <v>13</v>
      </c>
      <c r="AM23" s="150" t="s">
        <v>21</v>
      </c>
      <c r="AN23" s="150" t="s">
        <v>27</v>
      </c>
      <c r="AO23" s="150" t="s">
        <v>33</v>
      </c>
      <c r="AP23" s="150" t="s">
        <v>38</v>
      </c>
      <c r="AQ23" s="150" t="s">
        <v>43</v>
      </c>
      <c r="AR23" s="150" t="s">
        <v>21</v>
      </c>
      <c r="AS23" s="150" t="s">
        <v>27</v>
      </c>
      <c r="AT23" s="150" t="s">
        <v>33</v>
      </c>
      <c r="AU23" s="150" t="s">
        <v>38</v>
      </c>
      <c r="AV23" s="150" t="s">
        <v>43</v>
      </c>
      <c r="AW23" s="150" t="s">
        <v>21</v>
      </c>
      <c r="AX23" s="150" t="s">
        <v>27</v>
      </c>
      <c r="AY23" s="150" t="s">
        <v>33</v>
      </c>
      <c r="AZ23" s="150" t="s">
        <v>38</v>
      </c>
      <c r="BA23" s="150" t="s">
        <v>43</v>
      </c>
      <c r="BB23" s="150" t="s">
        <v>21</v>
      </c>
      <c r="BC23" s="150" t="s">
        <v>27</v>
      </c>
      <c r="BD23" s="150" t="s">
        <v>33</v>
      </c>
      <c r="BE23" s="150" t="s">
        <v>38</v>
      </c>
      <c r="BF23" s="150" t="s">
        <v>43</v>
      </c>
      <c r="BG23" s="150" t="s">
        <v>21</v>
      </c>
      <c r="BH23" s="150" t="s">
        <v>27</v>
      </c>
      <c r="BI23" s="150" t="s">
        <v>33</v>
      </c>
      <c r="BJ23" s="150" t="s">
        <v>38</v>
      </c>
      <c r="BK23" s="150" t="s">
        <v>43</v>
      </c>
      <c r="BL23" s="150" t="s">
        <v>21</v>
      </c>
      <c r="BM23" s="150" t="s">
        <v>27</v>
      </c>
      <c r="BN23" s="150" t="s">
        <v>33</v>
      </c>
      <c r="BO23" s="150" t="s">
        <v>38</v>
      </c>
      <c r="BP23" s="150" t="s">
        <v>43</v>
      </c>
    </row>
    <row r="24" customFormat="false" ht="17.25" hidden="false" customHeight="false" outlineLevel="0" collapsed="false">
      <c r="A24" s="169" t="n">
        <v>3</v>
      </c>
      <c r="B24" s="174" t="n">
        <f aca="false">COUNTIF(年計!$D$87:$I$181,AM23)</f>
        <v>5</v>
      </c>
      <c r="C24" s="172" t="n">
        <f aca="false">COUNTIF(年計!$D$87:$I$181,AN23)</f>
        <v>5</v>
      </c>
      <c r="D24" s="172" t="n">
        <f aca="false">COUNTIF(年計!$D$87:$I$181,AO23)</f>
        <v>6</v>
      </c>
      <c r="E24" s="172" t="n">
        <f aca="false">COUNTIF(年計!$D$87:$I$181,AP23)</f>
        <v>6</v>
      </c>
      <c r="F24" s="175" t="n">
        <f aca="false">COUNTIF(年計!$D$87:$I$181,AQ23)</f>
        <v>5</v>
      </c>
      <c r="G24" s="174" t="n">
        <f aca="false">COUNTIF(年計!$J$87:$O$181,AR23)</f>
        <v>5</v>
      </c>
      <c r="H24" s="172" t="n">
        <f aca="false">COUNTIF(年計!$J$87:$O$181,AS23)</f>
        <v>5</v>
      </c>
      <c r="I24" s="172" t="n">
        <f aca="false">COUNTIF(年計!$J$87:$O$181,AT23)</f>
        <v>6</v>
      </c>
      <c r="J24" s="172" t="n">
        <f aca="false">COUNTIF(年計!$J$87:$O$181,AU23)</f>
        <v>6</v>
      </c>
      <c r="K24" s="175" t="n">
        <f aca="false">COUNTIF(年計!$J$87:$O$181,AV23)</f>
        <v>5</v>
      </c>
      <c r="L24" s="174" t="n">
        <f aca="false">COUNTIF(年計!$P$87:$U$181,AW23)</f>
        <v>5</v>
      </c>
      <c r="M24" s="172" t="n">
        <f aca="false">COUNTIF(年計!$P$87:$U$181,AX23)</f>
        <v>5</v>
      </c>
      <c r="N24" s="172" t="n">
        <f aca="false">COUNTIF(年計!$P$87:$U$181,AY23)</f>
        <v>6</v>
      </c>
      <c r="O24" s="192" t="n">
        <f aca="false">COUNTIF(年計!$P$87:$U$181,AZ23)</f>
        <v>5</v>
      </c>
      <c r="P24" s="193" t="n">
        <f aca="false">COUNTIF(年計!$P$87:$U$181,BA23)</f>
        <v>5</v>
      </c>
      <c r="S24" s="169" t="n">
        <v>3</v>
      </c>
      <c r="T24" s="194" t="n">
        <f aca="false">COUNTIF(年計!$D$3:$I$181,BB23)</f>
        <v>14</v>
      </c>
      <c r="U24" s="192" t="n">
        <f aca="false">COUNTIF(年計!$D$3:$I$181,BC23)</f>
        <v>14</v>
      </c>
      <c r="V24" s="192" t="n">
        <f aca="false">COUNTIF(年計!$D$3:$I$181,BD23)</f>
        <v>14</v>
      </c>
      <c r="W24" s="192" t="n">
        <f aca="false">COUNTIF(年計!$D$3:$I$181,BE23)</f>
        <v>15</v>
      </c>
      <c r="X24" s="195" t="n">
        <f aca="false">COUNTIF(年計!$D$3:$I$181,BF23)</f>
        <v>14</v>
      </c>
      <c r="Y24" s="194" t="n">
        <f aca="false">COUNTIF(年計!$J$3:$O$181,BG23)</f>
        <v>14</v>
      </c>
      <c r="Z24" s="192" t="n">
        <f aca="false">COUNTIF(年計!$J$3:$O$181,BH23)</f>
        <v>14</v>
      </c>
      <c r="AA24" s="192" t="n">
        <f aca="false">COUNTIF(年計!$J$3:$O$181,BI23)</f>
        <v>14</v>
      </c>
      <c r="AB24" s="192" t="n">
        <f aca="false">COUNTIF(年計!$J$3:$O$181,BJ23)</f>
        <v>15</v>
      </c>
      <c r="AC24" s="195" t="n">
        <f aca="false">COUNTIF(年計!$J$3:$O$181,BK23)</f>
        <v>14</v>
      </c>
      <c r="AD24" s="194" t="n">
        <f aca="false">COUNTIF(年計!$P$3:$U$181,BL23)</f>
        <v>13</v>
      </c>
      <c r="AE24" s="192" t="n">
        <f aca="false">COUNTIF(年計!$P$3:$U$181,BM23)</f>
        <v>13</v>
      </c>
      <c r="AF24" s="192" t="n">
        <f aca="false">COUNTIF(年計!$P$3:$U$181,BN23)</f>
        <v>13</v>
      </c>
      <c r="AG24" s="192" t="n">
        <f aca="false">COUNTIF(年計!$P$3:$U$181,BO23)</f>
        <v>11</v>
      </c>
      <c r="AH24" s="193" t="n">
        <f aca="false">COUNTIF(年計!$P$3:$U$181,BP23)</f>
        <v>13</v>
      </c>
      <c r="AM24" s="150" t="s">
        <v>22</v>
      </c>
      <c r="AN24" s="150" t="s">
        <v>28</v>
      </c>
      <c r="AO24" s="150" t="s">
        <v>34</v>
      </c>
      <c r="AP24" s="150" t="s">
        <v>39</v>
      </c>
      <c r="AQ24" s="150" t="s">
        <v>44</v>
      </c>
      <c r="AR24" s="150" t="s">
        <v>22</v>
      </c>
      <c r="AS24" s="150" t="s">
        <v>28</v>
      </c>
      <c r="AT24" s="150" t="s">
        <v>34</v>
      </c>
      <c r="AU24" s="150" t="s">
        <v>39</v>
      </c>
      <c r="AV24" s="150" t="s">
        <v>44</v>
      </c>
      <c r="AW24" s="150" t="s">
        <v>22</v>
      </c>
      <c r="AX24" s="150" t="s">
        <v>28</v>
      </c>
      <c r="AY24" s="150" t="s">
        <v>34</v>
      </c>
      <c r="AZ24" s="150" t="s">
        <v>39</v>
      </c>
      <c r="BA24" s="150" t="s">
        <v>44</v>
      </c>
      <c r="BB24" s="150" t="s">
        <v>22</v>
      </c>
      <c r="BC24" s="150" t="s">
        <v>28</v>
      </c>
      <c r="BD24" s="150" t="s">
        <v>34</v>
      </c>
      <c r="BE24" s="150" t="s">
        <v>39</v>
      </c>
      <c r="BF24" s="150" t="s">
        <v>44</v>
      </c>
      <c r="BG24" s="150" t="s">
        <v>22</v>
      </c>
      <c r="BH24" s="150" t="s">
        <v>28</v>
      </c>
      <c r="BI24" s="150" t="s">
        <v>34</v>
      </c>
      <c r="BJ24" s="150" t="s">
        <v>39</v>
      </c>
      <c r="BK24" s="150" t="s">
        <v>44</v>
      </c>
      <c r="BL24" s="150" t="s">
        <v>22</v>
      </c>
      <c r="BM24" s="150" t="s">
        <v>28</v>
      </c>
      <c r="BN24" s="150" t="s">
        <v>34</v>
      </c>
      <c r="BO24" s="150" t="s">
        <v>39</v>
      </c>
      <c r="BP24" s="150" t="s">
        <v>44</v>
      </c>
    </row>
    <row r="25" customFormat="false" ht="17.25" hidden="false" customHeight="false" outlineLevel="0" collapsed="false">
      <c r="A25" s="169" t="n">
        <v>4</v>
      </c>
      <c r="B25" s="174" t="n">
        <f aca="false">COUNTIF(年計!$D$87:$I$181,AM24)</f>
        <v>6</v>
      </c>
      <c r="C25" s="172" t="n">
        <f aca="false">COUNTIF(年計!$D$87:$I$181,AN24)</f>
        <v>6</v>
      </c>
      <c r="D25" s="172" t="n">
        <f aca="false">COUNTIF(年計!$D$87:$I$181,AO24)</f>
        <v>5</v>
      </c>
      <c r="E25" s="172" t="n">
        <f aca="false">COUNTIF(年計!$D$87:$I$181,AP24)</f>
        <v>6</v>
      </c>
      <c r="F25" s="175" t="n">
        <f aca="false">COUNTIF(年計!$D$87:$I$181,AQ24)</f>
        <v>5</v>
      </c>
      <c r="G25" s="174" t="n">
        <f aca="false">COUNTIF(年計!$J$87:$O$181,AR24)</f>
        <v>6</v>
      </c>
      <c r="H25" s="172" t="n">
        <f aca="false">COUNTIF(年計!$J$87:$O$181,AS24)</f>
        <v>6</v>
      </c>
      <c r="I25" s="172" t="n">
        <f aca="false">COUNTIF(年計!$J$87:$O$181,AT24)</f>
        <v>5</v>
      </c>
      <c r="J25" s="172" t="n">
        <f aca="false">COUNTIF(年計!$J$87:$O$181,AU24)</f>
        <v>6</v>
      </c>
      <c r="K25" s="175" t="n">
        <f aca="false">COUNTIF(年計!$J$87:$O$181,AV24)</f>
        <v>5</v>
      </c>
      <c r="L25" s="174" t="n">
        <f aca="false">COUNTIF(年計!$P$87:$U$181,AW24)</f>
        <v>5</v>
      </c>
      <c r="M25" s="172" t="n">
        <f aca="false">COUNTIF(年計!$P$87:$U$181,AX24)</f>
        <v>6</v>
      </c>
      <c r="N25" s="172" t="n">
        <f aca="false">COUNTIF(年計!$P$87:$U$181,AY24)</f>
        <v>5</v>
      </c>
      <c r="O25" s="192" t="n">
        <f aca="false">COUNTIF(年計!$P$87:$U$181,AZ24)</f>
        <v>6</v>
      </c>
      <c r="P25" s="193" t="n">
        <f aca="false">COUNTIF(年計!$P$87:$U$181,BA24)</f>
        <v>5</v>
      </c>
      <c r="S25" s="169" t="n">
        <v>4</v>
      </c>
      <c r="T25" s="194" t="n">
        <f aca="false">COUNTIF(年計!$D$3:$I$181,BB24)</f>
        <v>15</v>
      </c>
      <c r="U25" s="192" t="n">
        <f aca="false">COUNTIF(年計!$D$3:$I$181,BC24)</f>
        <v>14</v>
      </c>
      <c r="V25" s="192" t="n">
        <f aca="false">COUNTIF(年計!$D$3:$I$181,BD24)</f>
        <v>14</v>
      </c>
      <c r="W25" s="192" t="n">
        <f aca="false">COUNTIF(年計!$D$3:$I$181,BE24)</f>
        <v>15</v>
      </c>
      <c r="X25" s="195" t="n">
        <f aca="false">COUNTIF(年計!$D$3:$I$181,BF24)</f>
        <v>14</v>
      </c>
      <c r="Y25" s="194" t="n">
        <f aca="false">COUNTIF(年計!$J$3:$O$181,BG24)</f>
        <v>15</v>
      </c>
      <c r="Z25" s="192" t="n">
        <f aca="false">COUNTIF(年計!$J$3:$O$181,BH24)</f>
        <v>14</v>
      </c>
      <c r="AA25" s="192" t="n">
        <f aca="false">COUNTIF(年計!$J$3:$O$181,BI24)</f>
        <v>14</v>
      </c>
      <c r="AB25" s="192" t="n">
        <f aca="false">COUNTIF(年計!$J$3:$O$181,BJ24)</f>
        <v>15</v>
      </c>
      <c r="AC25" s="195" t="n">
        <f aca="false">COUNTIF(年計!$J$3:$O$181,BK24)</f>
        <v>14</v>
      </c>
      <c r="AD25" s="194" t="n">
        <f aca="false">COUNTIF(年計!$P$3:$U$181,BL24)</f>
        <v>13</v>
      </c>
      <c r="AE25" s="192" t="n">
        <f aca="false">COUNTIF(年計!$P$3:$U$181,BM24)</f>
        <v>13</v>
      </c>
      <c r="AF25" s="192" t="n">
        <f aca="false">COUNTIF(年計!$P$3:$U$181,BN24)</f>
        <v>13</v>
      </c>
      <c r="AG25" s="192" t="n">
        <f aca="false">COUNTIF(年計!$P$3:$U$181,BO24)</f>
        <v>13</v>
      </c>
      <c r="AH25" s="193" t="n">
        <f aca="false">COUNTIF(年計!$P$3:$U$181,BP24)</f>
        <v>13</v>
      </c>
      <c r="AM25" s="150" t="s">
        <v>23</v>
      </c>
      <c r="AN25" s="150" t="s">
        <v>29</v>
      </c>
      <c r="AO25" s="150" t="s">
        <v>35</v>
      </c>
      <c r="AP25" s="150" t="s">
        <v>40</v>
      </c>
      <c r="AQ25" s="150" t="s">
        <v>45</v>
      </c>
      <c r="AR25" s="150" t="s">
        <v>23</v>
      </c>
      <c r="AS25" s="150" t="s">
        <v>29</v>
      </c>
      <c r="AT25" s="150" t="s">
        <v>35</v>
      </c>
      <c r="AU25" s="150" t="s">
        <v>40</v>
      </c>
      <c r="AV25" s="150" t="s">
        <v>45</v>
      </c>
      <c r="AW25" s="150" t="s">
        <v>23</v>
      </c>
      <c r="AX25" s="150" t="s">
        <v>29</v>
      </c>
      <c r="AY25" s="150" t="s">
        <v>35</v>
      </c>
      <c r="AZ25" s="150" t="s">
        <v>40</v>
      </c>
      <c r="BA25" s="150" t="s">
        <v>45</v>
      </c>
      <c r="BB25" s="150" t="s">
        <v>23</v>
      </c>
      <c r="BC25" s="150" t="s">
        <v>29</v>
      </c>
      <c r="BD25" s="150" t="s">
        <v>35</v>
      </c>
      <c r="BE25" s="150" t="s">
        <v>40</v>
      </c>
      <c r="BF25" s="150" t="s">
        <v>45</v>
      </c>
      <c r="BG25" s="150" t="s">
        <v>23</v>
      </c>
      <c r="BH25" s="150" t="s">
        <v>29</v>
      </c>
      <c r="BI25" s="150" t="s">
        <v>35</v>
      </c>
      <c r="BJ25" s="150" t="s">
        <v>40</v>
      </c>
      <c r="BK25" s="150" t="s">
        <v>45</v>
      </c>
      <c r="BL25" s="150" t="s">
        <v>23</v>
      </c>
      <c r="BM25" s="150" t="s">
        <v>29</v>
      </c>
      <c r="BN25" s="150" t="s">
        <v>35</v>
      </c>
      <c r="BO25" s="150" t="s">
        <v>40</v>
      </c>
      <c r="BP25" s="150" t="s">
        <v>45</v>
      </c>
    </row>
    <row r="26" customFormat="false" ht="17.25" hidden="false" customHeight="false" outlineLevel="0" collapsed="false">
      <c r="A26" s="169" t="n">
        <v>5</v>
      </c>
      <c r="B26" s="174" t="n">
        <f aca="false">COUNTIF(年計!$D$87:$I$181,AM25)</f>
        <v>5</v>
      </c>
      <c r="C26" s="172" t="n">
        <f aca="false">COUNTIF(年計!$D$87:$I$181,AN25)</f>
        <v>4</v>
      </c>
      <c r="D26" s="172" t="n">
        <f aca="false">COUNTIF(年計!$D$87:$I$181,AO25)</f>
        <v>4</v>
      </c>
      <c r="E26" s="172" t="n">
        <f aca="false">COUNTIF(年計!$D$87:$I$181,AP25)</f>
        <v>5</v>
      </c>
      <c r="F26" s="175" t="n">
        <f aca="false">COUNTIF(年計!$D$87:$I$181,AQ25)</f>
        <v>5</v>
      </c>
      <c r="G26" s="194" t="n">
        <f aca="false">COUNTIF(年計!$J$87:$O$181,AR25)</f>
        <v>5</v>
      </c>
      <c r="H26" s="192" t="n">
        <f aca="false">COUNTIF(年計!$J$87:$O$181,AS25)</f>
        <v>4</v>
      </c>
      <c r="I26" s="172" t="n">
        <f aca="false">COUNTIF(年計!$J$87:$O$181,AT25)</f>
        <v>4</v>
      </c>
      <c r="J26" s="192" t="n">
        <f aca="false">COUNTIF(年計!$J$87:$O$181,AU25)</f>
        <v>5</v>
      </c>
      <c r="K26" s="195" t="n">
        <f aca="false">COUNTIF(年計!$J$87:$O$181,AV25)</f>
        <v>5</v>
      </c>
      <c r="L26" s="194" t="n">
        <f aca="false">COUNTIF(年計!$P$87:$U$181,AW25)</f>
        <v>5</v>
      </c>
      <c r="M26" s="192" t="n">
        <f aca="false">COUNTIF(年計!$P$87:$U$181,AX25)</f>
        <v>4</v>
      </c>
      <c r="N26" s="192" t="n">
        <f aca="false">COUNTIF(年計!$P$87:$U$181,AY25)</f>
        <v>4</v>
      </c>
      <c r="O26" s="192" t="n">
        <f aca="false">COUNTIF(年計!$P$87:$U$181,AZ25)</f>
        <v>4</v>
      </c>
      <c r="P26" s="193" t="n">
        <f aca="false">COUNTIF(年計!$P$87:$U$181,BA25)</f>
        <v>4</v>
      </c>
      <c r="S26" s="169" t="n">
        <v>5</v>
      </c>
      <c r="T26" s="194" t="n">
        <f aca="false">COUNTIF(年計!$D$3:$I$181,BB25)</f>
        <v>13</v>
      </c>
      <c r="U26" s="192" t="n">
        <f aca="false">COUNTIF(年計!$D$3:$I$181,BC25)</f>
        <v>12</v>
      </c>
      <c r="V26" s="192" t="n">
        <f aca="false">COUNTIF(年計!$D$3:$I$181,BD25)</f>
        <v>12</v>
      </c>
      <c r="W26" s="192" t="n">
        <f aca="false">COUNTIF(年計!$D$3:$I$181,BE25)</f>
        <v>14</v>
      </c>
      <c r="X26" s="195" t="n">
        <f aca="false">COUNTIF(年計!$D$3:$I$181,BF25)</f>
        <v>13</v>
      </c>
      <c r="Y26" s="194" t="n">
        <f aca="false">COUNTIF(年計!$J$3:$O$181,BG25)</f>
        <v>13</v>
      </c>
      <c r="Z26" s="192" t="n">
        <f aca="false">COUNTIF(年計!$J$3:$O$181,BH25)</f>
        <v>12</v>
      </c>
      <c r="AA26" s="192" t="n">
        <f aca="false">COUNTIF(年計!$J$3:$O$181,BI25)</f>
        <v>12</v>
      </c>
      <c r="AB26" s="192" t="n">
        <f aca="false">COUNTIF(年計!$J$3:$O$181,BJ25)</f>
        <v>14</v>
      </c>
      <c r="AC26" s="195" t="n">
        <f aca="false">COUNTIF(年計!$J$3:$O$181,BK25)</f>
        <v>13</v>
      </c>
      <c r="AD26" s="194" t="n">
        <f aca="false">COUNTIF(年計!$P$3:$U$181,BL25)</f>
        <v>11</v>
      </c>
      <c r="AE26" s="192" t="n">
        <f aca="false">COUNTIF(年計!$P$3:$U$181,BM25)</f>
        <v>11</v>
      </c>
      <c r="AF26" s="192" t="n">
        <f aca="false">COUNTIF(年計!$P$3:$U$181,BN25)</f>
        <v>11</v>
      </c>
      <c r="AG26" s="192" t="n">
        <f aca="false">COUNTIF(年計!$P$3:$U$181,BO25)</f>
        <v>11</v>
      </c>
      <c r="AH26" s="193" t="n">
        <f aca="false">COUNTIF(年計!$P$3:$U$181,BP25)</f>
        <v>11</v>
      </c>
      <c r="AM26" s="150" t="s">
        <v>7</v>
      </c>
      <c r="AN26" s="150" t="s">
        <v>9</v>
      </c>
      <c r="AO26" s="150" t="s">
        <v>11</v>
      </c>
      <c r="AP26" s="150" t="s">
        <v>194</v>
      </c>
      <c r="AQ26" s="150" t="s">
        <v>12</v>
      </c>
      <c r="AR26" s="150" t="s">
        <v>7</v>
      </c>
      <c r="AS26" s="150" t="s">
        <v>9</v>
      </c>
      <c r="AT26" s="150" t="s">
        <v>11</v>
      </c>
      <c r="AU26" s="150" t="s">
        <v>194</v>
      </c>
      <c r="AV26" s="150" t="s">
        <v>12</v>
      </c>
      <c r="AW26" s="150" t="s">
        <v>7</v>
      </c>
      <c r="AX26" s="150" t="s">
        <v>9</v>
      </c>
      <c r="AY26" s="150" t="s">
        <v>11</v>
      </c>
      <c r="AZ26" s="150" t="s">
        <v>194</v>
      </c>
      <c r="BA26" s="150" t="s">
        <v>12</v>
      </c>
      <c r="BB26" s="150" t="s">
        <v>7</v>
      </c>
      <c r="BC26" s="150" t="s">
        <v>9</v>
      </c>
      <c r="BD26" s="150" t="s">
        <v>11</v>
      </c>
      <c r="BE26" s="150" t="s">
        <v>194</v>
      </c>
      <c r="BF26" s="150" t="s">
        <v>12</v>
      </c>
      <c r="BG26" s="150" t="s">
        <v>7</v>
      </c>
      <c r="BH26" s="150" t="s">
        <v>9</v>
      </c>
      <c r="BI26" s="150" t="s">
        <v>11</v>
      </c>
      <c r="BJ26" s="150" t="s">
        <v>194</v>
      </c>
      <c r="BK26" s="150" t="s">
        <v>12</v>
      </c>
      <c r="BL26" s="150" t="s">
        <v>7</v>
      </c>
      <c r="BM26" s="150" t="s">
        <v>9</v>
      </c>
      <c r="BN26" s="150" t="s">
        <v>11</v>
      </c>
      <c r="BO26" s="150" t="s">
        <v>194</v>
      </c>
      <c r="BP26" s="150" t="s">
        <v>12</v>
      </c>
    </row>
    <row r="27" customFormat="false" ht="18" hidden="false" customHeight="true" outlineLevel="0" collapsed="false">
      <c r="A27" s="179" t="n">
        <v>6</v>
      </c>
      <c r="B27" s="180" t="n">
        <f aca="false">COUNTIF(年計!$D$87:$I$181,AM26)</f>
        <v>5</v>
      </c>
      <c r="C27" s="181" t="n">
        <f aca="false">COUNTIF(年計!$D$87:$I$181,AN26)</f>
        <v>6</v>
      </c>
      <c r="D27" s="182" t="n">
        <f aca="false">COUNTIF(年計!$D$87:$I$181,AO26)</f>
        <v>5</v>
      </c>
      <c r="E27" s="183" t="n">
        <f aca="false">COUNTIF(年計!$D$87:$I$181,AP26)</f>
        <v>0</v>
      </c>
      <c r="F27" s="184" t="n">
        <f aca="false">COUNTIF(年計!$D$87:$I$181,AQ26)</f>
        <v>6</v>
      </c>
      <c r="G27" s="185" t="n">
        <f aca="false">COUNTIF(年計!$J$87:$O$181,AR26)</f>
        <v>5</v>
      </c>
      <c r="H27" s="182" t="n">
        <f aca="false">COUNTIF(年計!$J$87:$O$181,AS26)</f>
        <v>6</v>
      </c>
      <c r="I27" s="182" t="n">
        <f aca="false">COUNTIF(年計!$J$87:$O$181,AT26)</f>
        <v>5</v>
      </c>
      <c r="J27" s="183" t="n">
        <f aca="false">COUNTIF(年計!$J$87:$O$181,AU26)</f>
        <v>0</v>
      </c>
      <c r="K27" s="196" t="n">
        <f aca="false">COUNTIF(年計!$J$87:$O$181,AV26)</f>
        <v>6</v>
      </c>
      <c r="L27" s="185" t="n">
        <f aca="false">COUNTIF(年計!$P$87:$U$181,AW26)</f>
        <v>5</v>
      </c>
      <c r="M27" s="182" t="n">
        <f aca="false">COUNTIF(年計!$P$87:$U$181,AX26)</f>
        <v>6</v>
      </c>
      <c r="N27" s="182" t="n">
        <f aca="false">COUNTIF(年計!$P$87:$U$181,AY26)</f>
        <v>5</v>
      </c>
      <c r="O27" s="183" t="n">
        <f aca="false">COUNTIF(年計!$P$87:$U$181,AZ26)</f>
        <v>0</v>
      </c>
      <c r="P27" s="184" t="n">
        <f aca="false">COUNTIF(年計!$P$87:$U$181,BA26)</f>
        <v>5</v>
      </c>
      <c r="S27" s="179" t="n">
        <v>6</v>
      </c>
      <c r="T27" s="185" t="n">
        <f aca="false">COUNTIF(年計!$D$3:$I$181,BB26)</f>
        <v>14</v>
      </c>
      <c r="U27" s="197" t="n">
        <f aca="false">COUNTIF(年計!$D$3:$I$181,BC26)</f>
        <v>14</v>
      </c>
      <c r="V27" s="182" t="n">
        <f aca="false">COUNTIF(年計!$D$3:$I$181,BD26)</f>
        <v>14</v>
      </c>
      <c r="W27" s="183" t="n">
        <f aca="false">COUNTIF(年計!$D$3:$I$181,BE26)</f>
        <v>0</v>
      </c>
      <c r="X27" s="196" t="n">
        <f aca="false">COUNTIF(年計!$D$3:$I$181,BF26)</f>
        <v>15</v>
      </c>
      <c r="Y27" s="185" t="n">
        <f aca="false">COUNTIF(年計!$J$3:$O$181,BG26)</f>
        <v>14</v>
      </c>
      <c r="Z27" s="182" t="n">
        <f aca="false">COUNTIF(年計!$J$3:$O$181,BH26)</f>
        <v>14</v>
      </c>
      <c r="AA27" s="182" t="n">
        <f aca="false">COUNTIF(年計!$J$3:$O$181,BI26)</f>
        <v>14</v>
      </c>
      <c r="AB27" s="183" t="n">
        <f aca="false">COUNTIF(年計!$J$3:$O$181,BJ26)</f>
        <v>0</v>
      </c>
      <c r="AC27" s="196" t="n">
        <f aca="false">COUNTIF(年計!$J$3:$O$181,BK26)</f>
        <v>15</v>
      </c>
      <c r="AD27" s="185" t="n">
        <f aca="false">COUNTIF(年計!$P$3:$U$181,BL26)</f>
        <v>13</v>
      </c>
      <c r="AE27" s="182" t="n">
        <f aca="false">COUNTIF(年計!$P$3:$U$181,BM26)</f>
        <v>12</v>
      </c>
      <c r="AF27" s="182" t="n">
        <f aca="false">COUNTIF(年計!$P$3:$U$181,BN26)</f>
        <v>13</v>
      </c>
      <c r="AG27" s="183" t="n">
        <f aca="false">COUNTIF(年計!$P$3:$U$181,BO26)</f>
        <v>0</v>
      </c>
      <c r="AH27" s="184" t="n">
        <f aca="false">COUNTIF(年計!$P$3:$U$181,BP26)</f>
        <v>12</v>
      </c>
    </row>
    <row r="28" customFormat="false" ht="18" hidden="false" customHeight="true" outlineLevel="0" collapsed="false">
      <c r="A28" s="149" t="s">
        <v>201</v>
      </c>
      <c r="B28" s="149"/>
      <c r="C28" s="149"/>
      <c r="D28" s="149"/>
      <c r="E28" s="149"/>
      <c r="F28" s="149"/>
      <c r="G28" s="149"/>
      <c r="H28" s="149"/>
      <c r="I28" s="198"/>
      <c r="S28" s="149" t="s">
        <v>202</v>
      </c>
      <c r="T28" s="149"/>
      <c r="U28" s="149"/>
      <c r="V28" s="149"/>
      <c r="W28" s="149"/>
      <c r="X28" s="149"/>
      <c r="Y28" s="149"/>
      <c r="Z28" s="149"/>
    </row>
    <row r="29" customFormat="false" ht="18" hidden="false" customHeight="true" outlineLevel="0" collapsed="false">
      <c r="A29" s="151"/>
      <c r="B29" s="155" t="s">
        <v>3</v>
      </c>
      <c r="C29" s="155" t="s">
        <v>14</v>
      </c>
      <c r="D29" s="155" t="s">
        <v>17</v>
      </c>
      <c r="E29" s="155" t="s">
        <v>6</v>
      </c>
      <c r="F29" s="190" t="s">
        <v>8</v>
      </c>
      <c r="G29" s="154" t="s">
        <v>3</v>
      </c>
      <c r="H29" s="155" t="s">
        <v>14</v>
      </c>
      <c r="I29" s="155" t="s">
        <v>17</v>
      </c>
      <c r="J29" s="155" t="s">
        <v>6</v>
      </c>
      <c r="K29" s="156" t="s">
        <v>8</v>
      </c>
      <c r="L29" s="157" t="s">
        <v>3</v>
      </c>
      <c r="M29" s="155" t="s">
        <v>14</v>
      </c>
      <c r="N29" s="155" t="s">
        <v>17</v>
      </c>
      <c r="O29" s="155" t="s">
        <v>6</v>
      </c>
      <c r="P29" s="156" t="s">
        <v>8</v>
      </c>
      <c r="S29" s="151"/>
      <c r="T29" s="155" t="s">
        <v>3</v>
      </c>
      <c r="U29" s="155" t="s">
        <v>14</v>
      </c>
      <c r="V29" s="155" t="s">
        <v>17</v>
      </c>
      <c r="W29" s="155" t="s">
        <v>6</v>
      </c>
      <c r="X29" s="190" t="s">
        <v>8</v>
      </c>
      <c r="Y29" s="154" t="s">
        <v>3</v>
      </c>
      <c r="Z29" s="155" t="s">
        <v>14</v>
      </c>
      <c r="AA29" s="155" t="s">
        <v>17</v>
      </c>
      <c r="AB29" s="155" t="s">
        <v>6</v>
      </c>
      <c r="AC29" s="156" t="s">
        <v>8</v>
      </c>
      <c r="AD29" s="157" t="s">
        <v>3</v>
      </c>
      <c r="AE29" s="155" t="s">
        <v>14</v>
      </c>
      <c r="AF29" s="155" t="s">
        <v>17</v>
      </c>
      <c r="AG29" s="155" t="s">
        <v>6</v>
      </c>
      <c r="AH29" s="156" t="s">
        <v>8</v>
      </c>
      <c r="AM29" s="150" t="s">
        <v>19</v>
      </c>
      <c r="AN29" s="150" t="s">
        <v>25</v>
      </c>
      <c r="AO29" s="150" t="s">
        <v>31</v>
      </c>
      <c r="AP29" s="150" t="s">
        <v>36</v>
      </c>
      <c r="AQ29" s="150" t="s">
        <v>41</v>
      </c>
      <c r="AR29" s="150" t="s">
        <v>19</v>
      </c>
      <c r="AS29" s="150" t="s">
        <v>25</v>
      </c>
      <c r="AT29" s="150" t="s">
        <v>31</v>
      </c>
      <c r="AU29" s="150" t="s">
        <v>36</v>
      </c>
      <c r="AV29" s="150" t="s">
        <v>41</v>
      </c>
      <c r="AW29" s="150" t="s">
        <v>19</v>
      </c>
      <c r="AX29" s="150" t="s">
        <v>25</v>
      </c>
      <c r="AY29" s="150" t="s">
        <v>31</v>
      </c>
      <c r="AZ29" s="150" t="s">
        <v>36</v>
      </c>
      <c r="BA29" s="150" t="s">
        <v>41</v>
      </c>
      <c r="BB29" s="150" t="s">
        <v>19</v>
      </c>
      <c r="BC29" s="150" t="s">
        <v>25</v>
      </c>
      <c r="BD29" s="150" t="s">
        <v>31</v>
      </c>
      <c r="BE29" s="150" t="s">
        <v>36</v>
      </c>
      <c r="BF29" s="150" t="s">
        <v>41</v>
      </c>
      <c r="BG29" s="150" t="s">
        <v>19</v>
      </c>
      <c r="BH29" s="150" t="s">
        <v>25</v>
      </c>
      <c r="BI29" s="150" t="s">
        <v>31</v>
      </c>
      <c r="BJ29" s="150" t="s">
        <v>36</v>
      </c>
      <c r="BK29" s="150" t="s">
        <v>41</v>
      </c>
      <c r="BL29" s="150" t="s">
        <v>19</v>
      </c>
      <c r="BM29" s="150" t="s">
        <v>25</v>
      </c>
      <c r="BN29" s="150" t="s">
        <v>31</v>
      </c>
      <c r="BO29" s="150" t="s">
        <v>36</v>
      </c>
      <c r="BP29" s="150" t="s">
        <v>41</v>
      </c>
    </row>
    <row r="30" customFormat="false" ht="17.25" hidden="false" customHeight="false" outlineLevel="0" collapsed="false">
      <c r="A30" s="162" t="n">
        <v>1</v>
      </c>
      <c r="B30" s="170" t="n">
        <f aca="false">COUNTIF(年計!$D$182:$I$232,AM29)</f>
        <v>6</v>
      </c>
      <c r="C30" s="171" t="n">
        <f aca="false">COUNTIF(年計!$D$182:$I$232,AN29)</f>
        <v>5</v>
      </c>
      <c r="D30" s="171" t="n">
        <f aca="false">COUNTIF(年計!$D$182:$I$232,AO29)</f>
        <v>6</v>
      </c>
      <c r="E30" s="171" t="n">
        <f aca="false">COUNTIF(年計!$D$182:$I$232,AP29)</f>
        <v>5</v>
      </c>
      <c r="F30" s="191" t="n">
        <f aca="false">COUNTIF(年計!$D$182:$I$232,AQ29)</f>
        <v>6</v>
      </c>
      <c r="G30" s="163" t="n">
        <f aca="false">COUNTIF(年計!$J$182:$O$232,AR29)</f>
        <v>6</v>
      </c>
      <c r="H30" s="164" t="n">
        <f aca="false">COUNTIF(年計!$J$182:$O$232,AS29)</f>
        <v>5</v>
      </c>
      <c r="I30" s="164" t="n">
        <f aca="false">COUNTIF(年計!$J$182:$O$232,AT29)</f>
        <v>6</v>
      </c>
      <c r="J30" s="164" t="n">
        <f aca="false">COUNTIF(年計!$J$182:$O$232,AU29)</f>
        <v>5</v>
      </c>
      <c r="K30" s="166" t="n">
        <f aca="false">COUNTIF(年計!$J$182:$O$232,AV29)</f>
        <v>6</v>
      </c>
      <c r="L30" s="163" t="n">
        <f aca="false">COUNTIF(年計!$P$182:$U$232,AW29)</f>
        <v>6</v>
      </c>
      <c r="M30" s="164" t="n">
        <f aca="false">COUNTIF(年計!$P$182:$U$232,AX29)</f>
        <v>5</v>
      </c>
      <c r="N30" s="164" t="n">
        <f aca="false">COUNTIF(年計!$P$182:$U$232,AY29)</f>
        <v>6</v>
      </c>
      <c r="O30" s="164" t="n">
        <f aca="false">COUNTIF(年計!$P$182:$U$232,AZ29)</f>
        <v>5</v>
      </c>
      <c r="P30" s="165" t="n">
        <f aca="false">COUNTIF(年計!$P$182:$U$232,BA29)</f>
        <v>5</v>
      </c>
      <c r="S30" s="162" t="n">
        <v>1</v>
      </c>
      <c r="T30" s="170" t="n">
        <f aca="false">COUNTIF(年計!$D$3:$I$232,BB29)</f>
        <v>19</v>
      </c>
      <c r="U30" s="171" t="n">
        <f aca="false">COUNTIF(年計!$D$3:$I$232,BC29)</f>
        <v>19</v>
      </c>
      <c r="V30" s="199" t="n">
        <f aca="false">COUNTIF(年計!$D$3:$I$232,BD29)</f>
        <v>19</v>
      </c>
      <c r="W30" s="199" t="n">
        <f aca="false">COUNTIF(年計!$D$3:$I$232,BE29)</f>
        <v>19</v>
      </c>
      <c r="X30" s="200" t="n">
        <f aca="false">COUNTIF(年計!$D$3:$I$232,BF29)</f>
        <v>19</v>
      </c>
      <c r="Y30" s="201" t="n">
        <f aca="false">COUNTIF(年計!$J$3:$O$232,BG29)</f>
        <v>19</v>
      </c>
      <c r="Z30" s="202" t="n">
        <f aca="false">COUNTIF(年計!$J$3:$O$232,BH29)</f>
        <v>19</v>
      </c>
      <c r="AA30" s="202" t="n">
        <f aca="false">COUNTIF(年計!$J$3:$O$232,BI29)</f>
        <v>19</v>
      </c>
      <c r="AB30" s="202" t="n">
        <f aca="false">COUNTIF(年計!$J$3:$O$232,BJ29)</f>
        <v>19</v>
      </c>
      <c r="AC30" s="203" t="n">
        <f aca="false">COUNTIF(年計!$J$3:$O$232,BK29)</f>
        <v>19</v>
      </c>
      <c r="AD30" s="204" t="n">
        <f aca="false">COUNTIF(年計!$P$3:$U$232,BL29)</f>
        <v>18</v>
      </c>
      <c r="AE30" s="202" t="n">
        <f aca="false">COUNTIF(年計!$P$3:$U$232,BM29)</f>
        <v>17</v>
      </c>
      <c r="AF30" s="202" t="n">
        <f aca="false">COUNTIF(年計!$P$3:$U$232,BN29)</f>
        <v>19</v>
      </c>
      <c r="AG30" s="164" t="n">
        <f aca="false">COUNTIF(年計!$P$3:$U$232,BO29)</f>
        <v>16</v>
      </c>
      <c r="AH30" s="165" t="n">
        <f aca="false">COUNTIF(年計!$P$3:$U$232,BP29)</f>
        <v>18</v>
      </c>
      <c r="AI30" s="150" t="s">
        <v>203</v>
      </c>
      <c r="AJ30" s="150" t="str">
        <f aca="false">IFERROR(MATCH(AI30,年計!$C$2:$C$368,0),"")</f>
        <v/>
      </c>
      <c r="AM30" s="150" t="s">
        <v>20</v>
      </c>
      <c r="AN30" s="150" t="s">
        <v>26</v>
      </c>
      <c r="AO30" s="150" t="s">
        <v>32</v>
      </c>
      <c r="AP30" s="150" t="s">
        <v>37</v>
      </c>
      <c r="AQ30" s="150" t="s">
        <v>42</v>
      </c>
      <c r="AR30" s="150" t="s">
        <v>20</v>
      </c>
      <c r="AS30" s="150" t="s">
        <v>26</v>
      </c>
      <c r="AT30" s="150" t="s">
        <v>32</v>
      </c>
      <c r="AU30" s="150" t="s">
        <v>37</v>
      </c>
      <c r="AV30" s="150" t="s">
        <v>42</v>
      </c>
      <c r="AW30" s="150" t="s">
        <v>20</v>
      </c>
      <c r="AX30" s="150" t="s">
        <v>26</v>
      </c>
      <c r="AY30" s="150" t="s">
        <v>32</v>
      </c>
      <c r="AZ30" s="150" t="s">
        <v>37</v>
      </c>
      <c r="BA30" s="150" t="s">
        <v>42</v>
      </c>
      <c r="BB30" s="150" t="s">
        <v>20</v>
      </c>
      <c r="BC30" s="150" t="s">
        <v>26</v>
      </c>
      <c r="BD30" s="150" t="s">
        <v>32</v>
      </c>
      <c r="BE30" s="150" t="s">
        <v>37</v>
      </c>
      <c r="BF30" s="150" t="s">
        <v>42</v>
      </c>
      <c r="BG30" s="150" t="s">
        <v>20</v>
      </c>
      <c r="BH30" s="150" t="s">
        <v>26</v>
      </c>
      <c r="BI30" s="150" t="s">
        <v>32</v>
      </c>
      <c r="BJ30" s="150" t="s">
        <v>37</v>
      </c>
      <c r="BK30" s="150" t="s">
        <v>42</v>
      </c>
      <c r="BL30" s="150" t="s">
        <v>20</v>
      </c>
      <c r="BM30" s="150" t="s">
        <v>26</v>
      </c>
      <c r="BN30" s="150" t="s">
        <v>32</v>
      </c>
      <c r="BO30" s="150" t="s">
        <v>37</v>
      </c>
      <c r="BP30" s="150" t="s">
        <v>42</v>
      </c>
    </row>
    <row r="31" customFormat="false" ht="17.25" hidden="false" customHeight="false" outlineLevel="0" collapsed="false">
      <c r="A31" s="169" t="n">
        <v>2</v>
      </c>
      <c r="B31" s="194" t="n">
        <f aca="false">COUNTIF(年計!$D$182:$I$232,AM30)</f>
        <v>6</v>
      </c>
      <c r="C31" s="192" t="n">
        <f aca="false">COUNTIF(年計!$D$182:$I$232,AN30)</f>
        <v>5</v>
      </c>
      <c r="D31" s="192" t="n">
        <f aca="false">COUNTIF(年計!$D$182:$I$232,AO30)</f>
        <v>5</v>
      </c>
      <c r="E31" s="192" t="n">
        <f aca="false">COUNTIF(年計!$D$182:$I$232,AP30)</f>
        <v>5</v>
      </c>
      <c r="F31" s="195" t="n">
        <f aca="false">COUNTIF(年計!$D$182:$I$232,AQ30)</f>
        <v>6</v>
      </c>
      <c r="G31" s="174" t="n">
        <f aca="false">COUNTIF(年計!$J$182:$O$232,AR30)</f>
        <v>6</v>
      </c>
      <c r="H31" s="172" t="n">
        <f aca="false">COUNTIF(年計!$J$182:$O$232,AS30)</f>
        <v>5</v>
      </c>
      <c r="I31" s="172" t="n">
        <f aca="false">COUNTIF(年計!$J$182:$O$232,AT30)</f>
        <v>5</v>
      </c>
      <c r="J31" s="172" t="n">
        <f aca="false">COUNTIF(年計!$J$182:$O$232,AU30)</f>
        <v>5</v>
      </c>
      <c r="K31" s="175" t="n">
        <f aca="false">COUNTIF(年計!$J$182:$O$232,AV30)</f>
        <v>6</v>
      </c>
      <c r="L31" s="174" t="n">
        <f aca="false">COUNTIF(年計!$P$182:$U$232,AW30)</f>
        <v>6</v>
      </c>
      <c r="M31" s="172" t="n">
        <f aca="false">COUNTIF(年計!$P$182:$U$232,AX30)</f>
        <v>5</v>
      </c>
      <c r="N31" s="172" t="n">
        <f aca="false">COUNTIF(年計!$P$182:$U$232,AY30)</f>
        <v>5</v>
      </c>
      <c r="O31" s="192" t="n">
        <f aca="false">COUNTIF(年計!$P$182:$U$232,AZ30)</f>
        <v>5</v>
      </c>
      <c r="P31" s="193" t="n">
        <f aca="false">COUNTIF(年計!$P$182:$U$232,BA30)</f>
        <v>5</v>
      </c>
      <c r="S31" s="169" t="n">
        <v>2</v>
      </c>
      <c r="T31" s="194" t="n">
        <f aca="false">COUNTIF(年計!$D$3:$I$232,BB30)</f>
        <v>20</v>
      </c>
      <c r="U31" s="192" t="n">
        <f aca="false">COUNTIF(年計!$D$3:$I$232,BC30)</f>
        <v>20</v>
      </c>
      <c r="V31" s="192" t="n">
        <f aca="false">COUNTIF(年計!$D$3:$I$232,BD30)</f>
        <v>19</v>
      </c>
      <c r="W31" s="192" t="n">
        <f aca="false">COUNTIF(年計!$D$3:$I$232,BE30)</f>
        <v>20</v>
      </c>
      <c r="X31" s="195" t="n">
        <f aca="false">COUNTIF(年計!$D$3:$I$232,BF30)</f>
        <v>20</v>
      </c>
      <c r="Y31" s="194" t="n">
        <f aca="false">COUNTIF(年計!$J$3:$O$232,BG30)</f>
        <v>20</v>
      </c>
      <c r="Z31" s="192" t="n">
        <f aca="false">COUNTIF(年計!$J$3:$O$232,BH30)</f>
        <v>20</v>
      </c>
      <c r="AA31" s="192" t="n">
        <f aca="false">COUNTIF(年計!$J$3:$O$232,BI30)</f>
        <v>19</v>
      </c>
      <c r="AB31" s="192" t="n">
        <f aca="false">COUNTIF(年計!$J$3:$O$232,BJ30)</f>
        <v>20</v>
      </c>
      <c r="AC31" s="195" t="n">
        <f aca="false">COUNTIF(年計!$J$3:$O$232,BK30)</f>
        <v>20</v>
      </c>
      <c r="AD31" s="194" t="n">
        <f aca="false">COUNTIF(年計!$P$3:$U$232,BL30)</f>
        <v>19</v>
      </c>
      <c r="AE31" s="192" t="n">
        <f aca="false">COUNTIF(年計!$P$3:$U$232,BM30)</f>
        <v>19</v>
      </c>
      <c r="AF31" s="192" t="n">
        <f aca="false">COUNTIF(年計!$P$3:$U$232,BN30)</f>
        <v>18</v>
      </c>
      <c r="AG31" s="192" t="n">
        <f aca="false">COUNTIF(年計!$P$3:$U$232,BO30)</f>
        <v>17</v>
      </c>
      <c r="AH31" s="193" t="n">
        <f aca="false">COUNTIF(年計!$P$3:$U$232,BP30)</f>
        <v>18</v>
      </c>
      <c r="AM31" s="150" t="s">
        <v>21</v>
      </c>
      <c r="AN31" s="150" t="s">
        <v>27</v>
      </c>
      <c r="AO31" s="150" t="s">
        <v>33</v>
      </c>
      <c r="AP31" s="150" t="s">
        <v>38</v>
      </c>
      <c r="AQ31" s="150" t="s">
        <v>43</v>
      </c>
      <c r="AR31" s="150" t="s">
        <v>21</v>
      </c>
      <c r="AS31" s="150" t="s">
        <v>27</v>
      </c>
      <c r="AT31" s="150" t="s">
        <v>33</v>
      </c>
      <c r="AU31" s="150" t="s">
        <v>38</v>
      </c>
      <c r="AV31" s="150" t="s">
        <v>43</v>
      </c>
      <c r="AW31" s="150" t="s">
        <v>21</v>
      </c>
      <c r="AX31" s="150" t="s">
        <v>27</v>
      </c>
      <c r="AY31" s="150" t="s">
        <v>33</v>
      </c>
      <c r="AZ31" s="150" t="s">
        <v>38</v>
      </c>
      <c r="BA31" s="150" t="s">
        <v>43</v>
      </c>
      <c r="BB31" s="150" t="s">
        <v>21</v>
      </c>
      <c r="BC31" s="150" t="s">
        <v>27</v>
      </c>
      <c r="BD31" s="150" t="s">
        <v>33</v>
      </c>
      <c r="BE31" s="150" t="s">
        <v>38</v>
      </c>
      <c r="BF31" s="150" t="s">
        <v>43</v>
      </c>
      <c r="BG31" s="150" t="s">
        <v>21</v>
      </c>
      <c r="BH31" s="150" t="s">
        <v>27</v>
      </c>
      <c r="BI31" s="150" t="s">
        <v>33</v>
      </c>
      <c r="BJ31" s="150" t="s">
        <v>38</v>
      </c>
      <c r="BK31" s="150" t="s">
        <v>43</v>
      </c>
      <c r="BL31" s="150" t="s">
        <v>21</v>
      </c>
      <c r="BM31" s="150" t="s">
        <v>27</v>
      </c>
      <c r="BN31" s="150" t="s">
        <v>33</v>
      </c>
      <c r="BO31" s="150" t="s">
        <v>38</v>
      </c>
      <c r="BP31" s="150" t="s">
        <v>43</v>
      </c>
    </row>
    <row r="32" customFormat="false" ht="17.25" hidden="false" customHeight="false" outlineLevel="0" collapsed="false">
      <c r="A32" s="169" t="n">
        <v>3</v>
      </c>
      <c r="B32" s="194" t="n">
        <f aca="false">COUNTIF(年計!$D$182:$I$232,AM31)</f>
        <v>6</v>
      </c>
      <c r="C32" s="192" t="n">
        <f aca="false">COUNTIF(年計!$D$182:$I$232,AN31)</f>
        <v>6</v>
      </c>
      <c r="D32" s="192" t="n">
        <f aca="false">COUNTIF(年計!$D$182:$I$232,AO31)</f>
        <v>5</v>
      </c>
      <c r="E32" s="192" t="n">
        <f aca="false">COUNTIF(年計!$D$182:$I$232,AP31)</f>
        <v>5</v>
      </c>
      <c r="F32" s="195" t="n">
        <f aca="false">COUNTIF(年計!$D$182:$I$232,AQ31)</f>
        <v>6</v>
      </c>
      <c r="G32" s="174" t="n">
        <f aca="false">COUNTIF(年計!$J$182:$O$232,AR31)</f>
        <v>6</v>
      </c>
      <c r="H32" s="172" t="n">
        <f aca="false">COUNTIF(年計!$J$182:$O$232,AS31)</f>
        <v>6</v>
      </c>
      <c r="I32" s="172" t="n">
        <f aca="false">COUNTIF(年計!$J$182:$O$232,AT31)</f>
        <v>5</v>
      </c>
      <c r="J32" s="172" t="n">
        <f aca="false">COUNTIF(年計!$J$182:$O$232,AU31)</f>
        <v>5</v>
      </c>
      <c r="K32" s="175" t="n">
        <f aca="false">COUNTIF(年計!$J$182:$O$232,AV31)</f>
        <v>6</v>
      </c>
      <c r="L32" s="174" t="n">
        <f aca="false">COUNTIF(年計!$P$182:$U$232,AW31)</f>
        <v>6</v>
      </c>
      <c r="M32" s="172" t="n">
        <f aca="false">COUNTIF(年計!$P$182:$U$232,AX31)</f>
        <v>6</v>
      </c>
      <c r="N32" s="172" t="n">
        <f aca="false">COUNTIF(年計!$P$182:$U$232,AY31)</f>
        <v>5</v>
      </c>
      <c r="O32" s="192" t="n">
        <f aca="false">COUNTIF(年計!$P$182:$U$232,AZ31)</f>
        <v>5</v>
      </c>
      <c r="P32" s="193" t="n">
        <f aca="false">COUNTIF(年計!$P$182:$U$232,BA31)</f>
        <v>5</v>
      </c>
      <c r="S32" s="169" t="n">
        <v>3</v>
      </c>
      <c r="T32" s="194" t="n">
        <f aca="false">COUNTIF(年計!$D$3:$I$232,BB31)</f>
        <v>20</v>
      </c>
      <c r="U32" s="192" t="n">
        <f aca="false">COUNTIF(年計!$D$3:$I$232,BC31)</f>
        <v>20</v>
      </c>
      <c r="V32" s="192" t="n">
        <f aca="false">COUNTIF(年計!$D$3:$I$232,BD31)</f>
        <v>19</v>
      </c>
      <c r="W32" s="192" t="n">
        <f aca="false">COUNTIF(年計!$D$3:$I$232,BE31)</f>
        <v>20</v>
      </c>
      <c r="X32" s="195" t="n">
        <f aca="false">COUNTIF(年計!$D$3:$I$232,BF31)</f>
        <v>20</v>
      </c>
      <c r="Y32" s="194" t="n">
        <f aca="false">COUNTIF(年計!$J$3:$O$232,BG31)</f>
        <v>20</v>
      </c>
      <c r="Z32" s="192" t="n">
        <f aca="false">COUNTIF(年計!$J$3:$O$232,BH31)</f>
        <v>20</v>
      </c>
      <c r="AA32" s="192" t="n">
        <f aca="false">COUNTIF(年計!$J$3:$O$232,BI31)</f>
        <v>19</v>
      </c>
      <c r="AB32" s="192" t="n">
        <f aca="false">COUNTIF(年計!$J$3:$O$232,BJ31)</f>
        <v>20</v>
      </c>
      <c r="AC32" s="195" t="n">
        <f aca="false">COUNTIF(年計!$J$3:$O$232,BK31)</f>
        <v>20</v>
      </c>
      <c r="AD32" s="194" t="n">
        <f aca="false">COUNTIF(年計!$P$3:$U$232,BL31)</f>
        <v>19</v>
      </c>
      <c r="AE32" s="192" t="n">
        <f aca="false">COUNTIF(年計!$P$3:$U$232,BM31)</f>
        <v>19</v>
      </c>
      <c r="AF32" s="192" t="n">
        <f aca="false">COUNTIF(年計!$P$3:$U$232,BN31)</f>
        <v>18</v>
      </c>
      <c r="AG32" s="192" t="n">
        <f aca="false">COUNTIF(年計!$P$3:$U$232,BO31)</f>
        <v>16</v>
      </c>
      <c r="AH32" s="193" t="n">
        <f aca="false">COUNTIF(年計!$P$3:$U$232,BP31)</f>
        <v>18</v>
      </c>
      <c r="AM32" s="150" t="s">
        <v>22</v>
      </c>
      <c r="AN32" s="150" t="s">
        <v>28</v>
      </c>
      <c r="AO32" s="150" t="s">
        <v>34</v>
      </c>
      <c r="AP32" s="150" t="s">
        <v>39</v>
      </c>
      <c r="AQ32" s="150" t="s">
        <v>44</v>
      </c>
      <c r="AR32" s="150" t="s">
        <v>22</v>
      </c>
      <c r="AS32" s="150" t="s">
        <v>28</v>
      </c>
      <c r="AT32" s="150" t="s">
        <v>34</v>
      </c>
      <c r="AU32" s="150" t="s">
        <v>39</v>
      </c>
      <c r="AV32" s="150" t="s">
        <v>44</v>
      </c>
      <c r="AW32" s="150" t="s">
        <v>22</v>
      </c>
      <c r="AX32" s="150" t="s">
        <v>28</v>
      </c>
      <c r="AY32" s="150" t="s">
        <v>34</v>
      </c>
      <c r="AZ32" s="150" t="s">
        <v>39</v>
      </c>
      <c r="BA32" s="150" t="s">
        <v>44</v>
      </c>
      <c r="BB32" s="150" t="s">
        <v>22</v>
      </c>
      <c r="BC32" s="150" t="s">
        <v>28</v>
      </c>
      <c r="BD32" s="150" t="s">
        <v>34</v>
      </c>
      <c r="BE32" s="150" t="s">
        <v>39</v>
      </c>
      <c r="BF32" s="150" t="s">
        <v>44</v>
      </c>
      <c r="BG32" s="150" t="s">
        <v>22</v>
      </c>
      <c r="BH32" s="150" t="s">
        <v>28</v>
      </c>
      <c r="BI32" s="150" t="s">
        <v>34</v>
      </c>
      <c r="BJ32" s="150" t="s">
        <v>39</v>
      </c>
      <c r="BK32" s="150" t="s">
        <v>44</v>
      </c>
      <c r="BL32" s="150" t="s">
        <v>22</v>
      </c>
      <c r="BM32" s="150" t="s">
        <v>28</v>
      </c>
      <c r="BN32" s="150" t="s">
        <v>34</v>
      </c>
      <c r="BO32" s="150" t="s">
        <v>39</v>
      </c>
      <c r="BP32" s="150" t="s">
        <v>44</v>
      </c>
    </row>
    <row r="33" customFormat="false" ht="17.25" hidden="false" customHeight="false" outlineLevel="0" collapsed="false">
      <c r="A33" s="169" t="n">
        <v>4</v>
      </c>
      <c r="B33" s="194" t="n">
        <f aca="false">COUNTIF(年計!$D$182:$I$232,AM32)</f>
        <v>5</v>
      </c>
      <c r="C33" s="192" t="n">
        <f aca="false">COUNTIF(年計!$D$182:$I$232,AN32)</f>
        <v>5</v>
      </c>
      <c r="D33" s="192" t="n">
        <f aca="false">COUNTIF(年計!$D$182:$I$232,AO32)</f>
        <v>5</v>
      </c>
      <c r="E33" s="192" t="n">
        <f aca="false">COUNTIF(年計!$D$182:$I$232,AP32)</f>
        <v>5</v>
      </c>
      <c r="F33" s="195" t="n">
        <f aca="false">COUNTIF(年計!$D$182:$I$232,AQ32)</f>
        <v>5</v>
      </c>
      <c r="G33" s="174" t="n">
        <f aca="false">COUNTIF(年計!$J$182:$O$232,AR32)</f>
        <v>5</v>
      </c>
      <c r="H33" s="172" t="n">
        <f aca="false">COUNTIF(年計!$J$182:$O$232,AS32)</f>
        <v>5</v>
      </c>
      <c r="I33" s="172" t="n">
        <f aca="false">COUNTIF(年計!$J$182:$O$232,AT32)</f>
        <v>5</v>
      </c>
      <c r="J33" s="172" t="n">
        <f aca="false">COUNTIF(年計!$J$182:$O$232,AU32)</f>
        <v>5</v>
      </c>
      <c r="K33" s="175" t="n">
        <f aca="false">COUNTIF(年計!$J$182:$O$232,AV32)</f>
        <v>5</v>
      </c>
      <c r="L33" s="174" t="n">
        <f aca="false">COUNTIF(年計!$P$182:$U$232,AW32)</f>
        <v>5</v>
      </c>
      <c r="M33" s="172" t="n">
        <f aca="false">COUNTIF(年計!$P$182:$U$232,AX32)</f>
        <v>5</v>
      </c>
      <c r="N33" s="172" t="n">
        <f aca="false">COUNTIF(年計!$P$182:$U$232,AY32)</f>
        <v>5</v>
      </c>
      <c r="O33" s="192" t="n">
        <f aca="false">COUNTIF(年計!$P$182:$U$232,AZ32)</f>
        <v>5</v>
      </c>
      <c r="P33" s="193" t="n">
        <f aca="false">COUNTIF(年計!$P$182:$U$232,BA32)</f>
        <v>4</v>
      </c>
      <c r="S33" s="169" t="n">
        <v>4</v>
      </c>
      <c r="T33" s="194" t="n">
        <f aca="false">COUNTIF(年計!$D$3:$I$232,BB32)</f>
        <v>20</v>
      </c>
      <c r="U33" s="192" t="n">
        <f aca="false">COUNTIF(年計!$D$3:$I$232,BC32)</f>
        <v>19</v>
      </c>
      <c r="V33" s="192" t="n">
        <f aca="false">COUNTIF(年計!$D$3:$I$232,BD32)</f>
        <v>19</v>
      </c>
      <c r="W33" s="192" t="n">
        <f aca="false">COUNTIF(年計!$D$3:$I$232,BE32)</f>
        <v>20</v>
      </c>
      <c r="X33" s="195" t="n">
        <f aca="false">COUNTIF(年計!$D$3:$I$232,BF32)</f>
        <v>19</v>
      </c>
      <c r="Y33" s="194" t="n">
        <f aca="false">COUNTIF(年計!$J$3:$O$232,BG32)</f>
        <v>20</v>
      </c>
      <c r="Z33" s="192" t="n">
        <f aca="false">COUNTIF(年計!$J$3:$O$232,BH32)</f>
        <v>19</v>
      </c>
      <c r="AA33" s="192" t="n">
        <f aca="false">COUNTIF(年計!$J$3:$O$232,BI32)</f>
        <v>19</v>
      </c>
      <c r="AB33" s="192" t="n">
        <f aca="false">COUNTIF(年計!$J$3:$O$232,BJ32)</f>
        <v>20</v>
      </c>
      <c r="AC33" s="195" t="n">
        <f aca="false">COUNTIF(年計!$J$3:$O$232,BK32)</f>
        <v>19</v>
      </c>
      <c r="AD33" s="194" t="n">
        <f aca="false">COUNTIF(年計!$P$3:$U$232,BL32)</f>
        <v>18</v>
      </c>
      <c r="AE33" s="192" t="n">
        <f aca="false">COUNTIF(年計!$P$3:$U$232,BM32)</f>
        <v>18</v>
      </c>
      <c r="AF33" s="192" t="n">
        <f aca="false">COUNTIF(年計!$P$3:$U$232,BN32)</f>
        <v>18</v>
      </c>
      <c r="AG33" s="192" t="n">
        <f aca="false">COUNTIF(年計!$P$3:$U$232,BO32)</f>
        <v>18</v>
      </c>
      <c r="AH33" s="193" t="n">
        <f aca="false">COUNTIF(年計!$P$3:$U$232,BP32)</f>
        <v>17</v>
      </c>
      <c r="AM33" s="150" t="s">
        <v>23</v>
      </c>
      <c r="AN33" s="150" t="s">
        <v>29</v>
      </c>
      <c r="AO33" s="150" t="s">
        <v>35</v>
      </c>
      <c r="AP33" s="150" t="s">
        <v>40</v>
      </c>
      <c r="AQ33" s="150" t="s">
        <v>45</v>
      </c>
      <c r="AR33" s="150" t="s">
        <v>23</v>
      </c>
      <c r="AS33" s="150" t="s">
        <v>29</v>
      </c>
      <c r="AT33" s="150" t="s">
        <v>35</v>
      </c>
      <c r="AU33" s="150" t="s">
        <v>40</v>
      </c>
      <c r="AV33" s="150" t="s">
        <v>45</v>
      </c>
      <c r="AW33" s="150" t="s">
        <v>23</v>
      </c>
      <c r="AX33" s="150" t="s">
        <v>29</v>
      </c>
      <c r="AY33" s="150" t="s">
        <v>35</v>
      </c>
      <c r="AZ33" s="150" t="s">
        <v>40</v>
      </c>
      <c r="BA33" s="150" t="s">
        <v>45</v>
      </c>
      <c r="BB33" s="150" t="s">
        <v>23</v>
      </c>
      <c r="BC33" s="150" t="s">
        <v>29</v>
      </c>
      <c r="BD33" s="150" t="s">
        <v>35</v>
      </c>
      <c r="BE33" s="150" t="s">
        <v>40</v>
      </c>
      <c r="BF33" s="150" t="s">
        <v>45</v>
      </c>
      <c r="BG33" s="150" t="s">
        <v>23</v>
      </c>
      <c r="BH33" s="150" t="s">
        <v>29</v>
      </c>
      <c r="BI33" s="150" t="s">
        <v>35</v>
      </c>
      <c r="BJ33" s="150" t="s">
        <v>40</v>
      </c>
      <c r="BK33" s="150" t="s">
        <v>45</v>
      </c>
      <c r="BL33" s="150" t="s">
        <v>23</v>
      </c>
      <c r="BM33" s="150" t="s">
        <v>29</v>
      </c>
      <c r="BN33" s="150" t="s">
        <v>35</v>
      </c>
      <c r="BO33" s="150" t="s">
        <v>40</v>
      </c>
      <c r="BP33" s="150" t="s">
        <v>45</v>
      </c>
    </row>
    <row r="34" customFormat="false" ht="17.25" hidden="false" customHeight="false" outlineLevel="0" collapsed="false">
      <c r="A34" s="169" t="n">
        <v>5</v>
      </c>
      <c r="B34" s="194" t="n">
        <f aca="false">COUNTIF(年計!$D$182:$I$232,AM33)</f>
        <v>5</v>
      </c>
      <c r="C34" s="192" t="n">
        <f aca="false">COUNTIF(年計!$D$182:$I$232,AN33)</f>
        <v>5</v>
      </c>
      <c r="D34" s="192" t="n">
        <f aca="false">COUNTIF(年計!$D$182:$I$232,AO33)</f>
        <v>5</v>
      </c>
      <c r="E34" s="192" t="n">
        <f aca="false">COUNTIF(年計!$D$182:$I$232,AP33)</f>
        <v>4</v>
      </c>
      <c r="F34" s="195" t="n">
        <f aca="false">COUNTIF(年計!$D$182:$I$232,AQ33)</f>
        <v>5</v>
      </c>
      <c r="G34" s="194" t="n">
        <f aca="false">COUNTIF(年計!$J$182:$O$232,AR33)</f>
        <v>5</v>
      </c>
      <c r="H34" s="192" t="n">
        <f aca="false">COUNTIF(年計!$J$182:$O$232,AS33)</f>
        <v>5</v>
      </c>
      <c r="I34" s="172" t="n">
        <f aca="false">COUNTIF(年計!$J$182:$O$232,AT33)</f>
        <v>5</v>
      </c>
      <c r="J34" s="192" t="n">
        <f aca="false">COUNTIF(年計!$J$182:$O$232,AU33)</f>
        <v>4</v>
      </c>
      <c r="K34" s="195" t="n">
        <f aca="false">COUNTIF(年計!$J$182:$O$232,AV33)</f>
        <v>5</v>
      </c>
      <c r="L34" s="194" t="n">
        <f aca="false">COUNTIF(年計!$P$182:$U$232,AW33)</f>
        <v>5</v>
      </c>
      <c r="M34" s="192" t="n">
        <f aca="false">COUNTIF(年計!$P$182:$U$232,AX33)</f>
        <v>4</v>
      </c>
      <c r="N34" s="192" t="n">
        <f aca="false">COUNTIF(年計!$P$182:$U$232,AY33)</f>
        <v>5</v>
      </c>
      <c r="O34" s="192" t="n">
        <f aca="false">COUNTIF(年計!$P$182:$U$232,AZ33)</f>
        <v>4</v>
      </c>
      <c r="P34" s="193" t="n">
        <f aca="false">COUNTIF(年計!$P$182:$U$232,BA33)</f>
        <v>4</v>
      </c>
      <c r="S34" s="169" t="n">
        <v>5</v>
      </c>
      <c r="T34" s="194" t="n">
        <f aca="false">COUNTIF(年計!$D$3:$I$232,BB33)</f>
        <v>18</v>
      </c>
      <c r="U34" s="192" t="n">
        <f aca="false">COUNTIF(年計!$D$3:$I$232,BC33)</f>
        <v>17</v>
      </c>
      <c r="V34" s="192" t="n">
        <f aca="false">COUNTIF(年計!$D$3:$I$232,BD33)</f>
        <v>17</v>
      </c>
      <c r="W34" s="192" t="n">
        <f aca="false">COUNTIF(年計!$D$3:$I$232,BE33)</f>
        <v>18</v>
      </c>
      <c r="X34" s="195" t="n">
        <f aca="false">COUNTIF(年計!$D$3:$I$232,BF33)</f>
        <v>18</v>
      </c>
      <c r="Y34" s="194" t="n">
        <f aca="false">COUNTIF(年計!$J$3:$O$232,BG33)</f>
        <v>18</v>
      </c>
      <c r="Z34" s="192" t="n">
        <f aca="false">COUNTIF(年計!$J$3:$O$232,BH33)</f>
        <v>17</v>
      </c>
      <c r="AA34" s="192" t="n">
        <f aca="false">COUNTIF(年計!$J$3:$O$232,BI33)</f>
        <v>17</v>
      </c>
      <c r="AB34" s="192" t="n">
        <f aca="false">COUNTIF(年計!$J$3:$O$232,BJ33)</f>
        <v>18</v>
      </c>
      <c r="AC34" s="195" t="n">
        <f aca="false">COUNTIF(年計!$J$3:$O$232,BK33)</f>
        <v>18</v>
      </c>
      <c r="AD34" s="194" t="n">
        <f aca="false">COUNTIF(年計!$P$3:$U$232,BL33)</f>
        <v>16</v>
      </c>
      <c r="AE34" s="192" t="n">
        <f aca="false">COUNTIF(年計!$P$3:$U$232,BM33)</f>
        <v>15</v>
      </c>
      <c r="AF34" s="192" t="n">
        <f aca="false">COUNTIF(年計!$P$3:$U$232,BN33)</f>
        <v>16</v>
      </c>
      <c r="AG34" s="192" t="n">
        <f aca="false">COUNTIF(年計!$P$3:$U$232,BO33)</f>
        <v>15</v>
      </c>
      <c r="AH34" s="193" t="n">
        <f aca="false">COUNTIF(年計!$P$3:$U$232,BP33)</f>
        <v>15</v>
      </c>
      <c r="AM34" s="150" t="s">
        <v>7</v>
      </c>
      <c r="AN34" s="150" t="s">
        <v>9</v>
      </c>
      <c r="AO34" s="150" t="s">
        <v>11</v>
      </c>
      <c r="AP34" s="150" t="s">
        <v>194</v>
      </c>
      <c r="AQ34" s="150" t="s">
        <v>12</v>
      </c>
      <c r="AR34" s="150" t="s">
        <v>7</v>
      </c>
      <c r="AS34" s="150" t="s">
        <v>9</v>
      </c>
      <c r="AT34" s="150" t="s">
        <v>11</v>
      </c>
      <c r="AU34" s="150" t="s">
        <v>194</v>
      </c>
      <c r="AV34" s="150" t="s">
        <v>12</v>
      </c>
      <c r="AW34" s="150" t="s">
        <v>7</v>
      </c>
      <c r="AX34" s="150" t="s">
        <v>9</v>
      </c>
      <c r="AY34" s="150" t="s">
        <v>11</v>
      </c>
      <c r="AZ34" s="150" t="s">
        <v>194</v>
      </c>
      <c r="BA34" s="150" t="s">
        <v>12</v>
      </c>
      <c r="BB34" s="150" t="s">
        <v>7</v>
      </c>
      <c r="BC34" s="150" t="s">
        <v>9</v>
      </c>
      <c r="BD34" s="150" t="s">
        <v>11</v>
      </c>
      <c r="BE34" s="150" t="s">
        <v>194</v>
      </c>
      <c r="BF34" s="150" t="s">
        <v>12</v>
      </c>
      <c r="BG34" s="150" t="s">
        <v>7</v>
      </c>
      <c r="BH34" s="150" t="s">
        <v>9</v>
      </c>
      <c r="BI34" s="150" t="s">
        <v>11</v>
      </c>
      <c r="BJ34" s="150" t="s">
        <v>194</v>
      </c>
      <c r="BK34" s="150" t="s">
        <v>12</v>
      </c>
      <c r="BL34" s="150" t="s">
        <v>7</v>
      </c>
      <c r="BM34" s="150" t="s">
        <v>9</v>
      </c>
      <c r="BN34" s="150" t="s">
        <v>11</v>
      </c>
      <c r="BO34" s="150" t="s">
        <v>194</v>
      </c>
      <c r="BP34" s="150" t="s">
        <v>12</v>
      </c>
    </row>
    <row r="35" customFormat="false" ht="18" hidden="false" customHeight="true" outlineLevel="0" collapsed="false">
      <c r="A35" s="179" t="n">
        <v>6</v>
      </c>
      <c r="B35" s="185" t="n">
        <f aca="false">COUNTIF(年計!$D$182:$I$232,AM34)</f>
        <v>5</v>
      </c>
      <c r="C35" s="197" t="n">
        <f aca="false">COUNTIF(年計!$D$182:$I$232,AN34)</f>
        <v>6</v>
      </c>
      <c r="D35" s="182" t="n">
        <f aca="false">COUNTIF(年計!$D$182:$I$232,AO34)</f>
        <v>5</v>
      </c>
      <c r="E35" s="183" t="n">
        <f aca="false">COUNTIF(年計!$D$182:$I$232,AP34)</f>
        <v>0</v>
      </c>
      <c r="F35" s="196" t="n">
        <f aca="false">COUNTIF(年計!$D$182:$I$232,AQ34)</f>
        <v>5</v>
      </c>
      <c r="G35" s="185" t="n">
        <f aca="false">COUNTIF(年計!$J$182:$O$232,AR34)</f>
        <v>5</v>
      </c>
      <c r="H35" s="182" t="n">
        <f aca="false">COUNTIF(年計!$J$182:$O$232,AS34)</f>
        <v>6</v>
      </c>
      <c r="I35" s="182" t="n">
        <f aca="false">COUNTIF(年計!$J$182:$O$232,AT34)</f>
        <v>5</v>
      </c>
      <c r="J35" s="183" t="n">
        <f aca="false">COUNTIF(年計!$J$182:$O$232,AU34)</f>
        <v>0</v>
      </c>
      <c r="K35" s="196" t="n">
        <f aca="false">COUNTIF(年計!$J$182:$O$232,AV34)</f>
        <v>5</v>
      </c>
      <c r="L35" s="185" t="n">
        <f aca="false">COUNTIF(年計!$P$182:$U$232,AW34)</f>
        <v>5</v>
      </c>
      <c r="M35" s="182" t="n">
        <f aca="false">COUNTIF(年計!$P$182:$U$232,AX34)</f>
        <v>5</v>
      </c>
      <c r="N35" s="182" t="n">
        <f aca="false">COUNTIF(年計!$P$182:$U$232,AY34)</f>
        <v>5</v>
      </c>
      <c r="O35" s="183" t="n">
        <f aca="false">COUNTIF(年計!$P$182:$U$232,AZ34)</f>
        <v>0</v>
      </c>
      <c r="P35" s="184" t="n">
        <f aca="false">COUNTIF(年計!$P$182:$U$232,BA34)</f>
        <v>5</v>
      </c>
      <c r="S35" s="179" t="n">
        <v>6</v>
      </c>
      <c r="T35" s="185" t="n">
        <f aca="false">COUNTIF(年計!$D$3:$I$232,BB34)</f>
        <v>19</v>
      </c>
      <c r="U35" s="197" t="n">
        <f aca="false">COUNTIF(年計!$D$3:$I$232,BC34)</f>
        <v>20</v>
      </c>
      <c r="V35" s="182" t="n">
        <f aca="false">COUNTIF(年計!$D$3:$I$232,BD34)</f>
        <v>19</v>
      </c>
      <c r="W35" s="183" t="n">
        <f aca="false">COUNTIF(年計!$D$3:$I$232,BE34)</f>
        <v>0</v>
      </c>
      <c r="X35" s="196" t="n">
        <f aca="false">COUNTIF(年計!$D$3:$I$232,BF34)</f>
        <v>20</v>
      </c>
      <c r="Y35" s="185" t="n">
        <f aca="false">COUNTIF(年計!$J$3:$O$232,BG34)</f>
        <v>19</v>
      </c>
      <c r="Z35" s="182" t="n">
        <f aca="false">COUNTIF(年計!$J$3:$O$232,BH34)</f>
        <v>20</v>
      </c>
      <c r="AA35" s="182" t="n">
        <f aca="false">COUNTIF(年計!$J$3:$O$232,BI34)</f>
        <v>19</v>
      </c>
      <c r="AB35" s="183" t="n">
        <f aca="false">COUNTIF(年計!$J$3:$O$232,BJ34)</f>
        <v>0</v>
      </c>
      <c r="AC35" s="196" t="n">
        <f aca="false">COUNTIF(年計!$J$3:$O$232,BK34)</f>
        <v>20</v>
      </c>
      <c r="AD35" s="185" t="n">
        <f aca="false">COUNTIF(年計!$P$3:$U$232,BL34)</f>
        <v>18</v>
      </c>
      <c r="AE35" s="182" t="n">
        <f aca="false">COUNTIF(年計!$P$3:$U$232,BM34)</f>
        <v>17</v>
      </c>
      <c r="AF35" s="182" t="n">
        <f aca="false">COUNTIF(年計!$P$3:$U$232,BN34)</f>
        <v>18</v>
      </c>
      <c r="AG35" s="183" t="n">
        <f aca="false">COUNTIF(年計!$P$3:$U$232,BO34)</f>
        <v>0</v>
      </c>
      <c r="AH35" s="184" t="n">
        <f aca="false">COUNTIF(年計!$P$3:$U$232,BP34)</f>
        <v>17</v>
      </c>
    </row>
    <row r="36" customFormat="false" ht="18" hidden="false" customHeight="true" outlineLevel="0" collapsed="false">
      <c r="A36" s="149" t="s">
        <v>204</v>
      </c>
      <c r="B36" s="149"/>
      <c r="C36" s="149"/>
      <c r="D36" s="149"/>
      <c r="E36" s="149"/>
      <c r="F36" s="149"/>
      <c r="G36" s="149"/>
      <c r="H36" s="149"/>
      <c r="S36" s="149" t="s">
        <v>205</v>
      </c>
      <c r="T36" s="149"/>
      <c r="U36" s="149"/>
      <c r="V36" s="149"/>
      <c r="W36" s="149"/>
      <c r="X36" s="149"/>
      <c r="Y36" s="149"/>
      <c r="Z36" s="149"/>
    </row>
    <row r="37" customFormat="false" ht="18" hidden="false" customHeight="true" outlineLevel="0" collapsed="false">
      <c r="A37" s="151"/>
      <c r="B37" s="155" t="s">
        <v>3</v>
      </c>
      <c r="C37" s="155" t="s">
        <v>14</v>
      </c>
      <c r="D37" s="155" t="s">
        <v>17</v>
      </c>
      <c r="E37" s="155" t="s">
        <v>6</v>
      </c>
      <c r="F37" s="190" t="s">
        <v>8</v>
      </c>
      <c r="G37" s="154" t="s">
        <v>3</v>
      </c>
      <c r="H37" s="155" t="s">
        <v>14</v>
      </c>
      <c r="I37" s="155" t="s">
        <v>17</v>
      </c>
      <c r="J37" s="155" t="s">
        <v>6</v>
      </c>
      <c r="K37" s="156" t="s">
        <v>8</v>
      </c>
      <c r="L37" s="157" t="s">
        <v>3</v>
      </c>
      <c r="M37" s="155" t="s">
        <v>14</v>
      </c>
      <c r="N37" s="155" t="s">
        <v>17</v>
      </c>
      <c r="O37" s="155" t="s">
        <v>6</v>
      </c>
      <c r="P37" s="156" t="s">
        <v>8</v>
      </c>
      <c r="S37" s="151"/>
      <c r="T37" s="155" t="s">
        <v>3</v>
      </c>
      <c r="U37" s="155" t="s">
        <v>14</v>
      </c>
      <c r="V37" s="155" t="s">
        <v>17</v>
      </c>
      <c r="W37" s="155" t="s">
        <v>6</v>
      </c>
      <c r="X37" s="190" t="s">
        <v>8</v>
      </c>
      <c r="Y37" s="154" t="s">
        <v>3</v>
      </c>
      <c r="Z37" s="155" t="s">
        <v>14</v>
      </c>
      <c r="AA37" s="155" t="s">
        <v>17</v>
      </c>
      <c r="AB37" s="155" t="s">
        <v>6</v>
      </c>
      <c r="AC37" s="156" t="s">
        <v>8</v>
      </c>
      <c r="AD37" s="157" t="s">
        <v>3</v>
      </c>
      <c r="AE37" s="155" t="s">
        <v>14</v>
      </c>
      <c r="AF37" s="155" t="s">
        <v>17</v>
      </c>
      <c r="AG37" s="155" t="s">
        <v>6</v>
      </c>
      <c r="AH37" s="156" t="s">
        <v>8</v>
      </c>
      <c r="AM37" s="150" t="s">
        <v>19</v>
      </c>
      <c r="AN37" s="150" t="s">
        <v>25</v>
      </c>
      <c r="AO37" s="150" t="s">
        <v>31</v>
      </c>
      <c r="AP37" s="150" t="s">
        <v>36</v>
      </c>
      <c r="AQ37" s="150" t="s">
        <v>41</v>
      </c>
      <c r="AR37" s="150" t="s">
        <v>19</v>
      </c>
      <c r="AS37" s="150" t="s">
        <v>25</v>
      </c>
      <c r="AT37" s="150" t="s">
        <v>31</v>
      </c>
      <c r="AU37" s="150" t="s">
        <v>36</v>
      </c>
      <c r="AV37" s="150" t="s">
        <v>41</v>
      </c>
      <c r="AW37" s="150" t="s">
        <v>19</v>
      </c>
      <c r="AX37" s="150" t="s">
        <v>25</v>
      </c>
      <c r="AY37" s="150" t="s">
        <v>31</v>
      </c>
      <c r="AZ37" s="150" t="s">
        <v>36</v>
      </c>
      <c r="BA37" s="150" t="s">
        <v>41</v>
      </c>
      <c r="BB37" s="150" t="s">
        <v>19</v>
      </c>
      <c r="BC37" s="150" t="s">
        <v>25</v>
      </c>
      <c r="BD37" s="150" t="s">
        <v>31</v>
      </c>
      <c r="BE37" s="150" t="s">
        <v>36</v>
      </c>
      <c r="BF37" s="150" t="s">
        <v>41</v>
      </c>
      <c r="BG37" s="150" t="s">
        <v>19</v>
      </c>
      <c r="BH37" s="150" t="s">
        <v>25</v>
      </c>
      <c r="BI37" s="150" t="s">
        <v>31</v>
      </c>
      <c r="BJ37" s="150" t="s">
        <v>36</v>
      </c>
      <c r="BK37" s="150" t="s">
        <v>41</v>
      </c>
      <c r="BL37" s="150" t="s">
        <v>19</v>
      </c>
      <c r="BM37" s="150" t="s">
        <v>25</v>
      </c>
      <c r="BN37" s="150" t="s">
        <v>31</v>
      </c>
      <c r="BO37" s="150" t="s">
        <v>36</v>
      </c>
      <c r="BP37" s="150" t="s">
        <v>41</v>
      </c>
    </row>
    <row r="38" customFormat="false" ht="17.25" hidden="false" customHeight="false" outlineLevel="0" collapsed="false">
      <c r="A38" s="162" t="n">
        <v>1</v>
      </c>
      <c r="B38" s="170" t="n">
        <f aca="false">COUNTIF(年計!$D$233:$I$277,AM37)</f>
        <v>5</v>
      </c>
      <c r="C38" s="171" t="n">
        <f aca="false">COUNTIF(年計!$D$233:$I$277,AN37)</f>
        <v>5</v>
      </c>
      <c r="D38" s="171" t="n">
        <f aca="false">COUNTIF(年計!$D$233:$I$277,AO37)</f>
        <v>4</v>
      </c>
      <c r="E38" s="171" t="n">
        <f aca="false">COUNTIF(年計!$D$233:$I$277,AP37)</f>
        <v>3</v>
      </c>
      <c r="F38" s="191" t="n">
        <f aca="false">COUNTIF(年計!$D$233:$I$277,AQ37)</f>
        <v>4</v>
      </c>
      <c r="G38" s="163" t="n">
        <f aca="false">COUNTIF(年計!$J$233:$O$277,AR37)</f>
        <v>5</v>
      </c>
      <c r="H38" s="164" t="n">
        <f aca="false">COUNTIF(年計!$J$233:$O$277,AS37)</f>
        <v>5</v>
      </c>
      <c r="I38" s="164" t="n">
        <f aca="false">COUNTIF(年計!$J$233:$O$277,AT37)</f>
        <v>4</v>
      </c>
      <c r="J38" s="164" t="n">
        <f aca="false">COUNTIF(年計!$J$233:$O$277,AU37)</f>
        <v>3</v>
      </c>
      <c r="K38" s="166" t="n">
        <f aca="false">COUNTIF(年計!$J$233:$O$277,AV37)</f>
        <v>4</v>
      </c>
      <c r="L38" s="163" t="n">
        <f aca="false">COUNTIF(年計!$P$233:$U$277,AW37)</f>
        <v>5</v>
      </c>
      <c r="M38" s="164" t="n">
        <f aca="false">COUNTIF(年計!$P$233:$U$277,AX37)</f>
        <v>5</v>
      </c>
      <c r="N38" s="164" t="n">
        <f aca="false">COUNTIF(年計!$P$233:$U$277,AY37)</f>
        <v>4</v>
      </c>
      <c r="O38" s="164" t="n">
        <f aca="false">COUNTIF(年計!$P$233:$U$277,AZ37)</f>
        <v>3</v>
      </c>
      <c r="P38" s="165" t="n">
        <f aca="false">COUNTIF(年計!$P$233:$U$277,BA37)</f>
        <v>3</v>
      </c>
      <c r="S38" s="162" t="n">
        <v>1</v>
      </c>
      <c r="T38" s="170" t="n">
        <f aca="false">COUNTIF(年計!$D$3:$I$277,BB37)</f>
        <v>24</v>
      </c>
      <c r="U38" s="171" t="n">
        <f aca="false">COUNTIF(年計!$D$3:$I$277,BC37)</f>
        <v>24</v>
      </c>
      <c r="V38" s="171" t="n">
        <f aca="false">COUNTIF(年計!$D$3:$I$277,BD37)</f>
        <v>23</v>
      </c>
      <c r="W38" s="171" t="n">
        <f aca="false">COUNTIF(年計!$D$3:$I$277,BE37)</f>
        <v>22</v>
      </c>
      <c r="X38" s="191" t="n">
        <f aca="false">COUNTIF(年計!$D$3:$I$277,BF37)</f>
        <v>23</v>
      </c>
      <c r="Y38" s="170" t="n">
        <f aca="false">COUNTIF(年計!$J$3:$O$277,BG37)</f>
        <v>24</v>
      </c>
      <c r="Z38" s="164" t="n">
        <f aca="false">COUNTIF(年計!$J$3:$O$277,BH37)</f>
        <v>24</v>
      </c>
      <c r="AA38" s="164" t="n">
        <f aca="false">COUNTIF(年計!$J$3:$O$277,BI37)</f>
        <v>23</v>
      </c>
      <c r="AB38" s="164" t="n">
        <f aca="false">COUNTIF(年計!$J$3:$O$277,BJ37)</f>
        <v>22</v>
      </c>
      <c r="AC38" s="166" t="n">
        <f aca="false">COUNTIF(年計!$J$3:$O$277,BK37)</f>
        <v>23</v>
      </c>
      <c r="AD38" s="163" t="n">
        <f aca="false">COUNTIF(年計!$P$3:$U$277,BL37)</f>
        <v>23</v>
      </c>
      <c r="AE38" s="164" t="n">
        <f aca="false">COUNTIF(年計!$P$3:$U$277,BM37)</f>
        <v>22</v>
      </c>
      <c r="AF38" s="164" t="n">
        <f aca="false">COUNTIF(年計!$P$3:$U$277,BN37)</f>
        <v>23</v>
      </c>
      <c r="AG38" s="164" t="n">
        <f aca="false">COUNTIF(年計!$P$3:$U$277,BO37)</f>
        <v>19</v>
      </c>
      <c r="AH38" s="165" t="n">
        <f aca="false">COUNTIF(年計!$P$3:$U$277,BP37)</f>
        <v>21</v>
      </c>
      <c r="AI38" s="205" t="s">
        <v>206</v>
      </c>
      <c r="AJ38" s="205" t="str">
        <f aca="false">IFERROR(MATCH(AI38,年計!$C$2:$C$368,0),"")</f>
        <v/>
      </c>
      <c r="AM38" s="150" t="s">
        <v>20</v>
      </c>
      <c r="AN38" s="150" t="s">
        <v>26</v>
      </c>
      <c r="AO38" s="150" t="s">
        <v>32</v>
      </c>
      <c r="AP38" s="150" t="s">
        <v>37</v>
      </c>
      <c r="AQ38" s="150" t="s">
        <v>42</v>
      </c>
      <c r="AR38" s="150" t="s">
        <v>20</v>
      </c>
      <c r="AS38" s="150" t="s">
        <v>26</v>
      </c>
      <c r="AT38" s="150" t="s">
        <v>32</v>
      </c>
      <c r="AU38" s="150" t="s">
        <v>37</v>
      </c>
      <c r="AV38" s="150" t="s">
        <v>42</v>
      </c>
      <c r="AW38" s="150" t="s">
        <v>20</v>
      </c>
      <c r="AX38" s="150" t="s">
        <v>26</v>
      </c>
      <c r="AY38" s="150" t="s">
        <v>32</v>
      </c>
      <c r="AZ38" s="150" t="s">
        <v>37</v>
      </c>
      <c r="BA38" s="150" t="s">
        <v>42</v>
      </c>
      <c r="BB38" s="150" t="s">
        <v>20</v>
      </c>
      <c r="BC38" s="150" t="s">
        <v>26</v>
      </c>
      <c r="BD38" s="150" t="s">
        <v>32</v>
      </c>
      <c r="BE38" s="150" t="s">
        <v>37</v>
      </c>
      <c r="BF38" s="150" t="s">
        <v>42</v>
      </c>
      <c r="BG38" s="150" t="s">
        <v>20</v>
      </c>
      <c r="BH38" s="150" t="s">
        <v>26</v>
      </c>
      <c r="BI38" s="150" t="s">
        <v>32</v>
      </c>
      <c r="BJ38" s="150" t="s">
        <v>37</v>
      </c>
      <c r="BK38" s="150" t="s">
        <v>42</v>
      </c>
      <c r="BL38" s="150" t="s">
        <v>20</v>
      </c>
      <c r="BM38" s="150" t="s">
        <v>26</v>
      </c>
      <c r="BN38" s="150" t="s">
        <v>32</v>
      </c>
      <c r="BO38" s="150" t="s">
        <v>37</v>
      </c>
      <c r="BP38" s="150" t="s">
        <v>42</v>
      </c>
    </row>
    <row r="39" customFormat="false" ht="17.25" hidden="false" customHeight="false" outlineLevel="0" collapsed="false">
      <c r="A39" s="169" t="n">
        <v>2</v>
      </c>
      <c r="B39" s="194" t="n">
        <f aca="false">COUNTIF(年計!$D$233:$I$277,AM38)</f>
        <v>4</v>
      </c>
      <c r="C39" s="192" t="n">
        <f aca="false">COUNTIF(年計!$D$233:$I$277,AN38)</f>
        <v>5</v>
      </c>
      <c r="D39" s="192" t="n">
        <f aca="false">COUNTIF(年計!$D$233:$I$277,AO38)</f>
        <v>4</v>
      </c>
      <c r="E39" s="192" t="n">
        <f aca="false">COUNTIF(年計!$D$233:$I$277,AP38)</f>
        <v>4</v>
      </c>
      <c r="F39" s="195" t="n">
        <f aca="false">COUNTIF(年計!$D$233:$I$277,AQ38)</f>
        <v>4</v>
      </c>
      <c r="G39" s="174" t="n">
        <f aca="false">COUNTIF(年計!$J$233:$O$277,AR38)</f>
        <v>4</v>
      </c>
      <c r="H39" s="172" t="n">
        <f aca="false">COUNTIF(年計!$J$233:$O$277,AS38)</f>
        <v>5</v>
      </c>
      <c r="I39" s="172" t="n">
        <f aca="false">COUNTIF(年計!$J$233:$O$277,AT38)</f>
        <v>4</v>
      </c>
      <c r="J39" s="172" t="n">
        <f aca="false">COUNTIF(年計!$J$233:$O$277,AU38)</f>
        <v>4</v>
      </c>
      <c r="K39" s="175" t="n">
        <f aca="false">COUNTIF(年計!$J$233:$O$277,AV38)</f>
        <v>4</v>
      </c>
      <c r="L39" s="174" t="n">
        <f aca="false">COUNTIF(年計!$P$233:$U$277,AW38)</f>
        <v>4</v>
      </c>
      <c r="M39" s="172" t="n">
        <f aca="false">COUNTIF(年計!$P$233:$U$277,AX38)</f>
        <v>4</v>
      </c>
      <c r="N39" s="172" t="n">
        <f aca="false">COUNTIF(年計!$P$233:$U$277,AY38)</f>
        <v>4</v>
      </c>
      <c r="O39" s="192" t="n">
        <f aca="false">COUNTIF(年計!$P$233:$U$277,AZ38)</f>
        <v>4</v>
      </c>
      <c r="P39" s="193" t="n">
        <f aca="false">COUNTIF(年計!$P$233:$U$277,BA38)</f>
        <v>4</v>
      </c>
      <c r="S39" s="169" t="n">
        <v>2</v>
      </c>
      <c r="T39" s="194" t="n">
        <f aca="false">COUNTIF(年計!$D$3:$I$277,BB38)</f>
        <v>24</v>
      </c>
      <c r="U39" s="192" t="n">
        <f aca="false">COUNTIF(年計!$D$3:$I$277,BC38)</f>
        <v>25</v>
      </c>
      <c r="V39" s="192" t="n">
        <f aca="false">COUNTIF(年計!$D$3:$I$277,BD38)</f>
        <v>23</v>
      </c>
      <c r="W39" s="192" t="n">
        <f aca="false">COUNTIF(年計!$D$3:$I$277,BE38)</f>
        <v>24</v>
      </c>
      <c r="X39" s="195" t="n">
        <f aca="false">COUNTIF(年計!$D$3:$I$277,BF38)</f>
        <v>24</v>
      </c>
      <c r="Y39" s="194" t="n">
        <f aca="false">COUNTIF(年計!$J$3:$O$277,BG38)</f>
        <v>24</v>
      </c>
      <c r="Z39" s="192" t="n">
        <f aca="false">COUNTIF(年計!$J$3:$O$277,BH38)</f>
        <v>25</v>
      </c>
      <c r="AA39" s="192" t="n">
        <f aca="false">COUNTIF(年計!$J$3:$O$277,BI38)</f>
        <v>23</v>
      </c>
      <c r="AB39" s="192" t="n">
        <f aca="false">COUNTIF(年計!$J$3:$O$277,BJ38)</f>
        <v>24</v>
      </c>
      <c r="AC39" s="195" t="n">
        <f aca="false">COUNTIF(年計!$J$3:$O$277,BK38)</f>
        <v>24</v>
      </c>
      <c r="AD39" s="194" t="n">
        <f aca="false">COUNTIF(年計!$P$3:$U$277,BL38)</f>
        <v>23</v>
      </c>
      <c r="AE39" s="192" t="n">
        <f aca="false">COUNTIF(年計!$P$3:$U$277,BM38)</f>
        <v>23</v>
      </c>
      <c r="AF39" s="192" t="n">
        <f aca="false">COUNTIF(年計!$P$3:$U$277,BN38)</f>
        <v>22</v>
      </c>
      <c r="AG39" s="192" t="n">
        <f aca="false">COUNTIF(年計!$P$3:$U$277,BO38)</f>
        <v>21</v>
      </c>
      <c r="AH39" s="193" t="n">
        <f aca="false">COUNTIF(年計!$P$3:$U$277,BP38)</f>
        <v>22</v>
      </c>
      <c r="AM39" s="150" t="s">
        <v>21</v>
      </c>
      <c r="AN39" s="150" t="s">
        <v>27</v>
      </c>
      <c r="AO39" s="150" t="s">
        <v>33</v>
      </c>
      <c r="AP39" s="150" t="s">
        <v>38</v>
      </c>
      <c r="AQ39" s="150" t="s">
        <v>43</v>
      </c>
      <c r="AR39" s="150" t="s">
        <v>21</v>
      </c>
      <c r="AS39" s="150" t="s">
        <v>27</v>
      </c>
      <c r="AT39" s="150" t="s">
        <v>33</v>
      </c>
      <c r="AU39" s="150" t="s">
        <v>38</v>
      </c>
      <c r="AV39" s="150" t="s">
        <v>43</v>
      </c>
      <c r="AW39" s="150" t="s">
        <v>21</v>
      </c>
      <c r="AX39" s="150" t="s">
        <v>27</v>
      </c>
      <c r="AY39" s="150" t="s">
        <v>33</v>
      </c>
      <c r="AZ39" s="150" t="s">
        <v>38</v>
      </c>
      <c r="BA39" s="150" t="s">
        <v>43</v>
      </c>
      <c r="BB39" s="150" t="s">
        <v>21</v>
      </c>
      <c r="BC39" s="150" t="s">
        <v>27</v>
      </c>
      <c r="BD39" s="150" t="s">
        <v>33</v>
      </c>
      <c r="BE39" s="150" t="s">
        <v>38</v>
      </c>
      <c r="BF39" s="150" t="s">
        <v>43</v>
      </c>
      <c r="BG39" s="150" t="s">
        <v>21</v>
      </c>
      <c r="BH39" s="150" t="s">
        <v>27</v>
      </c>
      <c r="BI39" s="150" t="s">
        <v>33</v>
      </c>
      <c r="BJ39" s="150" t="s">
        <v>38</v>
      </c>
      <c r="BK39" s="150" t="s">
        <v>43</v>
      </c>
      <c r="BL39" s="150" t="s">
        <v>21</v>
      </c>
      <c r="BM39" s="150" t="s">
        <v>27</v>
      </c>
      <c r="BN39" s="150" t="s">
        <v>33</v>
      </c>
      <c r="BO39" s="150" t="s">
        <v>38</v>
      </c>
      <c r="BP39" s="150" t="s">
        <v>43</v>
      </c>
    </row>
    <row r="40" customFormat="false" ht="17.25" hidden="false" customHeight="false" outlineLevel="0" collapsed="false">
      <c r="A40" s="169" t="n">
        <v>3</v>
      </c>
      <c r="B40" s="194" t="n">
        <f aca="false">COUNTIF(年計!$D$233:$I$277,AM39)</f>
        <v>4</v>
      </c>
      <c r="C40" s="192" t="n">
        <f aca="false">COUNTIF(年計!$D$233:$I$277,AN39)</f>
        <v>4</v>
      </c>
      <c r="D40" s="192" t="n">
        <f aca="false">COUNTIF(年計!$D$233:$I$277,AO39)</f>
        <v>4</v>
      </c>
      <c r="E40" s="192" t="n">
        <f aca="false">COUNTIF(年計!$D$233:$I$277,AP39)</f>
        <v>4</v>
      </c>
      <c r="F40" s="195" t="n">
        <f aca="false">COUNTIF(年計!$D$233:$I$277,AQ39)</f>
        <v>5</v>
      </c>
      <c r="G40" s="174" t="n">
        <f aca="false">COUNTIF(年計!$J$233:$O$277,AR39)</f>
        <v>4</v>
      </c>
      <c r="H40" s="172" t="n">
        <f aca="false">COUNTIF(年計!$J$233:$O$277,AS39)</f>
        <v>4</v>
      </c>
      <c r="I40" s="172" t="n">
        <f aca="false">COUNTIF(年計!$J$233:$O$277,AT39)</f>
        <v>5</v>
      </c>
      <c r="J40" s="172" t="n">
        <f aca="false">COUNTIF(年計!$J$233:$O$277,AU39)</f>
        <v>4</v>
      </c>
      <c r="K40" s="175" t="n">
        <f aca="false">COUNTIF(年計!$J$233:$O$277,AV39)</f>
        <v>5</v>
      </c>
      <c r="L40" s="174" t="n">
        <f aca="false">COUNTIF(年計!$P$233:$U$277,AW39)</f>
        <v>4</v>
      </c>
      <c r="M40" s="172" t="n">
        <f aca="false">COUNTIF(年計!$P$233:$U$277,AX39)</f>
        <v>4</v>
      </c>
      <c r="N40" s="172" t="n">
        <f aca="false">COUNTIF(年計!$P$233:$U$277,AY39)</f>
        <v>4</v>
      </c>
      <c r="O40" s="192" t="n">
        <f aca="false">COUNTIF(年計!$P$233:$U$277,AZ39)</f>
        <v>4</v>
      </c>
      <c r="P40" s="193" t="n">
        <f aca="false">COUNTIF(年計!$P$233:$U$277,BA39)</f>
        <v>4</v>
      </c>
      <c r="S40" s="169" t="n">
        <v>3</v>
      </c>
      <c r="T40" s="194" t="n">
        <f aca="false">COUNTIF(年計!$D$3:$I$277,BB39)</f>
        <v>24</v>
      </c>
      <c r="U40" s="192" t="n">
        <f aca="false">COUNTIF(年計!$D$3:$I$277,BC39)</f>
        <v>24</v>
      </c>
      <c r="V40" s="192" t="n">
        <f aca="false">COUNTIF(年計!$D$3:$I$277,BD39)</f>
        <v>23</v>
      </c>
      <c r="W40" s="192" t="n">
        <f aca="false">COUNTIF(年計!$D$3:$I$277,BE39)</f>
        <v>24</v>
      </c>
      <c r="X40" s="195" t="n">
        <f aca="false">COUNTIF(年計!$D$3:$I$277,BF39)</f>
        <v>25</v>
      </c>
      <c r="Y40" s="194" t="n">
        <f aca="false">COUNTIF(年計!$J$3:$O$277,BG39)</f>
        <v>24</v>
      </c>
      <c r="Z40" s="192" t="n">
        <f aca="false">COUNTIF(年計!$J$3:$O$277,BH39)</f>
        <v>24</v>
      </c>
      <c r="AA40" s="192" t="n">
        <f aca="false">COUNTIF(年計!$J$3:$O$277,BI39)</f>
        <v>24</v>
      </c>
      <c r="AB40" s="192" t="n">
        <f aca="false">COUNTIF(年計!$J$3:$O$277,BJ39)</f>
        <v>24</v>
      </c>
      <c r="AC40" s="195" t="n">
        <f aca="false">COUNTIF(年計!$J$3:$O$277,BK39)</f>
        <v>25</v>
      </c>
      <c r="AD40" s="194" t="n">
        <f aca="false">COUNTIF(年計!$P$3:$U$277,BL39)</f>
        <v>23</v>
      </c>
      <c r="AE40" s="192" t="n">
        <f aca="false">COUNTIF(年計!$P$3:$U$277,BM39)</f>
        <v>23</v>
      </c>
      <c r="AF40" s="192" t="n">
        <f aca="false">COUNTIF(年計!$P$3:$U$277,BN39)</f>
        <v>22</v>
      </c>
      <c r="AG40" s="192" t="n">
        <f aca="false">COUNTIF(年計!$P$3:$U$277,BO39)</f>
        <v>20</v>
      </c>
      <c r="AH40" s="193" t="n">
        <f aca="false">COUNTIF(年計!$P$3:$U$277,BP39)</f>
        <v>22</v>
      </c>
      <c r="AM40" s="150" t="s">
        <v>22</v>
      </c>
      <c r="AN40" s="150" t="s">
        <v>28</v>
      </c>
      <c r="AO40" s="150" t="s">
        <v>34</v>
      </c>
      <c r="AP40" s="150" t="s">
        <v>39</v>
      </c>
      <c r="AQ40" s="150" t="s">
        <v>44</v>
      </c>
      <c r="AR40" s="150" t="s">
        <v>22</v>
      </c>
      <c r="AS40" s="150" t="s">
        <v>28</v>
      </c>
      <c r="AT40" s="150" t="s">
        <v>34</v>
      </c>
      <c r="AU40" s="150" t="s">
        <v>39</v>
      </c>
      <c r="AV40" s="150" t="s">
        <v>44</v>
      </c>
      <c r="AW40" s="150" t="s">
        <v>22</v>
      </c>
      <c r="AX40" s="150" t="s">
        <v>28</v>
      </c>
      <c r="AY40" s="150" t="s">
        <v>34</v>
      </c>
      <c r="AZ40" s="150" t="s">
        <v>39</v>
      </c>
      <c r="BA40" s="150" t="s">
        <v>44</v>
      </c>
      <c r="BB40" s="150" t="s">
        <v>22</v>
      </c>
      <c r="BC40" s="150" t="s">
        <v>28</v>
      </c>
      <c r="BD40" s="150" t="s">
        <v>34</v>
      </c>
      <c r="BE40" s="150" t="s">
        <v>39</v>
      </c>
      <c r="BF40" s="150" t="s">
        <v>44</v>
      </c>
      <c r="BG40" s="150" t="s">
        <v>22</v>
      </c>
      <c r="BH40" s="150" t="s">
        <v>28</v>
      </c>
      <c r="BI40" s="150" t="s">
        <v>34</v>
      </c>
      <c r="BJ40" s="150" t="s">
        <v>39</v>
      </c>
      <c r="BK40" s="150" t="s">
        <v>44</v>
      </c>
      <c r="BL40" s="150" t="s">
        <v>22</v>
      </c>
      <c r="BM40" s="150" t="s">
        <v>28</v>
      </c>
      <c r="BN40" s="150" t="s">
        <v>34</v>
      </c>
      <c r="BO40" s="150" t="s">
        <v>39</v>
      </c>
      <c r="BP40" s="150" t="s">
        <v>44</v>
      </c>
    </row>
    <row r="41" customFormat="false" ht="17.25" hidden="false" customHeight="false" outlineLevel="0" collapsed="false">
      <c r="A41" s="169" t="n">
        <v>4</v>
      </c>
      <c r="B41" s="194" t="n">
        <f aca="false">COUNTIF(年計!$D$233:$I$277,AM40)</f>
        <v>4</v>
      </c>
      <c r="C41" s="192" t="n">
        <f aca="false">COUNTIF(年計!$D$233:$I$277,AN40)</f>
        <v>5</v>
      </c>
      <c r="D41" s="192" t="n">
        <f aca="false">COUNTIF(年計!$D$233:$I$277,AO40)</f>
        <v>4</v>
      </c>
      <c r="E41" s="192" t="n">
        <f aca="false">COUNTIF(年計!$D$233:$I$277,AP40)</f>
        <v>4</v>
      </c>
      <c r="F41" s="195" t="n">
        <f aca="false">COUNTIF(年計!$D$233:$I$277,AQ40)</f>
        <v>5</v>
      </c>
      <c r="G41" s="174" t="n">
        <f aca="false">COUNTIF(年計!$J$233:$O$277,AR40)</f>
        <v>4</v>
      </c>
      <c r="H41" s="172" t="n">
        <f aca="false">COUNTIF(年計!$J$233:$O$277,AS40)</f>
        <v>5</v>
      </c>
      <c r="I41" s="172" t="n">
        <f aca="false">COUNTIF(年計!$J$233:$O$277,AT40)</f>
        <v>4</v>
      </c>
      <c r="J41" s="172" t="n">
        <f aca="false">COUNTIF(年計!$J$233:$O$277,AU40)</f>
        <v>4</v>
      </c>
      <c r="K41" s="175" t="n">
        <f aca="false">COUNTIF(年計!$J$233:$O$277,AV40)</f>
        <v>5</v>
      </c>
      <c r="L41" s="174" t="n">
        <f aca="false">COUNTIF(年計!$P$233:$U$277,AW40)</f>
        <v>4</v>
      </c>
      <c r="M41" s="172" t="n">
        <f aca="false">COUNTIF(年計!$P$233:$U$277,AX40)</f>
        <v>5</v>
      </c>
      <c r="N41" s="172" t="n">
        <f aca="false">COUNTIF(年計!$P$233:$U$277,AY40)</f>
        <v>4</v>
      </c>
      <c r="O41" s="192" t="n">
        <f aca="false">COUNTIF(年計!$P$233:$U$277,AZ40)</f>
        <v>4</v>
      </c>
      <c r="P41" s="193" t="n">
        <f aca="false">COUNTIF(年計!$P$233:$U$277,BA40)</f>
        <v>4</v>
      </c>
      <c r="S41" s="169" t="n">
        <v>4</v>
      </c>
      <c r="T41" s="194" t="n">
        <f aca="false">COUNTIF(年計!$D$3:$I$277,BB40)</f>
        <v>24</v>
      </c>
      <c r="U41" s="192" t="n">
        <f aca="false">COUNTIF(年計!$D$3:$I$277,BC40)</f>
        <v>24</v>
      </c>
      <c r="V41" s="192" t="n">
        <f aca="false">COUNTIF(年計!$D$3:$I$277,BD40)</f>
        <v>23</v>
      </c>
      <c r="W41" s="192" t="n">
        <f aca="false">COUNTIF(年計!$D$3:$I$277,BE40)</f>
        <v>24</v>
      </c>
      <c r="X41" s="195" t="n">
        <f aca="false">COUNTIF(年計!$D$3:$I$277,BF40)</f>
        <v>24</v>
      </c>
      <c r="Y41" s="194" t="n">
        <f aca="false">COUNTIF(年計!$J$3:$O$277,BG40)</f>
        <v>24</v>
      </c>
      <c r="Z41" s="192" t="n">
        <f aca="false">COUNTIF(年計!$J$3:$O$277,BH40)</f>
        <v>24</v>
      </c>
      <c r="AA41" s="192" t="n">
        <f aca="false">COUNTIF(年計!$J$3:$O$277,BI40)</f>
        <v>23</v>
      </c>
      <c r="AB41" s="192" t="n">
        <f aca="false">COUNTIF(年計!$J$3:$O$277,BJ40)</f>
        <v>24</v>
      </c>
      <c r="AC41" s="195" t="n">
        <f aca="false">COUNTIF(年計!$J$3:$O$277,BK40)</f>
        <v>24</v>
      </c>
      <c r="AD41" s="194" t="n">
        <f aca="false">COUNTIF(年計!$P$3:$U$277,BL40)</f>
        <v>22</v>
      </c>
      <c r="AE41" s="192" t="n">
        <f aca="false">COUNTIF(年計!$P$3:$U$277,BM40)</f>
        <v>23</v>
      </c>
      <c r="AF41" s="192" t="n">
        <f aca="false">COUNTIF(年計!$P$3:$U$277,BN40)</f>
        <v>22</v>
      </c>
      <c r="AG41" s="192" t="n">
        <f aca="false">COUNTIF(年計!$P$3:$U$277,BO40)</f>
        <v>22</v>
      </c>
      <c r="AH41" s="193" t="n">
        <f aca="false">COUNTIF(年計!$P$3:$U$277,BP40)</f>
        <v>21</v>
      </c>
      <c r="AM41" s="150" t="s">
        <v>23</v>
      </c>
      <c r="AN41" s="150" t="s">
        <v>29</v>
      </c>
      <c r="AO41" s="150" t="s">
        <v>35</v>
      </c>
      <c r="AP41" s="150" t="s">
        <v>40</v>
      </c>
      <c r="AQ41" s="150" t="s">
        <v>45</v>
      </c>
      <c r="AR41" s="150" t="s">
        <v>23</v>
      </c>
      <c r="AS41" s="150" t="s">
        <v>29</v>
      </c>
      <c r="AT41" s="150" t="s">
        <v>35</v>
      </c>
      <c r="AU41" s="150" t="s">
        <v>40</v>
      </c>
      <c r="AV41" s="150" t="s">
        <v>45</v>
      </c>
      <c r="AW41" s="150" t="s">
        <v>23</v>
      </c>
      <c r="AX41" s="150" t="s">
        <v>29</v>
      </c>
      <c r="AY41" s="150" t="s">
        <v>35</v>
      </c>
      <c r="AZ41" s="150" t="s">
        <v>40</v>
      </c>
      <c r="BA41" s="150" t="s">
        <v>45</v>
      </c>
      <c r="BB41" s="150" t="s">
        <v>23</v>
      </c>
      <c r="BC41" s="150" t="s">
        <v>29</v>
      </c>
      <c r="BD41" s="150" t="s">
        <v>35</v>
      </c>
      <c r="BE41" s="150" t="s">
        <v>40</v>
      </c>
      <c r="BF41" s="150" t="s">
        <v>45</v>
      </c>
      <c r="BG41" s="150" t="s">
        <v>23</v>
      </c>
      <c r="BH41" s="150" t="s">
        <v>29</v>
      </c>
      <c r="BI41" s="150" t="s">
        <v>35</v>
      </c>
      <c r="BJ41" s="150" t="s">
        <v>40</v>
      </c>
      <c r="BK41" s="150" t="s">
        <v>45</v>
      </c>
      <c r="BL41" s="150" t="s">
        <v>23</v>
      </c>
      <c r="BM41" s="150" t="s">
        <v>29</v>
      </c>
      <c r="BN41" s="150" t="s">
        <v>35</v>
      </c>
      <c r="BO41" s="150" t="s">
        <v>40</v>
      </c>
      <c r="BP41" s="150" t="s">
        <v>45</v>
      </c>
    </row>
    <row r="42" customFormat="false" ht="17.25" hidden="false" customHeight="false" outlineLevel="0" collapsed="false">
      <c r="A42" s="169" t="n">
        <v>5</v>
      </c>
      <c r="B42" s="194" t="n">
        <f aca="false">COUNTIF(年計!$D$233:$I$277,AM41)</f>
        <v>4</v>
      </c>
      <c r="C42" s="192" t="n">
        <f aca="false">COUNTIF(年計!$D$233:$I$277,AN41)</f>
        <v>3</v>
      </c>
      <c r="D42" s="192" t="n">
        <f aca="false">COUNTIF(年計!$D$233:$I$277,AO41)</f>
        <v>3</v>
      </c>
      <c r="E42" s="192" t="n">
        <f aca="false">COUNTIF(年計!$D$233:$I$277,AP41)</f>
        <v>3</v>
      </c>
      <c r="F42" s="195" t="n">
        <f aca="false">COUNTIF(年計!$D$233:$I$277,AQ41)</f>
        <v>3</v>
      </c>
      <c r="G42" s="194" t="n">
        <f aca="false">COUNTIF(年計!$J$233:$O$277,AR41)</f>
        <v>4</v>
      </c>
      <c r="H42" s="192" t="n">
        <f aca="false">COUNTIF(年計!$J$233:$O$277,AS41)</f>
        <v>4</v>
      </c>
      <c r="I42" s="172" t="n">
        <f aca="false">COUNTIF(年計!$J$233:$O$277,AT41)</f>
        <v>3</v>
      </c>
      <c r="J42" s="192" t="n">
        <f aca="false">COUNTIF(年計!$J$233:$O$277,AU41)</f>
        <v>3</v>
      </c>
      <c r="K42" s="195" t="n">
        <f aca="false">COUNTIF(年計!$J$233:$O$277,AV41)</f>
        <v>3</v>
      </c>
      <c r="L42" s="194" t="n">
        <f aca="false">COUNTIF(年計!$P$233:$U$277,AW41)</f>
        <v>5</v>
      </c>
      <c r="M42" s="192" t="n">
        <f aca="false">COUNTIF(年計!$P$233:$U$277,AX41)</f>
        <v>3</v>
      </c>
      <c r="N42" s="192" t="n">
        <f aca="false">COUNTIF(年計!$P$233:$U$277,AY41)</f>
        <v>3</v>
      </c>
      <c r="O42" s="192" t="n">
        <f aca="false">COUNTIF(年計!$P$233:$U$277,AZ41)</f>
        <v>3</v>
      </c>
      <c r="P42" s="193" t="n">
        <f aca="false">COUNTIF(年計!$P$233:$U$277,BA41)</f>
        <v>3</v>
      </c>
      <c r="S42" s="169" t="n">
        <v>5</v>
      </c>
      <c r="T42" s="194" t="n">
        <f aca="false">COUNTIF(年計!$D$3:$I$277,BB41)</f>
        <v>22</v>
      </c>
      <c r="U42" s="192" t="n">
        <f aca="false">COUNTIF(年計!$D$3:$I$277,BC41)</f>
        <v>20</v>
      </c>
      <c r="V42" s="192" t="n">
        <f aca="false">COUNTIF(年計!$D$3:$I$277,BD41)</f>
        <v>20</v>
      </c>
      <c r="W42" s="192" t="n">
        <f aca="false">COUNTIF(年計!$D$3:$I$277,BE41)</f>
        <v>21</v>
      </c>
      <c r="X42" s="195" t="n">
        <f aca="false">COUNTIF(年計!$D$3:$I$277,BF41)</f>
        <v>21</v>
      </c>
      <c r="Y42" s="194" t="n">
        <f aca="false">COUNTIF(年計!$J$3:$O$277,BG41)</f>
        <v>22</v>
      </c>
      <c r="Z42" s="192" t="n">
        <f aca="false">COUNTIF(年計!$J$3:$O$277,BH41)</f>
        <v>21</v>
      </c>
      <c r="AA42" s="192" t="n">
        <f aca="false">COUNTIF(年計!$J$3:$O$277,BI41)</f>
        <v>20</v>
      </c>
      <c r="AB42" s="192" t="n">
        <f aca="false">COUNTIF(年計!$J$3:$O$277,BJ41)</f>
        <v>21</v>
      </c>
      <c r="AC42" s="195" t="n">
        <f aca="false">COUNTIF(年計!$J$3:$O$277,BK41)</f>
        <v>21</v>
      </c>
      <c r="AD42" s="194" t="n">
        <f aca="false">COUNTIF(年計!$P$3:$U$277,BL41)</f>
        <v>21</v>
      </c>
      <c r="AE42" s="192" t="n">
        <f aca="false">COUNTIF(年計!$P$3:$U$277,BM41)</f>
        <v>18</v>
      </c>
      <c r="AF42" s="192" t="n">
        <f aca="false">COUNTIF(年計!$P$3:$U$277,BN41)</f>
        <v>19</v>
      </c>
      <c r="AG42" s="192" t="n">
        <f aca="false">COUNTIF(年計!$P$3:$U$277,BO41)</f>
        <v>18</v>
      </c>
      <c r="AH42" s="193" t="n">
        <f aca="false">COUNTIF(年計!$P$3:$U$277,BP41)</f>
        <v>18</v>
      </c>
      <c r="AM42" s="150" t="s">
        <v>7</v>
      </c>
      <c r="AN42" s="150" t="s">
        <v>9</v>
      </c>
      <c r="AO42" s="150" t="s">
        <v>11</v>
      </c>
      <c r="AP42" s="150" t="s">
        <v>194</v>
      </c>
      <c r="AQ42" s="150" t="s">
        <v>12</v>
      </c>
      <c r="AR42" s="150" t="s">
        <v>7</v>
      </c>
      <c r="AS42" s="150" t="s">
        <v>9</v>
      </c>
      <c r="AT42" s="150" t="s">
        <v>11</v>
      </c>
      <c r="AU42" s="150" t="s">
        <v>194</v>
      </c>
      <c r="AV42" s="150" t="s">
        <v>12</v>
      </c>
      <c r="AW42" s="150" t="s">
        <v>7</v>
      </c>
      <c r="AX42" s="150" t="s">
        <v>9</v>
      </c>
      <c r="AY42" s="150" t="s">
        <v>11</v>
      </c>
      <c r="AZ42" s="150" t="s">
        <v>194</v>
      </c>
      <c r="BA42" s="150" t="s">
        <v>12</v>
      </c>
      <c r="BB42" s="150" t="s">
        <v>7</v>
      </c>
      <c r="BC42" s="150" t="s">
        <v>9</v>
      </c>
      <c r="BD42" s="150" t="s">
        <v>11</v>
      </c>
      <c r="BE42" s="150" t="s">
        <v>194</v>
      </c>
      <c r="BF42" s="150" t="s">
        <v>12</v>
      </c>
      <c r="BG42" s="150" t="s">
        <v>7</v>
      </c>
      <c r="BH42" s="150" t="s">
        <v>9</v>
      </c>
      <c r="BI42" s="150" t="s">
        <v>11</v>
      </c>
      <c r="BJ42" s="150" t="s">
        <v>194</v>
      </c>
      <c r="BK42" s="150" t="s">
        <v>12</v>
      </c>
      <c r="BL42" s="150" t="s">
        <v>7</v>
      </c>
      <c r="BM42" s="150" t="s">
        <v>9</v>
      </c>
      <c r="BN42" s="150" t="s">
        <v>11</v>
      </c>
      <c r="BO42" s="150" t="s">
        <v>194</v>
      </c>
      <c r="BP42" s="150" t="s">
        <v>12</v>
      </c>
    </row>
    <row r="43" customFormat="false" ht="18" hidden="false" customHeight="true" outlineLevel="0" collapsed="false">
      <c r="A43" s="179" t="n">
        <v>6</v>
      </c>
      <c r="B43" s="185" t="n">
        <f aca="false">COUNTIF(年計!$D$233:$I$277,AM42)</f>
        <v>3</v>
      </c>
      <c r="C43" s="197" t="n">
        <f aca="false">COUNTIF(年計!$D$233:$I$277,AN42)</f>
        <v>5</v>
      </c>
      <c r="D43" s="182" t="n">
        <f aca="false">COUNTIF(年計!$D$233:$I$277,AO42)</f>
        <v>3</v>
      </c>
      <c r="E43" s="183" t="n">
        <f aca="false">COUNTIF(年計!$D$233:$I$277,AP42)</f>
        <v>0</v>
      </c>
      <c r="F43" s="196" t="n">
        <f aca="false">COUNTIF(年計!$D$233:$I$277,AQ42)</f>
        <v>4</v>
      </c>
      <c r="G43" s="185" t="n">
        <f aca="false">COUNTIF(年計!$J$233:$O$277,AR42)</f>
        <v>4</v>
      </c>
      <c r="H43" s="182" t="n">
        <f aca="false">COUNTIF(年計!$J$233:$O$277,AS42)</f>
        <v>5</v>
      </c>
      <c r="I43" s="182" t="n">
        <f aca="false">COUNTIF(年計!$J$233:$O$277,AT42)</f>
        <v>3</v>
      </c>
      <c r="J43" s="183" t="n">
        <f aca="false">COUNTIF(年計!$J$233:$O$277,AU42)</f>
        <v>0</v>
      </c>
      <c r="K43" s="196" t="n">
        <f aca="false">COUNTIF(年計!$J$233:$O$277,AV42)</f>
        <v>5</v>
      </c>
      <c r="L43" s="185" t="n">
        <f aca="false">COUNTIF(年計!$P$233:$U$277,AW42)</f>
        <v>4</v>
      </c>
      <c r="M43" s="182" t="n">
        <f aca="false">COUNTIF(年計!$P$233:$U$277,AX42)</f>
        <v>5</v>
      </c>
      <c r="N43" s="182" t="n">
        <f aca="false">COUNTIF(年計!$P$233:$U$277,AY42)</f>
        <v>3</v>
      </c>
      <c r="O43" s="183" t="n">
        <f aca="false">COUNTIF(年計!$P$233:$U$277,AZ42)</f>
        <v>0</v>
      </c>
      <c r="P43" s="184" t="n">
        <f aca="false">COUNTIF(年計!$P$233:$U$277,BA42)</f>
        <v>5</v>
      </c>
      <c r="S43" s="179" t="n">
        <v>6</v>
      </c>
      <c r="T43" s="185" t="n">
        <f aca="false">COUNTIF(年計!$D$3:$I$277,BB42)</f>
        <v>22</v>
      </c>
      <c r="U43" s="197" t="n">
        <f aca="false">COUNTIF(年計!$D$3:$I$277,BC42)</f>
        <v>25</v>
      </c>
      <c r="V43" s="182" t="n">
        <f aca="false">COUNTIF(年計!$D$3:$I$277,BD42)</f>
        <v>22</v>
      </c>
      <c r="W43" s="183" t="n">
        <f aca="false">COUNTIF(年計!$D$3:$I$277,BE42)</f>
        <v>0</v>
      </c>
      <c r="X43" s="196" t="n">
        <f aca="false">COUNTIF(年計!$D$3:$I$277,BF42)</f>
        <v>24</v>
      </c>
      <c r="Y43" s="185" t="n">
        <f aca="false">COUNTIF(年計!$J$3:$O$277,BG42)</f>
        <v>23</v>
      </c>
      <c r="Z43" s="182" t="n">
        <f aca="false">COUNTIF(年計!$J$3:$O$277,BH42)</f>
        <v>25</v>
      </c>
      <c r="AA43" s="182" t="n">
        <f aca="false">COUNTIF(年計!$J$3:$O$277,BI42)</f>
        <v>22</v>
      </c>
      <c r="AB43" s="183" t="n">
        <f aca="false">COUNTIF(年計!$J$3:$O$277,BJ42)</f>
        <v>0</v>
      </c>
      <c r="AC43" s="196" t="n">
        <f aca="false">COUNTIF(年計!$J$3:$O$277,BK42)</f>
        <v>25</v>
      </c>
      <c r="AD43" s="185" t="n">
        <f aca="false">COUNTIF(年計!$P$3:$U$277,BL42)</f>
        <v>22</v>
      </c>
      <c r="AE43" s="182" t="n">
        <f aca="false">COUNTIF(年計!$P$3:$U$277,BM42)</f>
        <v>22</v>
      </c>
      <c r="AF43" s="182" t="n">
        <f aca="false">COUNTIF(年計!$P$3:$U$277,BN42)</f>
        <v>21</v>
      </c>
      <c r="AG43" s="183" t="n">
        <f aca="false">COUNTIF(年計!$P$3:$U$277,BO42)</f>
        <v>0</v>
      </c>
      <c r="AH43" s="184" t="n">
        <f aca="false">COUNTIF(年計!$P$3:$U$277,BP42)</f>
        <v>22</v>
      </c>
    </row>
    <row r="44" customFormat="false" ht="18" hidden="false" customHeight="true" outlineLevel="0" collapsed="false">
      <c r="A44" s="149" t="s">
        <v>207</v>
      </c>
      <c r="B44" s="149"/>
      <c r="C44" s="149"/>
      <c r="D44" s="149"/>
      <c r="E44" s="149"/>
      <c r="F44" s="149"/>
      <c r="G44" s="149"/>
      <c r="H44" s="149"/>
      <c r="S44" s="149" t="s">
        <v>208</v>
      </c>
      <c r="T44" s="149"/>
      <c r="U44" s="149"/>
      <c r="V44" s="149"/>
      <c r="W44" s="149"/>
      <c r="X44" s="149"/>
      <c r="Y44" s="149"/>
      <c r="Z44" s="149"/>
    </row>
    <row r="45" customFormat="false" ht="18" hidden="false" customHeight="true" outlineLevel="0" collapsed="false">
      <c r="A45" s="151"/>
      <c r="B45" s="155" t="s">
        <v>3</v>
      </c>
      <c r="C45" s="155" t="s">
        <v>14</v>
      </c>
      <c r="D45" s="155" t="s">
        <v>17</v>
      </c>
      <c r="E45" s="155" t="s">
        <v>6</v>
      </c>
      <c r="F45" s="190" t="s">
        <v>8</v>
      </c>
      <c r="G45" s="154" t="s">
        <v>3</v>
      </c>
      <c r="H45" s="155" t="s">
        <v>14</v>
      </c>
      <c r="I45" s="155" t="s">
        <v>17</v>
      </c>
      <c r="J45" s="155" t="s">
        <v>6</v>
      </c>
      <c r="K45" s="156" t="s">
        <v>8</v>
      </c>
      <c r="L45" s="157" t="s">
        <v>3</v>
      </c>
      <c r="M45" s="155" t="s">
        <v>14</v>
      </c>
      <c r="N45" s="155" t="s">
        <v>17</v>
      </c>
      <c r="O45" s="155" t="s">
        <v>6</v>
      </c>
      <c r="P45" s="156" t="s">
        <v>8</v>
      </c>
      <c r="S45" s="151"/>
      <c r="T45" s="155" t="s">
        <v>3</v>
      </c>
      <c r="U45" s="155" t="s">
        <v>14</v>
      </c>
      <c r="V45" s="155" t="s">
        <v>17</v>
      </c>
      <c r="W45" s="155" t="s">
        <v>6</v>
      </c>
      <c r="X45" s="190" t="s">
        <v>8</v>
      </c>
      <c r="Y45" s="154" t="s">
        <v>3</v>
      </c>
      <c r="Z45" s="155" t="s">
        <v>14</v>
      </c>
      <c r="AA45" s="155" t="s">
        <v>17</v>
      </c>
      <c r="AB45" s="155" t="s">
        <v>6</v>
      </c>
      <c r="AC45" s="156" t="s">
        <v>8</v>
      </c>
      <c r="AD45" s="157" t="s">
        <v>3</v>
      </c>
      <c r="AE45" s="155" t="s">
        <v>14</v>
      </c>
      <c r="AF45" s="155" t="s">
        <v>17</v>
      </c>
      <c r="AG45" s="155" t="s">
        <v>6</v>
      </c>
      <c r="AH45" s="156" t="s">
        <v>8</v>
      </c>
      <c r="AI45" s="206" t="s">
        <v>209</v>
      </c>
      <c r="AJ45" s="205" t="str">
        <f aca="false">IFERROR(MATCH(AI45,年計!$C$2:$C$368,0),"")</f>
        <v/>
      </c>
      <c r="AM45" s="150" t="s">
        <v>19</v>
      </c>
      <c r="AN45" s="150" t="s">
        <v>25</v>
      </c>
      <c r="AO45" s="150" t="s">
        <v>31</v>
      </c>
      <c r="AP45" s="150" t="s">
        <v>36</v>
      </c>
      <c r="AQ45" s="150" t="s">
        <v>41</v>
      </c>
      <c r="AR45" s="150" t="s">
        <v>19</v>
      </c>
      <c r="AS45" s="150" t="s">
        <v>25</v>
      </c>
      <c r="AT45" s="150" t="s">
        <v>31</v>
      </c>
      <c r="AU45" s="150" t="s">
        <v>36</v>
      </c>
      <c r="AV45" s="150" t="s">
        <v>41</v>
      </c>
      <c r="AW45" s="150" t="s">
        <v>19</v>
      </c>
      <c r="AX45" s="150" t="s">
        <v>25</v>
      </c>
      <c r="AY45" s="150" t="s">
        <v>31</v>
      </c>
      <c r="AZ45" s="150" t="s">
        <v>36</v>
      </c>
      <c r="BA45" s="150" t="s">
        <v>41</v>
      </c>
      <c r="BB45" s="150" t="s">
        <v>19</v>
      </c>
      <c r="BC45" s="150" t="s">
        <v>25</v>
      </c>
      <c r="BD45" s="150" t="s">
        <v>31</v>
      </c>
      <c r="BE45" s="150" t="s">
        <v>36</v>
      </c>
      <c r="BF45" s="150" t="s">
        <v>41</v>
      </c>
      <c r="BG45" s="150" t="s">
        <v>19</v>
      </c>
      <c r="BH45" s="150" t="s">
        <v>25</v>
      </c>
      <c r="BI45" s="150" t="s">
        <v>31</v>
      </c>
      <c r="BJ45" s="150" t="s">
        <v>36</v>
      </c>
      <c r="BK45" s="150" t="s">
        <v>41</v>
      </c>
      <c r="BL45" s="150" t="s">
        <v>19</v>
      </c>
      <c r="BM45" s="150" t="s">
        <v>25</v>
      </c>
      <c r="BN45" s="150" t="s">
        <v>31</v>
      </c>
      <c r="BO45" s="150" t="s">
        <v>36</v>
      </c>
      <c r="BP45" s="150" t="s">
        <v>41</v>
      </c>
    </row>
    <row r="46" customFormat="false" ht="17.25" hidden="false" customHeight="false" outlineLevel="0" collapsed="false">
      <c r="A46" s="162" t="n">
        <v>1</v>
      </c>
      <c r="B46" s="170" t="n">
        <f aca="false">COUNTIF(年計!$D$278:$I$324,AM45)</f>
        <v>4</v>
      </c>
      <c r="C46" s="171" t="n">
        <f aca="false">COUNTIF(年計!$D$278:$I$324,AN45)</f>
        <v>4</v>
      </c>
      <c r="D46" s="171" t="n">
        <f aca="false">COUNTIF(年計!$D$278:$I$324,AO45)</f>
        <v>5</v>
      </c>
      <c r="E46" s="171" t="n">
        <f aca="false">COUNTIF(年計!$D$278:$I$324,AP45)</f>
        <v>7</v>
      </c>
      <c r="F46" s="191" t="n">
        <f aca="false">COUNTIF(年計!$D$278:$I$324,AQ45)</f>
        <v>6</v>
      </c>
      <c r="G46" s="163" t="n">
        <f aca="false">COUNTIF(年計!$J$278:$O$324,AR45)</f>
        <v>4</v>
      </c>
      <c r="H46" s="164" t="n">
        <f aca="false">COUNTIF(年計!$J$278:$O$324,AS45)</f>
        <v>4</v>
      </c>
      <c r="I46" s="164" t="n">
        <f aca="false">COUNTIF(年計!$J$278:$O$324,AT45)</f>
        <v>5</v>
      </c>
      <c r="J46" s="164" t="n">
        <f aca="false">COUNTIF(年計!$J$278:$O$324,AU45)</f>
        <v>6</v>
      </c>
      <c r="K46" s="166" t="n">
        <f aca="false">COUNTIF(年計!$J$278:$O$324,AV45)</f>
        <v>5</v>
      </c>
      <c r="L46" s="163" t="n">
        <f aca="false">COUNTIF(年計!$P$278:$U$324,AW45)</f>
        <v>4</v>
      </c>
      <c r="M46" s="164" t="n">
        <f aca="false">COUNTIF(年計!$P$278:$U$324,AX45)</f>
        <v>3</v>
      </c>
      <c r="N46" s="164" t="n">
        <f aca="false">COUNTIF(年計!$P$278:$U$324,AY45)</f>
        <v>5</v>
      </c>
      <c r="O46" s="164" t="n">
        <f aca="false">COUNTIF(年計!$P$278:$U$324,AZ45)</f>
        <v>7</v>
      </c>
      <c r="P46" s="165" t="n">
        <f aca="false">COUNTIF(年計!$P$278:$U$324,BA45)</f>
        <v>6</v>
      </c>
      <c r="S46" s="162" t="n">
        <v>1</v>
      </c>
      <c r="T46" s="170" t="n">
        <f aca="false">COUNTIF(年計!$D$3:$I$324,BB45)</f>
        <v>28</v>
      </c>
      <c r="U46" s="171" t="n">
        <f aca="false">COUNTIF(年計!$D$3:$I$324,BC45)</f>
        <v>28</v>
      </c>
      <c r="V46" s="171" t="n">
        <f aca="false">COUNTIF(年計!$D$3:$I$324,BD45)</f>
        <v>28</v>
      </c>
      <c r="W46" s="171" t="n">
        <f aca="false">COUNTIF(年計!$D$3:$I$324,BE45)</f>
        <v>29</v>
      </c>
      <c r="X46" s="191" t="n">
        <f aca="false">COUNTIF(年計!$D$3:$I$324,BF45)</f>
        <v>29</v>
      </c>
      <c r="Y46" s="170" t="n">
        <f aca="false">COUNTIF(年計!$J$3:$O$324,BG45)</f>
        <v>28</v>
      </c>
      <c r="Z46" s="164" t="n">
        <f aca="false">COUNTIF(年計!$J$3:$O$324,BH45)</f>
        <v>28</v>
      </c>
      <c r="AA46" s="164" t="n">
        <f aca="false">COUNTIF(年計!$J$3:$O$324,BI45)</f>
        <v>28</v>
      </c>
      <c r="AB46" s="164" t="n">
        <f aca="false">COUNTIF(年計!$J$3:$O$324,BJ45)</f>
        <v>28</v>
      </c>
      <c r="AC46" s="166" t="n">
        <f aca="false">COUNTIF(年計!$J$3:$O$324,BK45)</f>
        <v>28</v>
      </c>
      <c r="AD46" s="163" t="n">
        <f aca="false">COUNTIF(年計!$P$3:$U$324,BL45)</f>
        <v>27</v>
      </c>
      <c r="AE46" s="164" t="n">
        <f aca="false">COUNTIF(年計!$P$3:$U$324,BM45)</f>
        <v>25</v>
      </c>
      <c r="AF46" s="164" t="n">
        <f aca="false">COUNTIF(年計!$P$3:$U$324,BN45)</f>
        <v>28</v>
      </c>
      <c r="AG46" s="164" t="n">
        <f aca="false">COUNTIF(年計!$P$3:$U$324,BO45)</f>
        <v>26</v>
      </c>
      <c r="AH46" s="165" t="n">
        <f aca="false">COUNTIF(年計!$P$3:$U$324,BP45)</f>
        <v>27</v>
      </c>
      <c r="AM46" s="150" t="s">
        <v>20</v>
      </c>
      <c r="AN46" s="150" t="s">
        <v>26</v>
      </c>
      <c r="AO46" s="150" t="s">
        <v>32</v>
      </c>
      <c r="AP46" s="150" t="s">
        <v>37</v>
      </c>
      <c r="AQ46" s="150" t="s">
        <v>42</v>
      </c>
      <c r="AR46" s="150" t="s">
        <v>20</v>
      </c>
      <c r="AS46" s="150" t="s">
        <v>26</v>
      </c>
      <c r="AT46" s="150" t="s">
        <v>32</v>
      </c>
      <c r="AU46" s="150" t="s">
        <v>37</v>
      </c>
      <c r="AV46" s="150" t="s">
        <v>42</v>
      </c>
      <c r="AW46" s="150" t="s">
        <v>20</v>
      </c>
      <c r="AX46" s="150" t="s">
        <v>26</v>
      </c>
      <c r="AY46" s="150" t="s">
        <v>32</v>
      </c>
      <c r="AZ46" s="150" t="s">
        <v>37</v>
      </c>
      <c r="BA46" s="150" t="s">
        <v>42</v>
      </c>
      <c r="BB46" s="150" t="s">
        <v>20</v>
      </c>
      <c r="BC46" s="150" t="s">
        <v>26</v>
      </c>
      <c r="BD46" s="150" t="s">
        <v>32</v>
      </c>
      <c r="BE46" s="150" t="s">
        <v>37</v>
      </c>
      <c r="BF46" s="150" t="s">
        <v>42</v>
      </c>
      <c r="BG46" s="150" t="s">
        <v>20</v>
      </c>
      <c r="BH46" s="150" t="s">
        <v>26</v>
      </c>
      <c r="BI46" s="150" t="s">
        <v>32</v>
      </c>
      <c r="BJ46" s="150" t="s">
        <v>37</v>
      </c>
      <c r="BK46" s="150" t="s">
        <v>42</v>
      </c>
      <c r="BL46" s="150" t="s">
        <v>20</v>
      </c>
      <c r="BM46" s="150" t="s">
        <v>26</v>
      </c>
      <c r="BN46" s="150" t="s">
        <v>32</v>
      </c>
      <c r="BO46" s="150" t="s">
        <v>37</v>
      </c>
      <c r="BP46" s="150" t="s">
        <v>42</v>
      </c>
    </row>
    <row r="47" customFormat="false" ht="17.25" hidden="false" customHeight="false" outlineLevel="0" collapsed="false">
      <c r="A47" s="169" t="n">
        <v>2</v>
      </c>
      <c r="B47" s="194" t="n">
        <f aca="false">COUNTIF(年計!$D$278:$I$324,AM46)</f>
        <v>5</v>
      </c>
      <c r="C47" s="192" t="n">
        <f aca="false">COUNTIF(年計!$D$278:$I$324,AN46)</f>
        <v>5</v>
      </c>
      <c r="D47" s="192" t="n">
        <f aca="false">COUNTIF(年計!$D$278:$I$324,AO46)</f>
        <v>6</v>
      </c>
      <c r="E47" s="192" t="n">
        <f aca="false">COUNTIF(年計!$D$278:$I$324,AP46)</f>
        <v>5</v>
      </c>
      <c r="F47" s="195" t="n">
        <f aca="false">COUNTIF(年計!$D$278:$I$324,AQ46)</f>
        <v>5</v>
      </c>
      <c r="G47" s="174" t="n">
        <f aca="false">COUNTIF(年計!$J$278:$O$324,AR46)</f>
        <v>5</v>
      </c>
      <c r="H47" s="172" t="n">
        <f aca="false">COUNTIF(年計!$J$278:$O$324,AS46)</f>
        <v>4</v>
      </c>
      <c r="I47" s="172" t="n">
        <f aca="false">COUNTIF(年計!$J$278:$O$324,AT46)</f>
        <v>5</v>
      </c>
      <c r="J47" s="172" t="n">
        <f aca="false">COUNTIF(年計!$J$278:$O$324,AU46)</f>
        <v>5</v>
      </c>
      <c r="K47" s="175" t="n">
        <f aca="false">COUNTIF(年計!$J$278:$O$324,AV46)</f>
        <v>5</v>
      </c>
      <c r="L47" s="174" t="n">
        <f aca="false">COUNTIF(年計!$P$278:$U$324,AW46)</f>
        <v>4</v>
      </c>
      <c r="M47" s="172" t="n">
        <f aca="false">COUNTIF(年計!$P$278:$U$324,AX46)</f>
        <v>5</v>
      </c>
      <c r="N47" s="172" t="n">
        <f aca="false">COUNTIF(年計!$P$278:$U$324,AY46)</f>
        <v>6</v>
      </c>
      <c r="O47" s="192" t="n">
        <f aca="false">COUNTIF(年計!$P$278:$U$324,AZ46)</f>
        <v>5</v>
      </c>
      <c r="P47" s="193" t="n">
        <f aca="false">COUNTIF(年計!$P$278:$U$324,BA46)</f>
        <v>5</v>
      </c>
      <c r="S47" s="169" t="n">
        <v>2</v>
      </c>
      <c r="T47" s="194" t="n">
        <f aca="false">COUNTIF(年計!$D$3:$I$324,BB46)</f>
        <v>29</v>
      </c>
      <c r="U47" s="192" t="n">
        <f aca="false">COUNTIF(年計!$D$3:$I$324,BC46)</f>
        <v>30</v>
      </c>
      <c r="V47" s="192" t="n">
        <f aca="false">COUNTIF(年計!$D$3:$I$324,BD46)</f>
        <v>29</v>
      </c>
      <c r="W47" s="192" t="n">
        <f aca="false">COUNTIF(年計!$D$3:$I$324,BE46)</f>
        <v>29</v>
      </c>
      <c r="X47" s="195" t="n">
        <f aca="false">COUNTIF(年計!$D$3:$I$324,BF46)</f>
        <v>29</v>
      </c>
      <c r="Y47" s="194" t="n">
        <f aca="false">COUNTIF(年計!$J$3:$O$324,BG46)</f>
        <v>29</v>
      </c>
      <c r="Z47" s="192" t="n">
        <f aca="false">COUNTIF(年計!$J$3:$O$324,BH46)</f>
        <v>29</v>
      </c>
      <c r="AA47" s="192" t="n">
        <f aca="false">COUNTIF(年計!$J$3:$O$324,BI46)</f>
        <v>28</v>
      </c>
      <c r="AB47" s="192" t="n">
        <f aca="false">COUNTIF(年計!$J$3:$O$324,BJ46)</f>
        <v>29</v>
      </c>
      <c r="AC47" s="195" t="n">
        <f aca="false">COUNTIF(年計!$J$3:$O$324,BK46)</f>
        <v>29</v>
      </c>
      <c r="AD47" s="194" t="n">
        <f aca="false">COUNTIF(年計!$P$3:$U$324,BL46)</f>
        <v>27</v>
      </c>
      <c r="AE47" s="192" t="n">
        <f aca="false">COUNTIF(年計!$P$3:$U$324,BM46)</f>
        <v>28</v>
      </c>
      <c r="AF47" s="192" t="n">
        <f aca="false">COUNTIF(年計!$P$3:$U$324,BN46)</f>
        <v>28</v>
      </c>
      <c r="AG47" s="192" t="n">
        <f aca="false">COUNTIF(年計!$P$3:$U$324,BO46)</f>
        <v>26</v>
      </c>
      <c r="AH47" s="193" t="n">
        <f aca="false">COUNTIF(年計!$P$3:$U$324,BP46)</f>
        <v>27</v>
      </c>
      <c r="AM47" s="150" t="s">
        <v>21</v>
      </c>
      <c r="AN47" s="150" t="s">
        <v>27</v>
      </c>
      <c r="AO47" s="150" t="s">
        <v>33</v>
      </c>
      <c r="AP47" s="150" t="s">
        <v>38</v>
      </c>
      <c r="AQ47" s="150" t="s">
        <v>43</v>
      </c>
      <c r="AR47" s="150" t="s">
        <v>21</v>
      </c>
      <c r="AS47" s="150" t="s">
        <v>27</v>
      </c>
      <c r="AT47" s="150" t="s">
        <v>33</v>
      </c>
      <c r="AU47" s="150" t="s">
        <v>38</v>
      </c>
      <c r="AV47" s="150" t="s">
        <v>43</v>
      </c>
      <c r="AW47" s="150" t="s">
        <v>21</v>
      </c>
      <c r="AX47" s="150" t="s">
        <v>27</v>
      </c>
      <c r="AY47" s="150" t="s">
        <v>33</v>
      </c>
      <c r="AZ47" s="150" t="s">
        <v>38</v>
      </c>
      <c r="BA47" s="150" t="s">
        <v>43</v>
      </c>
      <c r="BB47" s="150" t="s">
        <v>21</v>
      </c>
      <c r="BC47" s="150" t="s">
        <v>27</v>
      </c>
      <c r="BD47" s="150" t="s">
        <v>33</v>
      </c>
      <c r="BE47" s="150" t="s">
        <v>38</v>
      </c>
      <c r="BF47" s="150" t="s">
        <v>43</v>
      </c>
      <c r="BG47" s="150" t="s">
        <v>21</v>
      </c>
      <c r="BH47" s="150" t="s">
        <v>27</v>
      </c>
      <c r="BI47" s="150" t="s">
        <v>33</v>
      </c>
      <c r="BJ47" s="150" t="s">
        <v>38</v>
      </c>
      <c r="BK47" s="150" t="s">
        <v>43</v>
      </c>
      <c r="BL47" s="150" t="s">
        <v>21</v>
      </c>
      <c r="BM47" s="150" t="s">
        <v>27</v>
      </c>
      <c r="BN47" s="150" t="s">
        <v>33</v>
      </c>
      <c r="BO47" s="150" t="s">
        <v>38</v>
      </c>
      <c r="BP47" s="150" t="s">
        <v>43</v>
      </c>
    </row>
    <row r="48" customFormat="false" ht="17.25" hidden="false" customHeight="false" outlineLevel="0" collapsed="false">
      <c r="A48" s="169" t="n">
        <v>3</v>
      </c>
      <c r="B48" s="194" t="n">
        <f aca="false">COUNTIF(年計!$D$278:$I$324,AM47)</f>
        <v>5</v>
      </c>
      <c r="C48" s="192" t="n">
        <f aca="false">COUNTIF(年計!$D$278:$I$324,AN47)</f>
        <v>5</v>
      </c>
      <c r="D48" s="192" t="n">
        <f aca="false">COUNTIF(年計!$D$278:$I$324,AO47)</f>
        <v>5</v>
      </c>
      <c r="E48" s="192" t="n">
        <f aca="false">COUNTIF(年計!$D$278:$I$324,AP47)</f>
        <v>6</v>
      </c>
      <c r="F48" s="195" t="n">
        <f aca="false">COUNTIF(年計!$D$278:$I$324,AQ47)</f>
        <v>4</v>
      </c>
      <c r="G48" s="174" t="n">
        <f aca="false">COUNTIF(年計!$J$278:$O$324,AR47)</f>
        <v>5</v>
      </c>
      <c r="H48" s="172" t="n">
        <f aca="false">COUNTIF(年計!$J$278:$O$324,AS47)</f>
        <v>5</v>
      </c>
      <c r="I48" s="172" t="n">
        <f aca="false">COUNTIF(年計!$J$278:$O$324,AT47)</f>
        <v>5</v>
      </c>
      <c r="J48" s="172" t="n">
        <f aca="false">COUNTIF(年計!$J$278:$O$324,AU47)</f>
        <v>5</v>
      </c>
      <c r="K48" s="175" t="n">
        <f aca="false">COUNTIF(年計!$J$278:$O$324,AV47)</f>
        <v>4</v>
      </c>
      <c r="L48" s="174" t="n">
        <f aca="false">COUNTIF(年計!$P$278:$U$324,AW47)</f>
        <v>4</v>
      </c>
      <c r="M48" s="172" t="n">
        <f aca="false">COUNTIF(年計!$P$278:$U$324,AX47)</f>
        <v>5</v>
      </c>
      <c r="N48" s="172" t="n">
        <f aca="false">COUNTIF(年計!$P$278:$U$324,AY47)</f>
        <v>5</v>
      </c>
      <c r="O48" s="192" t="n">
        <f aca="false">COUNTIF(年計!$P$278:$U$324,AZ47)</f>
        <v>6</v>
      </c>
      <c r="P48" s="193" t="n">
        <f aca="false">COUNTIF(年計!$P$278:$U$324,BA47)</f>
        <v>4</v>
      </c>
      <c r="S48" s="169" t="n">
        <v>3</v>
      </c>
      <c r="T48" s="194" t="n">
        <f aca="false">COUNTIF(年計!$D$3:$I$324,BB47)</f>
        <v>29</v>
      </c>
      <c r="U48" s="192" t="n">
        <f aca="false">COUNTIF(年計!$D$3:$I$324,BC47)</f>
        <v>29</v>
      </c>
      <c r="V48" s="192" t="n">
        <f aca="false">COUNTIF(年計!$D$3:$I$324,BD47)</f>
        <v>28</v>
      </c>
      <c r="W48" s="192" t="n">
        <f aca="false">COUNTIF(年計!$D$3:$I$324,BE47)</f>
        <v>30</v>
      </c>
      <c r="X48" s="195" t="n">
        <f aca="false">COUNTIF(年計!$D$3:$I$324,BF47)</f>
        <v>29</v>
      </c>
      <c r="Y48" s="194" t="n">
        <f aca="false">COUNTIF(年計!$J$3:$O$324,BG47)</f>
        <v>29</v>
      </c>
      <c r="Z48" s="192" t="n">
        <f aca="false">COUNTIF(年計!$J$3:$O$324,BH47)</f>
        <v>29</v>
      </c>
      <c r="AA48" s="192" t="n">
        <f aca="false">COUNTIF(年計!$J$3:$O$324,BI47)</f>
        <v>29</v>
      </c>
      <c r="AB48" s="192" t="n">
        <f aca="false">COUNTIF(年計!$J$3:$O$324,BJ47)</f>
        <v>29</v>
      </c>
      <c r="AC48" s="195" t="n">
        <f aca="false">COUNTIF(年計!$J$3:$O$324,BK47)</f>
        <v>29</v>
      </c>
      <c r="AD48" s="194" t="n">
        <f aca="false">COUNTIF(年計!$P$3:$U$324,BL47)</f>
        <v>27</v>
      </c>
      <c r="AE48" s="192" t="n">
        <f aca="false">COUNTIF(年計!$P$3:$U$324,BM47)</f>
        <v>28</v>
      </c>
      <c r="AF48" s="192" t="n">
        <f aca="false">COUNTIF(年計!$P$3:$U$324,BN47)</f>
        <v>27</v>
      </c>
      <c r="AG48" s="192" t="n">
        <f aca="false">COUNTIF(年計!$P$3:$U$324,BO47)</f>
        <v>26</v>
      </c>
      <c r="AH48" s="193" t="n">
        <f aca="false">COUNTIF(年計!$P$3:$U$324,BP47)</f>
        <v>26</v>
      </c>
      <c r="AM48" s="150" t="s">
        <v>22</v>
      </c>
      <c r="AN48" s="150" t="s">
        <v>28</v>
      </c>
      <c r="AO48" s="150" t="s">
        <v>34</v>
      </c>
      <c r="AP48" s="150" t="s">
        <v>39</v>
      </c>
      <c r="AQ48" s="150" t="s">
        <v>44</v>
      </c>
      <c r="AR48" s="150" t="s">
        <v>22</v>
      </c>
      <c r="AS48" s="150" t="s">
        <v>28</v>
      </c>
      <c r="AT48" s="150" t="s">
        <v>34</v>
      </c>
      <c r="AU48" s="150" t="s">
        <v>39</v>
      </c>
      <c r="AV48" s="150" t="s">
        <v>44</v>
      </c>
      <c r="AW48" s="150" t="s">
        <v>22</v>
      </c>
      <c r="AX48" s="150" t="s">
        <v>28</v>
      </c>
      <c r="AY48" s="150" t="s">
        <v>34</v>
      </c>
      <c r="AZ48" s="150" t="s">
        <v>39</v>
      </c>
      <c r="BA48" s="150" t="s">
        <v>44</v>
      </c>
      <c r="BB48" s="150" t="s">
        <v>22</v>
      </c>
      <c r="BC48" s="150" t="s">
        <v>28</v>
      </c>
      <c r="BD48" s="150" t="s">
        <v>34</v>
      </c>
      <c r="BE48" s="150" t="s">
        <v>39</v>
      </c>
      <c r="BF48" s="150" t="s">
        <v>44</v>
      </c>
      <c r="BG48" s="150" t="s">
        <v>22</v>
      </c>
      <c r="BH48" s="150" t="s">
        <v>28</v>
      </c>
      <c r="BI48" s="150" t="s">
        <v>34</v>
      </c>
      <c r="BJ48" s="150" t="s">
        <v>39</v>
      </c>
      <c r="BK48" s="150" t="s">
        <v>44</v>
      </c>
      <c r="BL48" s="150" t="s">
        <v>22</v>
      </c>
      <c r="BM48" s="150" t="s">
        <v>28</v>
      </c>
      <c r="BN48" s="150" t="s">
        <v>34</v>
      </c>
      <c r="BO48" s="150" t="s">
        <v>39</v>
      </c>
      <c r="BP48" s="150" t="s">
        <v>44</v>
      </c>
    </row>
    <row r="49" customFormat="false" ht="17.25" hidden="false" customHeight="false" outlineLevel="0" collapsed="false">
      <c r="A49" s="169" t="n">
        <v>4</v>
      </c>
      <c r="B49" s="194" t="n">
        <f aca="false">COUNTIF(年計!$D$278:$I$324,AM48)</f>
        <v>5</v>
      </c>
      <c r="C49" s="192" t="n">
        <f aca="false">COUNTIF(年計!$D$278:$I$324,AN48)</f>
        <v>5</v>
      </c>
      <c r="D49" s="192" t="n">
        <f aca="false">COUNTIF(年計!$D$278:$I$324,AO48)</f>
        <v>6</v>
      </c>
      <c r="E49" s="192" t="n">
        <f aca="false">COUNTIF(年計!$D$278:$I$324,AP48)</f>
        <v>5</v>
      </c>
      <c r="F49" s="195" t="n">
        <f aca="false">COUNTIF(年計!$D$278:$I$324,AQ48)</f>
        <v>5</v>
      </c>
      <c r="G49" s="174" t="n">
        <f aca="false">COUNTIF(年計!$J$278:$O$324,AR48)</f>
        <v>5</v>
      </c>
      <c r="H49" s="172" t="n">
        <f aca="false">COUNTIF(年計!$J$278:$O$324,AS48)</f>
        <v>5</v>
      </c>
      <c r="I49" s="172" t="n">
        <f aca="false">COUNTIF(年計!$J$278:$O$324,AT48)</f>
        <v>5</v>
      </c>
      <c r="J49" s="172" t="n">
        <f aca="false">COUNTIF(年計!$J$278:$O$324,AU48)</f>
        <v>4</v>
      </c>
      <c r="K49" s="175" t="n">
        <f aca="false">COUNTIF(年計!$J$278:$O$324,AV48)</f>
        <v>5</v>
      </c>
      <c r="L49" s="174" t="n">
        <f aca="false">COUNTIF(年計!$P$278:$U$324,AW48)</f>
        <v>5</v>
      </c>
      <c r="M49" s="172" t="n">
        <f aca="false">COUNTIF(年計!$P$278:$U$324,AX48)</f>
        <v>4</v>
      </c>
      <c r="N49" s="172" t="n">
        <f aca="false">COUNTIF(年計!$P$278:$U$324,AY48)</f>
        <v>5</v>
      </c>
      <c r="O49" s="192" t="n">
        <f aca="false">COUNTIF(年計!$P$278:$U$324,AZ48)</f>
        <v>4</v>
      </c>
      <c r="P49" s="193" t="n">
        <f aca="false">COUNTIF(年計!$P$278:$U$324,BA48)</f>
        <v>4</v>
      </c>
      <c r="S49" s="169" t="n">
        <v>4</v>
      </c>
      <c r="T49" s="194" t="n">
        <f aca="false">COUNTIF(年計!$D$3:$I$324,BB48)</f>
        <v>29</v>
      </c>
      <c r="U49" s="192" t="n">
        <f aca="false">COUNTIF(年計!$D$3:$I$324,BC48)</f>
        <v>29</v>
      </c>
      <c r="V49" s="192" t="n">
        <f aca="false">COUNTIF(年計!$D$3:$I$324,BD48)</f>
        <v>29</v>
      </c>
      <c r="W49" s="192" t="n">
        <f aca="false">COUNTIF(年計!$D$3:$I$324,BE48)</f>
        <v>29</v>
      </c>
      <c r="X49" s="195" t="n">
        <f aca="false">COUNTIF(年計!$D$3:$I$324,BF48)</f>
        <v>29</v>
      </c>
      <c r="Y49" s="194" t="n">
        <f aca="false">COUNTIF(年計!$J$3:$O$324,BG48)</f>
        <v>29</v>
      </c>
      <c r="Z49" s="192" t="n">
        <f aca="false">COUNTIF(年計!$J$3:$O$324,BH48)</f>
        <v>29</v>
      </c>
      <c r="AA49" s="192" t="n">
        <f aca="false">COUNTIF(年計!$J$3:$O$324,BI48)</f>
        <v>28</v>
      </c>
      <c r="AB49" s="192" t="n">
        <f aca="false">COUNTIF(年計!$J$3:$O$324,BJ48)</f>
        <v>28</v>
      </c>
      <c r="AC49" s="195" t="n">
        <f aca="false">COUNTIF(年計!$J$3:$O$324,BK48)</f>
        <v>29</v>
      </c>
      <c r="AD49" s="194" t="n">
        <f aca="false">COUNTIF(年計!$P$3:$U$324,BL48)</f>
        <v>27</v>
      </c>
      <c r="AE49" s="192" t="n">
        <f aca="false">COUNTIF(年計!$P$3:$U$324,BM48)</f>
        <v>27</v>
      </c>
      <c r="AF49" s="192" t="n">
        <f aca="false">COUNTIF(年計!$P$3:$U$324,BN48)</f>
        <v>27</v>
      </c>
      <c r="AG49" s="192" t="n">
        <f aca="false">COUNTIF(年計!$P$3:$U$324,BO48)</f>
        <v>26</v>
      </c>
      <c r="AH49" s="193" t="n">
        <f aca="false">COUNTIF(年計!$P$3:$U$324,BP48)</f>
        <v>25</v>
      </c>
      <c r="AM49" s="150" t="s">
        <v>23</v>
      </c>
      <c r="AN49" s="150" t="s">
        <v>29</v>
      </c>
      <c r="AO49" s="150" t="s">
        <v>35</v>
      </c>
      <c r="AP49" s="150" t="s">
        <v>40</v>
      </c>
      <c r="AQ49" s="150" t="s">
        <v>45</v>
      </c>
      <c r="AR49" s="150" t="s">
        <v>23</v>
      </c>
      <c r="AS49" s="150" t="s">
        <v>29</v>
      </c>
      <c r="AT49" s="150" t="s">
        <v>35</v>
      </c>
      <c r="AU49" s="150" t="s">
        <v>40</v>
      </c>
      <c r="AV49" s="150" t="s">
        <v>45</v>
      </c>
      <c r="AW49" s="150" t="s">
        <v>23</v>
      </c>
      <c r="AX49" s="150" t="s">
        <v>29</v>
      </c>
      <c r="AY49" s="150" t="s">
        <v>35</v>
      </c>
      <c r="AZ49" s="150" t="s">
        <v>40</v>
      </c>
      <c r="BA49" s="150" t="s">
        <v>45</v>
      </c>
      <c r="BB49" s="150" t="s">
        <v>23</v>
      </c>
      <c r="BC49" s="150" t="s">
        <v>29</v>
      </c>
      <c r="BD49" s="150" t="s">
        <v>35</v>
      </c>
      <c r="BE49" s="150" t="s">
        <v>40</v>
      </c>
      <c r="BF49" s="150" t="s">
        <v>45</v>
      </c>
      <c r="BG49" s="150" t="s">
        <v>23</v>
      </c>
      <c r="BH49" s="150" t="s">
        <v>29</v>
      </c>
      <c r="BI49" s="150" t="s">
        <v>35</v>
      </c>
      <c r="BJ49" s="150" t="s">
        <v>40</v>
      </c>
      <c r="BK49" s="150" t="s">
        <v>45</v>
      </c>
      <c r="BL49" s="150" t="s">
        <v>23</v>
      </c>
      <c r="BM49" s="150" t="s">
        <v>29</v>
      </c>
      <c r="BN49" s="150" t="s">
        <v>35</v>
      </c>
      <c r="BO49" s="150" t="s">
        <v>40</v>
      </c>
      <c r="BP49" s="150" t="s">
        <v>45</v>
      </c>
    </row>
    <row r="50" customFormat="false" ht="17.25" hidden="false" customHeight="false" outlineLevel="0" collapsed="false">
      <c r="A50" s="169" t="n">
        <v>5</v>
      </c>
      <c r="B50" s="194" t="n">
        <f aca="false">COUNTIF(年計!$D$278:$I$324,AM49)</f>
        <v>4</v>
      </c>
      <c r="C50" s="192" t="n">
        <f aca="false">COUNTIF(年計!$D$278:$I$324,AN49)</f>
        <v>6</v>
      </c>
      <c r="D50" s="192" t="n">
        <f aca="false">COUNTIF(年計!$D$278:$I$324,AO49)</f>
        <v>6</v>
      </c>
      <c r="E50" s="192" t="n">
        <f aca="false">COUNTIF(年計!$D$278:$I$324,AP49)</f>
        <v>5</v>
      </c>
      <c r="F50" s="195" t="n">
        <f aca="false">COUNTIF(年計!$D$278:$I$324,AQ49)</f>
        <v>5</v>
      </c>
      <c r="G50" s="194" t="n">
        <f aca="false">COUNTIF(年計!$J$278:$O$324,AR49)</f>
        <v>4</v>
      </c>
      <c r="H50" s="192" t="n">
        <f aca="false">COUNTIF(年計!$J$278:$O$324,AS49)</f>
        <v>5</v>
      </c>
      <c r="I50" s="172" t="n">
        <f aca="false">COUNTIF(年計!$J$278:$O$324,AT49)</f>
        <v>5</v>
      </c>
      <c r="J50" s="192" t="n">
        <f aca="false">COUNTIF(年計!$J$278:$O$324,AU49)</f>
        <v>5</v>
      </c>
      <c r="K50" s="195" t="n">
        <f aca="false">COUNTIF(年計!$J$278:$O$324,AV49)</f>
        <v>5</v>
      </c>
      <c r="L50" s="194" t="n">
        <f aca="false">COUNTIF(年計!$P$278:$U$324,AW49)</f>
        <v>3</v>
      </c>
      <c r="M50" s="192" t="n">
        <f aca="false">COUNTIF(年計!$P$278:$U$324,AX49)</f>
        <v>4</v>
      </c>
      <c r="N50" s="192" t="n">
        <f aca="false">COUNTIF(年計!$P$278:$U$324,AY49)</f>
        <v>5</v>
      </c>
      <c r="O50" s="192" t="n">
        <f aca="false">COUNTIF(年計!$P$278:$U$324,AZ49)</f>
        <v>3</v>
      </c>
      <c r="P50" s="193" t="n">
        <f aca="false">COUNTIF(年計!$P$278:$U$324,BA49)</f>
        <v>3</v>
      </c>
      <c r="S50" s="169" t="n">
        <v>5</v>
      </c>
      <c r="T50" s="194" t="n">
        <f aca="false">COUNTIF(年計!$D$3:$I$324,BB49)</f>
        <v>26</v>
      </c>
      <c r="U50" s="192" t="n">
        <f aca="false">COUNTIF(年計!$D$3:$I$324,BC49)</f>
        <v>26</v>
      </c>
      <c r="V50" s="192" t="n">
        <f aca="false">COUNTIF(年計!$D$3:$I$324,BD49)</f>
        <v>26</v>
      </c>
      <c r="W50" s="192" t="n">
        <f aca="false">COUNTIF(年計!$D$3:$I$324,BE49)</f>
        <v>26</v>
      </c>
      <c r="X50" s="195" t="n">
        <f aca="false">COUNTIF(年計!$D$3:$I$324,BF49)</f>
        <v>26</v>
      </c>
      <c r="Y50" s="194" t="n">
        <f aca="false">COUNTIF(年計!$J$3:$O$324,BG49)</f>
        <v>26</v>
      </c>
      <c r="Z50" s="192" t="n">
        <f aca="false">COUNTIF(年計!$J$3:$O$324,BH49)</f>
        <v>26</v>
      </c>
      <c r="AA50" s="192" t="n">
        <f aca="false">COUNTIF(年計!$J$3:$O$324,BI49)</f>
        <v>25</v>
      </c>
      <c r="AB50" s="192" t="n">
        <f aca="false">COUNTIF(年計!$J$3:$O$324,BJ49)</f>
        <v>26</v>
      </c>
      <c r="AC50" s="195" t="n">
        <f aca="false">COUNTIF(年計!$J$3:$O$324,BK49)</f>
        <v>26</v>
      </c>
      <c r="AD50" s="194" t="n">
        <f aca="false">COUNTIF(年計!$P$3:$U$324,BL49)</f>
        <v>24</v>
      </c>
      <c r="AE50" s="192" t="n">
        <f aca="false">COUNTIF(年計!$P$3:$U$324,BM49)</f>
        <v>22</v>
      </c>
      <c r="AF50" s="192" t="n">
        <f aca="false">COUNTIF(年計!$P$3:$U$324,BN49)</f>
        <v>24</v>
      </c>
      <c r="AG50" s="192" t="n">
        <f aca="false">COUNTIF(年計!$P$3:$U$324,BO49)</f>
        <v>21</v>
      </c>
      <c r="AH50" s="193" t="n">
        <f aca="false">COUNTIF(年計!$P$3:$U$324,BP49)</f>
        <v>21</v>
      </c>
      <c r="AM50" s="150" t="s">
        <v>7</v>
      </c>
      <c r="AN50" s="150" t="s">
        <v>9</v>
      </c>
      <c r="AO50" s="150" t="s">
        <v>11</v>
      </c>
      <c r="AP50" s="150" t="s">
        <v>194</v>
      </c>
      <c r="AQ50" s="150" t="s">
        <v>12</v>
      </c>
      <c r="AR50" s="150" t="s">
        <v>7</v>
      </c>
      <c r="AS50" s="150" t="s">
        <v>9</v>
      </c>
      <c r="AT50" s="150" t="s">
        <v>11</v>
      </c>
      <c r="AU50" s="150" t="s">
        <v>194</v>
      </c>
      <c r="AV50" s="150" t="s">
        <v>12</v>
      </c>
      <c r="AW50" s="150" t="s">
        <v>7</v>
      </c>
      <c r="AX50" s="150" t="s">
        <v>9</v>
      </c>
      <c r="AY50" s="150" t="s">
        <v>11</v>
      </c>
      <c r="AZ50" s="150" t="s">
        <v>194</v>
      </c>
      <c r="BA50" s="150" t="s">
        <v>12</v>
      </c>
      <c r="BB50" s="150" t="s">
        <v>7</v>
      </c>
      <c r="BC50" s="150" t="s">
        <v>9</v>
      </c>
      <c r="BD50" s="150" t="s">
        <v>11</v>
      </c>
      <c r="BE50" s="150" t="s">
        <v>194</v>
      </c>
      <c r="BF50" s="150" t="s">
        <v>12</v>
      </c>
      <c r="BG50" s="150" t="s">
        <v>7</v>
      </c>
      <c r="BH50" s="150" t="s">
        <v>9</v>
      </c>
      <c r="BI50" s="150" t="s">
        <v>11</v>
      </c>
      <c r="BJ50" s="150" t="s">
        <v>194</v>
      </c>
      <c r="BK50" s="150" t="s">
        <v>12</v>
      </c>
      <c r="BL50" s="150" t="s">
        <v>7</v>
      </c>
      <c r="BM50" s="150" t="s">
        <v>9</v>
      </c>
      <c r="BN50" s="150" t="s">
        <v>11</v>
      </c>
      <c r="BO50" s="150" t="s">
        <v>194</v>
      </c>
      <c r="BP50" s="150" t="s">
        <v>12</v>
      </c>
    </row>
    <row r="51" customFormat="false" ht="18" hidden="false" customHeight="true" outlineLevel="0" collapsed="false">
      <c r="A51" s="179" t="n">
        <v>6</v>
      </c>
      <c r="B51" s="185" t="n">
        <f aca="false">COUNTIF(年計!$D$278:$I$324,AM50)</f>
        <v>6</v>
      </c>
      <c r="C51" s="197" t="n">
        <f aca="false">COUNTIF(年計!$D$278:$I$324,AN50)</f>
        <v>5</v>
      </c>
      <c r="D51" s="182" t="n">
        <f aca="false">COUNTIF(年計!$D$278:$I$324,AO50)</f>
        <v>7</v>
      </c>
      <c r="E51" s="183" t="n">
        <f aca="false">COUNTIF(年計!$D$278:$I$324,AP50)</f>
        <v>0</v>
      </c>
      <c r="F51" s="196" t="n">
        <f aca="false">COUNTIF(年計!$D$278:$I$324,AQ50)</f>
        <v>5</v>
      </c>
      <c r="G51" s="185" t="n">
        <f aca="false">COUNTIF(年計!$J$278:$O$324,AR50)</f>
        <v>6</v>
      </c>
      <c r="H51" s="182" t="n">
        <f aca="false">COUNTIF(年計!$J$278:$O$324,AS50)</f>
        <v>5</v>
      </c>
      <c r="I51" s="182" t="n">
        <f aca="false">COUNTIF(年計!$J$278:$O$324,AT50)</f>
        <v>6</v>
      </c>
      <c r="J51" s="183" t="n">
        <f aca="false">COUNTIF(年計!$J$278:$O$324,AU50)</f>
        <v>0</v>
      </c>
      <c r="K51" s="196" t="n">
        <f aca="false">COUNTIF(年計!$J$278:$O$324,AV50)</f>
        <v>4</v>
      </c>
      <c r="L51" s="185" t="n">
        <f aca="false">COUNTIF(年計!$P$278:$U$324,AW50)</f>
        <v>5</v>
      </c>
      <c r="M51" s="182" t="n">
        <f aca="false">COUNTIF(年計!$P$278:$U$324,AX50)</f>
        <v>3</v>
      </c>
      <c r="N51" s="182" t="n">
        <f aca="false">COUNTIF(年計!$P$278:$U$324,AY50)</f>
        <v>6</v>
      </c>
      <c r="O51" s="183" t="n">
        <f aca="false">COUNTIF(年計!$P$278:$U$324,AZ50)</f>
        <v>0</v>
      </c>
      <c r="P51" s="184" t="n">
        <f aca="false">COUNTIF(年計!$P$278:$U$324,BA50)</f>
        <v>3</v>
      </c>
      <c r="S51" s="179" t="n">
        <v>6</v>
      </c>
      <c r="T51" s="185" t="n">
        <f aca="false">COUNTIF(年計!$D$3:$I$324,BB50)</f>
        <v>28</v>
      </c>
      <c r="U51" s="197" t="n">
        <f aca="false">COUNTIF(年計!$D$3:$I$324,BC50)</f>
        <v>30</v>
      </c>
      <c r="V51" s="182" t="n">
        <f aca="false">COUNTIF(年計!$D$3:$I$324,BD50)</f>
        <v>29</v>
      </c>
      <c r="W51" s="183" t="n">
        <f aca="false">COUNTIF(年計!$D$3:$I$324,BE50)</f>
        <v>0</v>
      </c>
      <c r="X51" s="196" t="n">
        <f aca="false">COUNTIF(年計!$D$3:$I$324,BF50)</f>
        <v>29</v>
      </c>
      <c r="Y51" s="185" t="n">
        <f aca="false">COUNTIF(年計!$J$3:$O$324,BG50)</f>
        <v>29</v>
      </c>
      <c r="Z51" s="182" t="n">
        <f aca="false">COUNTIF(年計!$J$3:$O$324,BH50)</f>
        <v>30</v>
      </c>
      <c r="AA51" s="182" t="n">
        <f aca="false">COUNTIF(年計!$J$3:$O$324,BI50)</f>
        <v>28</v>
      </c>
      <c r="AB51" s="183" t="n">
        <f aca="false">COUNTIF(年計!$J$3:$O$324,BJ50)</f>
        <v>0</v>
      </c>
      <c r="AC51" s="196" t="n">
        <f aca="false">COUNTIF(年計!$J$3:$O$324,BK50)</f>
        <v>29</v>
      </c>
      <c r="AD51" s="185" t="n">
        <f aca="false">COUNTIF(年計!$P$3:$U$324,BL50)</f>
        <v>27</v>
      </c>
      <c r="AE51" s="182" t="n">
        <f aca="false">COUNTIF(年計!$P$3:$U$324,BM50)</f>
        <v>25</v>
      </c>
      <c r="AF51" s="182" t="n">
        <f aca="false">COUNTIF(年計!$P$3:$U$324,BN50)</f>
        <v>27</v>
      </c>
      <c r="AG51" s="183" t="n">
        <f aca="false">COUNTIF(年計!$P$3:$U$324,BO50)</f>
        <v>0</v>
      </c>
      <c r="AH51" s="184" t="n">
        <f aca="false">COUNTIF(年計!$P$3:$U$324,BP50)</f>
        <v>25</v>
      </c>
    </row>
    <row r="52" customFormat="false" ht="18" hidden="false" customHeight="true" outlineLevel="0" collapsed="false">
      <c r="A52" s="207" t="s">
        <v>210</v>
      </c>
      <c r="B52" s="207"/>
      <c r="C52" s="207"/>
      <c r="D52" s="207"/>
      <c r="E52" s="207"/>
      <c r="F52" s="207"/>
      <c r="G52" s="207"/>
      <c r="H52" s="207"/>
      <c r="I52" s="208"/>
      <c r="J52" s="208"/>
      <c r="K52" s="208"/>
      <c r="L52" s="208"/>
      <c r="M52" s="208"/>
      <c r="N52" s="208"/>
      <c r="O52" s="208"/>
      <c r="P52" s="208"/>
      <c r="S52" s="149" t="s">
        <v>211</v>
      </c>
      <c r="T52" s="149"/>
      <c r="U52" s="149"/>
      <c r="V52" s="149"/>
      <c r="W52" s="149"/>
      <c r="X52" s="149"/>
      <c r="Y52" s="149"/>
      <c r="Z52" s="149"/>
    </row>
    <row r="53" customFormat="false" ht="18" hidden="false" customHeight="true" outlineLevel="0" collapsed="false">
      <c r="A53" s="209"/>
      <c r="B53" s="210" t="s">
        <v>3</v>
      </c>
      <c r="C53" s="210" t="s">
        <v>14</v>
      </c>
      <c r="D53" s="210" t="s">
        <v>17</v>
      </c>
      <c r="E53" s="210" t="s">
        <v>6</v>
      </c>
      <c r="F53" s="211" t="s">
        <v>8</v>
      </c>
      <c r="G53" s="212" t="s">
        <v>3</v>
      </c>
      <c r="H53" s="210" t="s">
        <v>14</v>
      </c>
      <c r="I53" s="210" t="s">
        <v>17</v>
      </c>
      <c r="J53" s="210" t="s">
        <v>6</v>
      </c>
      <c r="K53" s="213" t="s">
        <v>8</v>
      </c>
      <c r="L53" s="214" t="s">
        <v>3</v>
      </c>
      <c r="M53" s="210" t="s">
        <v>14</v>
      </c>
      <c r="N53" s="210" t="s">
        <v>17</v>
      </c>
      <c r="O53" s="210" t="s">
        <v>6</v>
      </c>
      <c r="P53" s="213" t="s">
        <v>8</v>
      </c>
      <c r="S53" s="151"/>
      <c r="T53" s="155" t="s">
        <v>3</v>
      </c>
      <c r="U53" s="155" t="s">
        <v>14</v>
      </c>
      <c r="V53" s="155" t="s">
        <v>17</v>
      </c>
      <c r="W53" s="155" t="s">
        <v>6</v>
      </c>
      <c r="X53" s="190" t="s">
        <v>8</v>
      </c>
      <c r="Y53" s="154" t="s">
        <v>3</v>
      </c>
      <c r="Z53" s="155" t="s">
        <v>14</v>
      </c>
      <c r="AA53" s="155" t="s">
        <v>17</v>
      </c>
      <c r="AB53" s="155" t="s">
        <v>6</v>
      </c>
      <c r="AC53" s="156" t="s">
        <v>8</v>
      </c>
      <c r="AD53" s="157" t="s">
        <v>3</v>
      </c>
      <c r="AE53" s="155" t="s">
        <v>14</v>
      </c>
      <c r="AF53" s="155" t="s">
        <v>17</v>
      </c>
      <c r="AG53" s="155" t="s">
        <v>6</v>
      </c>
      <c r="AH53" s="156" t="s">
        <v>8</v>
      </c>
      <c r="AM53" s="150" t="s">
        <v>19</v>
      </c>
      <c r="AN53" s="150" t="s">
        <v>25</v>
      </c>
      <c r="AO53" s="150" t="s">
        <v>31</v>
      </c>
      <c r="AP53" s="150" t="s">
        <v>36</v>
      </c>
      <c r="AQ53" s="150" t="s">
        <v>41</v>
      </c>
      <c r="AR53" s="150" t="s">
        <v>19</v>
      </c>
      <c r="AS53" s="150" t="s">
        <v>25</v>
      </c>
      <c r="AT53" s="150" t="s">
        <v>31</v>
      </c>
      <c r="AU53" s="150" t="s">
        <v>36</v>
      </c>
      <c r="AV53" s="150" t="s">
        <v>41</v>
      </c>
      <c r="AW53" s="150" t="s">
        <v>19</v>
      </c>
      <c r="AX53" s="150" t="s">
        <v>25</v>
      </c>
      <c r="AY53" s="150" t="s">
        <v>31</v>
      </c>
      <c r="AZ53" s="150" t="s">
        <v>36</v>
      </c>
      <c r="BA53" s="150" t="s">
        <v>41</v>
      </c>
      <c r="BB53" s="150" t="s">
        <v>19</v>
      </c>
      <c r="BC53" s="150" t="s">
        <v>25</v>
      </c>
      <c r="BD53" s="150" t="s">
        <v>31</v>
      </c>
      <c r="BE53" s="150" t="s">
        <v>36</v>
      </c>
      <c r="BF53" s="150" t="s">
        <v>41</v>
      </c>
      <c r="BG53" s="150" t="s">
        <v>19</v>
      </c>
      <c r="BH53" s="150" t="s">
        <v>25</v>
      </c>
      <c r="BI53" s="150" t="s">
        <v>31</v>
      </c>
      <c r="BJ53" s="150" t="s">
        <v>36</v>
      </c>
      <c r="BK53" s="150" t="s">
        <v>41</v>
      </c>
      <c r="BL53" s="150" t="s">
        <v>19</v>
      </c>
      <c r="BM53" s="150" t="s">
        <v>25</v>
      </c>
      <c r="BN53" s="150" t="s">
        <v>31</v>
      </c>
      <c r="BO53" s="150" t="s">
        <v>36</v>
      </c>
      <c r="BP53" s="150" t="s">
        <v>41</v>
      </c>
    </row>
    <row r="54" customFormat="false" ht="17.25" hidden="false" customHeight="false" outlineLevel="0" collapsed="false">
      <c r="A54" s="215" t="n">
        <v>1</v>
      </c>
      <c r="B54" s="170" t="n">
        <f aca="false">COUNTIF(年計!$D$325:$I$368,AM53)</f>
        <v>4</v>
      </c>
      <c r="C54" s="171" t="n">
        <f aca="false">COUNTIF(年計!$D$325:$I$368,AN53)</f>
        <v>4</v>
      </c>
      <c r="D54" s="171" t="n">
        <f aca="false">COUNTIF(年計!$D$325:$I$368,AO53)</f>
        <v>4</v>
      </c>
      <c r="E54" s="171" t="n">
        <f aca="false">COUNTIF(年計!$D$325:$I$368,AP53)</f>
        <v>4</v>
      </c>
      <c r="F54" s="191" t="n">
        <f aca="false">COUNTIF(年計!$D$325:$I$368,AQ53)</f>
        <v>4</v>
      </c>
      <c r="G54" s="163" t="n">
        <f aca="false">COUNTIF(年計!$J$325:$O$368,AR53)</f>
        <v>4</v>
      </c>
      <c r="H54" s="164" t="n">
        <f aca="false">COUNTIF(年計!$J$325:$O$368,AS53)</f>
        <v>4</v>
      </c>
      <c r="I54" s="164" t="n">
        <f aca="false">COUNTIF(年計!$J$325:$O$368,AT53)</f>
        <v>4</v>
      </c>
      <c r="J54" s="164" t="n">
        <f aca="false">COUNTIF(年計!$J$325:$O$368,AU53)</f>
        <v>4</v>
      </c>
      <c r="K54" s="166" t="n">
        <f aca="false">COUNTIF(年計!$J$325:$O$368,AV53)</f>
        <v>4</v>
      </c>
      <c r="L54" s="163" t="n">
        <f aca="false">COUNTIF(年計!$P$325:$U$368,AW53)</f>
        <v>2</v>
      </c>
      <c r="M54" s="164" t="n">
        <f aca="false">COUNTIF(年計!$P$325:$U$368,AX53)</f>
        <v>2</v>
      </c>
      <c r="N54" s="164" t="n">
        <f aca="false">COUNTIF(年計!$P$325:$U$368,AY53)</f>
        <v>2</v>
      </c>
      <c r="O54" s="164" t="n">
        <f aca="false">COUNTIF(年計!$P$325:$U$368,AZ53)</f>
        <v>2</v>
      </c>
      <c r="P54" s="165" t="n">
        <f aca="false">COUNTIF(年計!$P$325:$U$368,BA53)</f>
        <v>1</v>
      </c>
      <c r="S54" s="162" t="n">
        <v>1</v>
      </c>
      <c r="T54" s="170" t="n">
        <f aca="false">COUNTIF(年計!$D$3:$I$368,BB53)</f>
        <v>32</v>
      </c>
      <c r="U54" s="171" t="n">
        <f aca="false">COUNTIF(年計!$D$3:$I$368,BC53)</f>
        <v>32</v>
      </c>
      <c r="V54" s="171" t="n">
        <f aca="false">COUNTIF(年計!$D$3:$I$368,BD53)</f>
        <v>32</v>
      </c>
      <c r="W54" s="171" t="n">
        <f aca="false">COUNTIF(年計!$D$3:$I$368,BE53)</f>
        <v>33</v>
      </c>
      <c r="X54" s="191" t="n">
        <f aca="false">COUNTIF(年計!$D$3:$I$368,BF53)</f>
        <v>33</v>
      </c>
      <c r="Y54" s="170" t="n">
        <f aca="false">COUNTIF(年計!$J$3:$O$368,BG53)</f>
        <v>32</v>
      </c>
      <c r="Z54" s="164" t="n">
        <f aca="false">COUNTIF(年計!$J$3:$O$368,BH53)</f>
        <v>32</v>
      </c>
      <c r="AA54" s="164" t="n">
        <f aca="false">COUNTIF(年計!$J$3:$O$368,BI53)</f>
        <v>32</v>
      </c>
      <c r="AB54" s="164" t="n">
        <f aca="false">COUNTIF(年計!$J$3:$O$368,BJ53)</f>
        <v>32</v>
      </c>
      <c r="AC54" s="166" t="n">
        <f aca="false">COUNTIF(年計!$J$3:$O$368,BK53)</f>
        <v>32</v>
      </c>
      <c r="AD54" s="163" t="n">
        <f aca="false">COUNTIF(年計!$P$3:$U$368,BL53)</f>
        <v>29</v>
      </c>
      <c r="AE54" s="164" t="n">
        <f aca="false">COUNTIF(年計!$P$3:$U$368,BM53)</f>
        <v>27</v>
      </c>
      <c r="AF54" s="164" t="n">
        <f aca="false">COUNTIF(年計!$P$3:$U$368,BN53)</f>
        <v>30</v>
      </c>
      <c r="AG54" s="164" t="n">
        <f aca="false">COUNTIF(年計!$P$3:$U$368,BO53)</f>
        <v>28</v>
      </c>
      <c r="AH54" s="165" t="n">
        <f aca="false">COUNTIF(年計!$P$3:$U$368,BP53)</f>
        <v>28</v>
      </c>
      <c r="AI54" s="150" t="s">
        <v>212</v>
      </c>
      <c r="AJ54" s="205" t="str">
        <f aca="false">IFERROR(MATCH(AI54,年計!$C$2:$C$368,0),"")</f>
        <v/>
      </c>
      <c r="AM54" s="150" t="s">
        <v>20</v>
      </c>
      <c r="AN54" s="150" t="s">
        <v>26</v>
      </c>
      <c r="AO54" s="150" t="s">
        <v>32</v>
      </c>
      <c r="AP54" s="150" t="s">
        <v>37</v>
      </c>
      <c r="AQ54" s="150" t="s">
        <v>42</v>
      </c>
      <c r="AR54" s="150" t="s">
        <v>20</v>
      </c>
      <c r="AS54" s="150" t="s">
        <v>26</v>
      </c>
      <c r="AT54" s="150" t="s">
        <v>32</v>
      </c>
      <c r="AU54" s="150" t="s">
        <v>37</v>
      </c>
      <c r="AV54" s="150" t="s">
        <v>42</v>
      </c>
      <c r="AW54" s="150" t="s">
        <v>20</v>
      </c>
      <c r="AX54" s="150" t="s">
        <v>26</v>
      </c>
      <c r="AY54" s="150" t="s">
        <v>32</v>
      </c>
      <c r="AZ54" s="150" t="s">
        <v>37</v>
      </c>
      <c r="BA54" s="150" t="s">
        <v>42</v>
      </c>
      <c r="BB54" s="150" t="s">
        <v>20</v>
      </c>
      <c r="BC54" s="150" t="s">
        <v>26</v>
      </c>
      <c r="BD54" s="150" t="s">
        <v>32</v>
      </c>
      <c r="BE54" s="150" t="s">
        <v>37</v>
      </c>
      <c r="BF54" s="150" t="s">
        <v>42</v>
      </c>
      <c r="BG54" s="150" t="s">
        <v>20</v>
      </c>
      <c r="BH54" s="150" t="s">
        <v>26</v>
      </c>
      <c r="BI54" s="150" t="s">
        <v>32</v>
      </c>
      <c r="BJ54" s="150" t="s">
        <v>37</v>
      </c>
      <c r="BK54" s="150" t="s">
        <v>42</v>
      </c>
      <c r="BL54" s="150" t="s">
        <v>20</v>
      </c>
      <c r="BM54" s="150" t="s">
        <v>26</v>
      </c>
      <c r="BN54" s="150" t="s">
        <v>32</v>
      </c>
      <c r="BO54" s="150" t="s">
        <v>37</v>
      </c>
      <c r="BP54" s="150" t="s">
        <v>42</v>
      </c>
    </row>
    <row r="55" customFormat="false" ht="17.25" hidden="false" customHeight="false" outlineLevel="0" collapsed="false">
      <c r="A55" s="216" t="n">
        <v>2</v>
      </c>
      <c r="B55" s="194" t="n">
        <f aca="false">COUNTIF(年計!$D$325:$I$368,AM54)</f>
        <v>4</v>
      </c>
      <c r="C55" s="192" t="n">
        <f aca="false">COUNTIF(年計!$D$325:$I$368,AN54)</f>
        <v>4</v>
      </c>
      <c r="D55" s="192" t="n">
        <f aca="false">COUNTIF(年計!$D$325:$I$368,AO54)</f>
        <v>4</v>
      </c>
      <c r="E55" s="192" t="n">
        <f aca="false">COUNTIF(年計!$D$325:$I$368,AP54)</f>
        <v>4</v>
      </c>
      <c r="F55" s="195" t="n">
        <f aca="false">COUNTIF(年計!$D$325:$I$368,AQ54)</f>
        <v>4</v>
      </c>
      <c r="G55" s="174" t="n">
        <f aca="false">COUNTIF(年計!$J$325:$O$368,AR54)</f>
        <v>4</v>
      </c>
      <c r="H55" s="172" t="n">
        <f aca="false">COUNTIF(年計!$J$325:$O$368,AS54)</f>
        <v>4</v>
      </c>
      <c r="I55" s="172" t="n">
        <f aca="false">COUNTIF(年計!$J$325:$O$368,AT54)</f>
        <v>4</v>
      </c>
      <c r="J55" s="172" t="n">
        <f aca="false">COUNTIF(年計!$J$325:$O$368,AU54)</f>
        <v>3</v>
      </c>
      <c r="K55" s="175" t="n">
        <f aca="false">COUNTIF(年計!$J$325:$O$368,AV54)</f>
        <v>4</v>
      </c>
      <c r="L55" s="174" t="n">
        <f aca="false">COUNTIF(年計!$P$325:$U$368,AW54)</f>
        <v>2</v>
      </c>
      <c r="M55" s="172" t="n">
        <f aca="false">COUNTIF(年計!$P$325:$U$368,AX54)</f>
        <v>2</v>
      </c>
      <c r="N55" s="172" t="n">
        <f aca="false">COUNTIF(年計!$P$325:$U$368,AY54)</f>
        <v>2</v>
      </c>
      <c r="O55" s="192" t="n">
        <f aca="false">COUNTIF(年計!$P$325:$U$368,AZ54)</f>
        <v>2</v>
      </c>
      <c r="P55" s="193" t="n">
        <f aca="false">COUNTIF(年計!$P$325:$U$368,BA54)</f>
        <v>1</v>
      </c>
      <c r="S55" s="169" t="n">
        <v>2</v>
      </c>
      <c r="T55" s="194" t="n">
        <f aca="false">COUNTIF(年計!$D$3:$I$368,BB54)</f>
        <v>33</v>
      </c>
      <c r="U55" s="192" t="n">
        <f aca="false">COUNTIF(年計!$D$3:$I$368,BC54)</f>
        <v>34</v>
      </c>
      <c r="V55" s="192" t="n">
        <f aca="false">COUNTIF(年計!$D$3:$I$368,BD54)</f>
        <v>33</v>
      </c>
      <c r="W55" s="192" t="n">
        <f aca="false">COUNTIF(年計!$D$3:$I$368,BE54)</f>
        <v>33</v>
      </c>
      <c r="X55" s="195" t="n">
        <f aca="false">COUNTIF(年計!$D$3:$I$368,BF54)</f>
        <v>33</v>
      </c>
      <c r="Y55" s="194" t="n">
        <f aca="false">COUNTIF(年計!$J$3:$O$368,BG54)</f>
        <v>33</v>
      </c>
      <c r="Z55" s="192" t="n">
        <f aca="false">COUNTIF(年計!$J$3:$O$368,BH54)</f>
        <v>33</v>
      </c>
      <c r="AA55" s="192" t="n">
        <f aca="false">COUNTIF(年計!$J$3:$O$368,BI54)</f>
        <v>32</v>
      </c>
      <c r="AB55" s="192" t="n">
        <f aca="false">COUNTIF(年計!$J$3:$O$368,BJ54)</f>
        <v>32</v>
      </c>
      <c r="AC55" s="195" t="n">
        <f aca="false">COUNTIF(年計!$J$3:$O$368,BK54)</f>
        <v>33</v>
      </c>
      <c r="AD55" s="194" t="n">
        <f aca="false">COUNTIF(年計!$P$3:$U$368,BL54)</f>
        <v>29</v>
      </c>
      <c r="AE55" s="192" t="n">
        <f aca="false">COUNTIF(年計!$P$3:$U$368,BM54)</f>
        <v>30</v>
      </c>
      <c r="AF55" s="192" t="n">
        <f aca="false">COUNTIF(年計!$P$3:$U$368,BN54)</f>
        <v>30</v>
      </c>
      <c r="AG55" s="192" t="n">
        <f aca="false">COUNTIF(年計!$P$3:$U$368,BO54)</f>
        <v>28</v>
      </c>
      <c r="AH55" s="193" t="n">
        <f aca="false">COUNTIF(年計!$P$3:$U$368,BP54)</f>
        <v>28</v>
      </c>
      <c r="AM55" s="150" t="s">
        <v>21</v>
      </c>
      <c r="AN55" s="150" t="s">
        <v>27</v>
      </c>
      <c r="AO55" s="150" t="s">
        <v>33</v>
      </c>
      <c r="AP55" s="150" t="s">
        <v>38</v>
      </c>
      <c r="AQ55" s="150" t="s">
        <v>43</v>
      </c>
      <c r="AR55" s="150" t="s">
        <v>21</v>
      </c>
      <c r="AS55" s="150" t="s">
        <v>27</v>
      </c>
      <c r="AT55" s="150" t="s">
        <v>33</v>
      </c>
      <c r="AU55" s="150" t="s">
        <v>38</v>
      </c>
      <c r="AV55" s="150" t="s">
        <v>43</v>
      </c>
      <c r="AW55" s="150" t="s">
        <v>21</v>
      </c>
      <c r="AX55" s="150" t="s">
        <v>27</v>
      </c>
      <c r="AY55" s="150" t="s">
        <v>33</v>
      </c>
      <c r="AZ55" s="150" t="s">
        <v>38</v>
      </c>
      <c r="BA55" s="150" t="s">
        <v>43</v>
      </c>
      <c r="BB55" s="150" t="s">
        <v>21</v>
      </c>
      <c r="BC55" s="150" t="s">
        <v>27</v>
      </c>
      <c r="BD55" s="150" t="s">
        <v>33</v>
      </c>
      <c r="BE55" s="150" t="s">
        <v>38</v>
      </c>
      <c r="BF55" s="150" t="s">
        <v>43</v>
      </c>
      <c r="BG55" s="150" t="s">
        <v>21</v>
      </c>
      <c r="BH55" s="150" t="s">
        <v>27</v>
      </c>
      <c r="BI55" s="150" t="s">
        <v>33</v>
      </c>
      <c r="BJ55" s="150" t="s">
        <v>38</v>
      </c>
      <c r="BK55" s="150" t="s">
        <v>43</v>
      </c>
      <c r="BL55" s="150" t="s">
        <v>21</v>
      </c>
      <c r="BM55" s="150" t="s">
        <v>27</v>
      </c>
      <c r="BN55" s="150" t="s">
        <v>33</v>
      </c>
      <c r="BO55" s="150" t="s">
        <v>38</v>
      </c>
      <c r="BP55" s="150" t="s">
        <v>43</v>
      </c>
    </row>
    <row r="56" customFormat="false" ht="17.25" hidden="false" customHeight="false" outlineLevel="0" collapsed="false">
      <c r="A56" s="216" t="n">
        <v>3</v>
      </c>
      <c r="B56" s="194" t="n">
        <f aca="false">COUNTIF(年計!$D$325:$I$368,AM55)</f>
        <v>4</v>
      </c>
      <c r="C56" s="192" t="n">
        <f aca="false">COUNTIF(年計!$D$325:$I$368,AN55)</f>
        <v>4</v>
      </c>
      <c r="D56" s="192" t="n">
        <f aca="false">COUNTIF(年計!$D$325:$I$368,AO55)</f>
        <v>4</v>
      </c>
      <c r="E56" s="192" t="n">
        <f aca="false">COUNTIF(年計!$D$325:$I$368,AP55)</f>
        <v>4</v>
      </c>
      <c r="F56" s="195" t="n">
        <f aca="false">COUNTIF(年計!$D$325:$I$368,AQ55)</f>
        <v>5</v>
      </c>
      <c r="G56" s="174" t="n">
        <f aca="false">COUNTIF(年計!$J$325:$O$368,AR55)</f>
        <v>4</v>
      </c>
      <c r="H56" s="172" t="n">
        <f aca="false">COUNTIF(年計!$J$325:$O$368,AS55)</f>
        <v>4</v>
      </c>
      <c r="I56" s="172" t="n">
        <f aca="false">COUNTIF(年計!$J$325:$O$368,AT55)</f>
        <v>4</v>
      </c>
      <c r="J56" s="172" t="n">
        <f aca="false">COUNTIF(年計!$J$325:$O$368,AU55)</f>
        <v>3</v>
      </c>
      <c r="K56" s="175" t="n">
        <f aca="false">COUNTIF(年計!$J$325:$O$368,AV55)</f>
        <v>4</v>
      </c>
      <c r="L56" s="174" t="n">
        <f aca="false">COUNTIF(年計!$P$325:$U$368,AW55)</f>
        <v>2</v>
      </c>
      <c r="M56" s="172" t="n">
        <f aca="false">COUNTIF(年計!$P$325:$U$368,AX55)</f>
        <v>2</v>
      </c>
      <c r="N56" s="172" t="n">
        <f aca="false">COUNTIF(年計!$P$325:$U$368,AY55)</f>
        <v>2</v>
      </c>
      <c r="O56" s="192" t="n">
        <f aca="false">COUNTIF(年計!$P$325:$U$368,AZ55)</f>
        <v>2</v>
      </c>
      <c r="P56" s="193" t="n">
        <f aca="false">COUNTIF(年計!$P$325:$U$368,BA55)</f>
        <v>2</v>
      </c>
      <c r="S56" s="169" t="n">
        <v>3</v>
      </c>
      <c r="T56" s="194" t="n">
        <f aca="false">COUNTIF(年計!$D$3:$I$368,BB55)</f>
        <v>33</v>
      </c>
      <c r="U56" s="192" t="n">
        <f aca="false">COUNTIF(年計!$D$3:$I$368,BC55)</f>
        <v>33</v>
      </c>
      <c r="V56" s="192" t="n">
        <f aca="false">COUNTIF(年計!$D$3:$I$368,BD55)</f>
        <v>32</v>
      </c>
      <c r="W56" s="192" t="n">
        <f aca="false">COUNTIF(年計!$D$3:$I$368,BE55)</f>
        <v>34</v>
      </c>
      <c r="X56" s="195" t="n">
        <f aca="false">COUNTIF(年計!$D$3:$I$368,BF55)</f>
        <v>34</v>
      </c>
      <c r="Y56" s="194" t="n">
        <f aca="false">COUNTIF(年計!$J$3:$O$368,BG55)</f>
        <v>33</v>
      </c>
      <c r="Z56" s="192" t="n">
        <f aca="false">COUNTIF(年計!$J$3:$O$368,BH55)</f>
        <v>33</v>
      </c>
      <c r="AA56" s="192" t="n">
        <f aca="false">COUNTIF(年計!$J$3:$O$368,BI55)</f>
        <v>33</v>
      </c>
      <c r="AB56" s="192" t="n">
        <f aca="false">COUNTIF(年計!$J$3:$O$368,BJ55)</f>
        <v>32</v>
      </c>
      <c r="AC56" s="195" t="n">
        <f aca="false">COUNTIF(年計!$J$3:$O$368,BK55)</f>
        <v>33</v>
      </c>
      <c r="AD56" s="194" t="n">
        <f aca="false">COUNTIF(年計!$P$3:$U$368,BL55)</f>
        <v>29</v>
      </c>
      <c r="AE56" s="192" t="n">
        <f aca="false">COUNTIF(年計!$P$3:$U$368,BM55)</f>
        <v>30</v>
      </c>
      <c r="AF56" s="192" t="n">
        <f aca="false">COUNTIF(年計!$P$3:$U$368,BN55)</f>
        <v>29</v>
      </c>
      <c r="AG56" s="192" t="n">
        <f aca="false">COUNTIF(年計!$P$3:$U$368,BO55)</f>
        <v>28</v>
      </c>
      <c r="AH56" s="193" t="n">
        <f aca="false">COUNTIF(年計!$P$3:$U$368,BP55)</f>
        <v>28</v>
      </c>
      <c r="AM56" s="150" t="s">
        <v>22</v>
      </c>
      <c r="AN56" s="150" t="s">
        <v>28</v>
      </c>
      <c r="AO56" s="150" t="s">
        <v>34</v>
      </c>
      <c r="AP56" s="150" t="s">
        <v>39</v>
      </c>
      <c r="AQ56" s="150" t="s">
        <v>44</v>
      </c>
      <c r="AR56" s="150" t="s">
        <v>22</v>
      </c>
      <c r="AS56" s="150" t="s">
        <v>28</v>
      </c>
      <c r="AT56" s="150" t="s">
        <v>34</v>
      </c>
      <c r="AU56" s="150" t="s">
        <v>39</v>
      </c>
      <c r="AV56" s="150" t="s">
        <v>44</v>
      </c>
      <c r="AW56" s="150" t="s">
        <v>22</v>
      </c>
      <c r="AX56" s="150" t="s">
        <v>28</v>
      </c>
      <c r="AY56" s="150" t="s">
        <v>34</v>
      </c>
      <c r="AZ56" s="150" t="s">
        <v>39</v>
      </c>
      <c r="BA56" s="150" t="s">
        <v>44</v>
      </c>
      <c r="BB56" s="150" t="s">
        <v>22</v>
      </c>
      <c r="BC56" s="150" t="s">
        <v>28</v>
      </c>
      <c r="BD56" s="150" t="s">
        <v>34</v>
      </c>
      <c r="BE56" s="150" t="s">
        <v>39</v>
      </c>
      <c r="BF56" s="150" t="s">
        <v>44</v>
      </c>
      <c r="BG56" s="150" t="s">
        <v>22</v>
      </c>
      <c r="BH56" s="150" t="s">
        <v>28</v>
      </c>
      <c r="BI56" s="150" t="s">
        <v>34</v>
      </c>
      <c r="BJ56" s="150" t="s">
        <v>39</v>
      </c>
      <c r="BK56" s="150" t="s">
        <v>44</v>
      </c>
      <c r="BL56" s="150" t="s">
        <v>22</v>
      </c>
      <c r="BM56" s="150" t="s">
        <v>28</v>
      </c>
      <c r="BN56" s="150" t="s">
        <v>34</v>
      </c>
      <c r="BO56" s="150" t="s">
        <v>39</v>
      </c>
      <c r="BP56" s="150" t="s">
        <v>44</v>
      </c>
    </row>
    <row r="57" customFormat="false" ht="17.25" hidden="false" customHeight="false" outlineLevel="0" collapsed="false">
      <c r="A57" s="216" t="n">
        <v>4</v>
      </c>
      <c r="B57" s="194" t="n">
        <f aca="false">COUNTIF(年計!$D$325:$I$368,AM56)</f>
        <v>4</v>
      </c>
      <c r="C57" s="192" t="n">
        <f aca="false">COUNTIF(年計!$D$325:$I$368,AN56)</f>
        <v>4</v>
      </c>
      <c r="D57" s="192" t="n">
        <f aca="false">COUNTIF(年計!$D$325:$I$368,AO56)</f>
        <v>4</v>
      </c>
      <c r="E57" s="192" t="n">
        <f aca="false">COUNTIF(年計!$D$325:$I$368,AP56)</f>
        <v>4</v>
      </c>
      <c r="F57" s="195" t="n">
        <f aca="false">COUNTIF(年計!$D$325:$I$368,AQ56)</f>
        <v>4</v>
      </c>
      <c r="G57" s="174" t="n">
        <f aca="false">COUNTIF(年計!$J$325:$O$368,AR56)</f>
        <v>4</v>
      </c>
      <c r="H57" s="172" t="n">
        <f aca="false">COUNTIF(年計!$J$325:$O$368,AS56)</f>
        <v>4</v>
      </c>
      <c r="I57" s="172" t="n">
        <f aca="false">COUNTIF(年計!$J$325:$O$368,AT56)</f>
        <v>4</v>
      </c>
      <c r="J57" s="172" t="n">
        <f aca="false">COUNTIF(年計!$J$325:$O$368,AU56)</f>
        <v>4</v>
      </c>
      <c r="K57" s="175" t="n">
        <f aca="false">COUNTIF(年計!$J$325:$O$368,AV56)</f>
        <v>4</v>
      </c>
      <c r="L57" s="174" t="n">
        <f aca="false">COUNTIF(年計!$P$325:$U$368,AW56)</f>
        <v>2</v>
      </c>
      <c r="M57" s="172" t="n">
        <f aca="false">COUNTIF(年計!$P$325:$U$368,AX56)</f>
        <v>2</v>
      </c>
      <c r="N57" s="172" t="n">
        <f aca="false">COUNTIF(年計!$P$325:$U$368,AY56)</f>
        <v>2</v>
      </c>
      <c r="O57" s="192" t="n">
        <f aca="false">COUNTIF(年計!$P$325:$U$368,AZ56)</f>
        <v>3</v>
      </c>
      <c r="P57" s="193" t="n">
        <f aca="false">COUNTIF(年計!$P$325:$U$368,BA56)</f>
        <v>3</v>
      </c>
      <c r="S57" s="169" t="n">
        <v>4</v>
      </c>
      <c r="T57" s="194" t="n">
        <f aca="false">COUNTIF(年計!$D$3:$I$368,BB56)</f>
        <v>33</v>
      </c>
      <c r="U57" s="192" t="n">
        <f aca="false">COUNTIF(年計!$D$3:$I$368,BC56)</f>
        <v>33</v>
      </c>
      <c r="V57" s="192" t="n">
        <f aca="false">COUNTIF(年計!$D$3:$I$368,BD56)</f>
        <v>33</v>
      </c>
      <c r="W57" s="192" t="n">
        <f aca="false">COUNTIF(年計!$D$3:$I$368,BE56)</f>
        <v>33</v>
      </c>
      <c r="X57" s="195" t="n">
        <f aca="false">COUNTIF(年計!$D$3:$I$368,BF56)</f>
        <v>33</v>
      </c>
      <c r="Y57" s="194" t="n">
        <f aca="false">COUNTIF(年計!$J$3:$O$368,BG56)</f>
        <v>33</v>
      </c>
      <c r="Z57" s="192" t="n">
        <f aca="false">COUNTIF(年計!$J$3:$O$368,BH56)</f>
        <v>33</v>
      </c>
      <c r="AA57" s="192" t="n">
        <f aca="false">COUNTIF(年計!$J$3:$O$368,BI56)</f>
        <v>32</v>
      </c>
      <c r="AB57" s="192" t="n">
        <f aca="false">COUNTIF(年計!$J$3:$O$368,BJ56)</f>
        <v>32</v>
      </c>
      <c r="AC57" s="195" t="n">
        <f aca="false">COUNTIF(年計!$J$3:$O$368,BK56)</f>
        <v>33</v>
      </c>
      <c r="AD57" s="194" t="n">
        <f aca="false">COUNTIF(年計!$P$3:$U$368,BL56)</f>
        <v>29</v>
      </c>
      <c r="AE57" s="192" t="n">
        <f aca="false">COUNTIF(年計!$P$3:$U$368,BM56)</f>
        <v>29</v>
      </c>
      <c r="AF57" s="192" t="n">
        <f aca="false">COUNTIF(年計!$P$3:$U$368,BN56)</f>
        <v>29</v>
      </c>
      <c r="AG57" s="192" t="n">
        <f aca="false">COUNTIF(年計!$P$3:$U$368,BO56)</f>
        <v>29</v>
      </c>
      <c r="AH57" s="193" t="n">
        <f aca="false">COUNTIF(年計!$P$3:$U$368,BP56)</f>
        <v>28</v>
      </c>
      <c r="AM57" s="150" t="s">
        <v>23</v>
      </c>
      <c r="AN57" s="150" t="s">
        <v>29</v>
      </c>
      <c r="AO57" s="150" t="s">
        <v>35</v>
      </c>
      <c r="AP57" s="150" t="s">
        <v>40</v>
      </c>
      <c r="AQ57" s="150" t="s">
        <v>45</v>
      </c>
      <c r="AR57" s="150" t="s">
        <v>23</v>
      </c>
      <c r="AS57" s="150" t="s">
        <v>29</v>
      </c>
      <c r="AT57" s="150" t="s">
        <v>35</v>
      </c>
      <c r="AU57" s="150" t="s">
        <v>40</v>
      </c>
      <c r="AV57" s="150" t="s">
        <v>45</v>
      </c>
      <c r="AW57" s="150" t="s">
        <v>23</v>
      </c>
      <c r="AX57" s="150" t="s">
        <v>29</v>
      </c>
      <c r="AY57" s="150" t="s">
        <v>35</v>
      </c>
      <c r="AZ57" s="150" t="s">
        <v>40</v>
      </c>
      <c r="BA57" s="150" t="s">
        <v>45</v>
      </c>
      <c r="BB57" s="150" t="s">
        <v>23</v>
      </c>
      <c r="BC57" s="150" t="s">
        <v>29</v>
      </c>
      <c r="BD57" s="150" t="s">
        <v>35</v>
      </c>
      <c r="BE57" s="150" t="s">
        <v>40</v>
      </c>
      <c r="BF57" s="150" t="s">
        <v>45</v>
      </c>
      <c r="BG57" s="150" t="s">
        <v>23</v>
      </c>
      <c r="BH57" s="150" t="s">
        <v>29</v>
      </c>
      <c r="BI57" s="150" t="s">
        <v>35</v>
      </c>
      <c r="BJ57" s="150" t="s">
        <v>40</v>
      </c>
      <c r="BK57" s="150" t="s">
        <v>45</v>
      </c>
      <c r="BL57" s="150" t="s">
        <v>23</v>
      </c>
      <c r="BM57" s="150" t="s">
        <v>29</v>
      </c>
      <c r="BN57" s="150" t="s">
        <v>35</v>
      </c>
      <c r="BO57" s="150" t="s">
        <v>40</v>
      </c>
      <c r="BP57" s="150" t="s">
        <v>45</v>
      </c>
    </row>
    <row r="58" customFormat="false" ht="17.25" hidden="false" customHeight="false" outlineLevel="0" collapsed="false">
      <c r="A58" s="216" t="n">
        <v>5</v>
      </c>
      <c r="B58" s="194" t="n">
        <f aca="false">COUNTIF(年計!$D$325:$I$368,AM57)</f>
        <v>3</v>
      </c>
      <c r="C58" s="192" t="n">
        <f aca="false">COUNTIF(年計!$D$325:$I$368,AN57)</f>
        <v>3</v>
      </c>
      <c r="D58" s="192" t="n">
        <f aca="false">COUNTIF(年計!$D$325:$I$368,AO57)</f>
        <v>3</v>
      </c>
      <c r="E58" s="192" t="n">
        <f aca="false">COUNTIF(年計!$D$325:$I$368,AP57)</f>
        <v>3</v>
      </c>
      <c r="F58" s="195" t="n">
        <f aca="false">COUNTIF(年計!$D$325:$I$368,AQ57)</f>
        <v>3</v>
      </c>
      <c r="G58" s="194" t="n">
        <f aca="false">COUNTIF(年計!$J$325:$O$368,AR57)</f>
        <v>3</v>
      </c>
      <c r="H58" s="192" t="n">
        <f aca="false">COUNTIF(年計!$J$325:$O$368,AS57)</f>
        <v>3</v>
      </c>
      <c r="I58" s="172" t="n">
        <f aca="false">COUNTIF(年計!$J$325:$O$368,AT57)</f>
        <v>3</v>
      </c>
      <c r="J58" s="192" t="n">
        <f aca="false">COUNTIF(年計!$J$325:$O$368,AU57)</f>
        <v>3</v>
      </c>
      <c r="K58" s="195" t="n">
        <f aca="false">COUNTIF(年計!$J$325:$O$368,AV57)</f>
        <v>3</v>
      </c>
      <c r="L58" s="194" t="n">
        <f aca="false">COUNTIF(年計!$P$325:$U$368,AW57)</f>
        <v>1</v>
      </c>
      <c r="M58" s="192" t="n">
        <f aca="false">COUNTIF(年計!$P$325:$U$368,AX57)</f>
        <v>1</v>
      </c>
      <c r="N58" s="192" t="n">
        <f aca="false">COUNTIF(年計!$P$325:$U$368,AY57)</f>
        <v>1</v>
      </c>
      <c r="O58" s="192" t="n">
        <f aca="false">COUNTIF(年計!$P$325:$U$368,AZ57)</f>
        <v>3</v>
      </c>
      <c r="P58" s="193" t="n">
        <f aca="false">COUNTIF(年計!$P$325:$U$368,BA57)</f>
        <v>2</v>
      </c>
      <c r="S58" s="169" t="n">
        <v>5</v>
      </c>
      <c r="T58" s="194" t="n">
        <f aca="false">COUNTIF(年計!$D$3:$I$368,BB57)</f>
        <v>29</v>
      </c>
      <c r="U58" s="192" t="n">
        <f aca="false">COUNTIF(年計!$D$3:$I$368,BC57)</f>
        <v>29</v>
      </c>
      <c r="V58" s="192" t="n">
        <f aca="false">COUNTIF(年計!$D$3:$I$368,BD57)</f>
        <v>29</v>
      </c>
      <c r="W58" s="192" t="n">
        <f aca="false">COUNTIF(年計!$D$3:$I$368,BE57)</f>
        <v>29</v>
      </c>
      <c r="X58" s="195" t="n">
        <f aca="false">COUNTIF(年計!$D$3:$I$368,BF57)</f>
        <v>29</v>
      </c>
      <c r="Y58" s="194" t="n">
        <f aca="false">COUNTIF(年計!$J$3:$O$368,BG57)</f>
        <v>29</v>
      </c>
      <c r="Z58" s="192" t="n">
        <f aca="false">COUNTIF(年計!$J$3:$O$368,BH57)</f>
        <v>29</v>
      </c>
      <c r="AA58" s="192" t="n">
        <f aca="false">COUNTIF(年計!$J$3:$O$368,BI57)</f>
        <v>28</v>
      </c>
      <c r="AB58" s="192" t="n">
        <f aca="false">COUNTIF(年計!$J$3:$O$368,BJ57)</f>
        <v>29</v>
      </c>
      <c r="AC58" s="195" t="n">
        <f aca="false">COUNTIF(年計!$J$3:$O$368,BK57)</f>
        <v>29</v>
      </c>
      <c r="AD58" s="194" t="n">
        <f aca="false">COUNTIF(年計!$P$3:$U$368,BL57)</f>
        <v>25</v>
      </c>
      <c r="AE58" s="192" t="n">
        <f aca="false">COUNTIF(年計!$P$3:$U$368,BM57)</f>
        <v>23</v>
      </c>
      <c r="AF58" s="192" t="n">
        <f aca="false">COUNTIF(年計!$P$3:$U$368,BN57)</f>
        <v>25</v>
      </c>
      <c r="AG58" s="192" t="n">
        <f aca="false">COUNTIF(年計!$P$3:$U$368,BO57)</f>
        <v>24</v>
      </c>
      <c r="AH58" s="193" t="n">
        <f aca="false">COUNTIF(年計!$P$3:$U$368,BP57)</f>
        <v>23</v>
      </c>
      <c r="AM58" s="150" t="s">
        <v>7</v>
      </c>
      <c r="AN58" s="150" t="s">
        <v>9</v>
      </c>
      <c r="AO58" s="150" t="s">
        <v>11</v>
      </c>
      <c r="AP58" s="150" t="s">
        <v>194</v>
      </c>
      <c r="AQ58" s="150" t="s">
        <v>12</v>
      </c>
      <c r="AR58" s="150" t="s">
        <v>7</v>
      </c>
      <c r="AS58" s="150" t="s">
        <v>9</v>
      </c>
      <c r="AT58" s="150" t="s">
        <v>11</v>
      </c>
      <c r="AU58" s="150" t="s">
        <v>194</v>
      </c>
      <c r="AV58" s="150" t="s">
        <v>12</v>
      </c>
      <c r="AW58" s="150" t="s">
        <v>7</v>
      </c>
      <c r="AX58" s="150" t="s">
        <v>9</v>
      </c>
      <c r="AY58" s="150" t="s">
        <v>11</v>
      </c>
      <c r="AZ58" s="150" t="s">
        <v>194</v>
      </c>
      <c r="BA58" s="150" t="s">
        <v>12</v>
      </c>
      <c r="BB58" s="150" t="s">
        <v>7</v>
      </c>
      <c r="BC58" s="150" t="s">
        <v>9</v>
      </c>
      <c r="BD58" s="150" t="s">
        <v>11</v>
      </c>
      <c r="BE58" s="150" t="s">
        <v>194</v>
      </c>
      <c r="BF58" s="150" t="s">
        <v>12</v>
      </c>
      <c r="BG58" s="150" t="s">
        <v>7</v>
      </c>
      <c r="BH58" s="150" t="s">
        <v>9</v>
      </c>
      <c r="BI58" s="150" t="s">
        <v>11</v>
      </c>
      <c r="BJ58" s="150" t="s">
        <v>194</v>
      </c>
      <c r="BK58" s="150" t="s">
        <v>12</v>
      </c>
      <c r="BL58" s="150" t="s">
        <v>7</v>
      </c>
      <c r="BM58" s="150" t="s">
        <v>9</v>
      </c>
      <c r="BN58" s="150" t="s">
        <v>11</v>
      </c>
      <c r="BO58" s="150" t="s">
        <v>194</v>
      </c>
      <c r="BP58" s="150" t="s">
        <v>12</v>
      </c>
    </row>
    <row r="59" customFormat="false" ht="18" hidden="false" customHeight="true" outlineLevel="0" collapsed="false">
      <c r="A59" s="179" t="n">
        <v>6</v>
      </c>
      <c r="B59" s="185" t="n">
        <f aca="false">COUNTIF(年計!$D$325:$I$368,AM58)</f>
        <v>4</v>
      </c>
      <c r="C59" s="197" t="n">
        <f aca="false">COUNTIF(年計!$D$325:$I$368,AN58)</f>
        <v>3</v>
      </c>
      <c r="D59" s="182" t="n">
        <f aca="false">COUNTIF(年計!$D$325:$I$368,AO58)</f>
        <v>5</v>
      </c>
      <c r="E59" s="183" t="n">
        <f aca="false">COUNTIF(年計!$D$325:$I$368,AP58)</f>
        <v>0</v>
      </c>
      <c r="F59" s="196" t="n">
        <f aca="false">COUNTIF(年計!$D$325:$I$368,AQ58)</f>
        <v>4</v>
      </c>
      <c r="G59" s="185" t="n">
        <f aca="false">COUNTIF(年計!$J$325:$O$368,AR58)</f>
        <v>4</v>
      </c>
      <c r="H59" s="182" t="n">
        <f aca="false">COUNTIF(年計!$J$325:$O$368,AS58)</f>
        <v>3</v>
      </c>
      <c r="I59" s="182" t="n">
        <f aca="false">COUNTIF(年計!$J$325:$O$368,AT58)</f>
        <v>4</v>
      </c>
      <c r="J59" s="183" t="n">
        <f aca="false">COUNTIF(年計!$J$325:$O$368,AU58)</f>
        <v>0</v>
      </c>
      <c r="K59" s="196" t="n">
        <f aca="false">COUNTIF(年計!$J$325:$O$368,AV58)</f>
        <v>4</v>
      </c>
      <c r="L59" s="185" t="n">
        <f aca="false">COUNTIF(年計!$P$325:$U$368,AW58)</f>
        <v>1</v>
      </c>
      <c r="M59" s="182" t="n">
        <f aca="false">COUNTIF(年計!$P$325:$U$368,AX58)</f>
        <v>2</v>
      </c>
      <c r="N59" s="182" t="n">
        <f aca="false">COUNTIF(年計!$P$325:$U$368,AY58)</f>
        <v>2</v>
      </c>
      <c r="O59" s="183" t="n">
        <f aca="false">COUNTIF(年計!$P$325:$U$368,AZ58)</f>
        <v>0</v>
      </c>
      <c r="P59" s="184" t="n">
        <f aca="false">COUNTIF(年計!$P$325:$U$368,BA58)</f>
        <v>2</v>
      </c>
      <c r="S59" s="179" t="n">
        <v>6</v>
      </c>
      <c r="T59" s="185" t="n">
        <f aca="false">COUNTIF(年計!$D$3:$I$368,BB58)</f>
        <v>32</v>
      </c>
      <c r="U59" s="197" t="n">
        <f aca="false">COUNTIF(年計!$D$3:$I$368,BC58)</f>
        <v>33</v>
      </c>
      <c r="V59" s="182" t="n">
        <f aca="false">COUNTIF(年計!$D$3:$I$368,BD58)</f>
        <v>34</v>
      </c>
      <c r="W59" s="183"/>
      <c r="X59" s="196" t="n">
        <f aca="false">COUNTIF(年計!$D$3:$I$368,BF58)</f>
        <v>33</v>
      </c>
      <c r="Y59" s="185" t="n">
        <f aca="false">COUNTIF(年計!$J$3:$O$368,BG58)</f>
        <v>33</v>
      </c>
      <c r="Z59" s="182" t="n">
        <f aca="false">COUNTIF(年計!$J$3:$O$368,BH58)</f>
        <v>33</v>
      </c>
      <c r="AA59" s="182" t="n">
        <f aca="false">COUNTIF(年計!$J$3:$O$368,BI58)</f>
        <v>32</v>
      </c>
      <c r="AB59" s="183"/>
      <c r="AC59" s="196" t="n">
        <f aca="false">COUNTIF(年計!$J$3:$O$368,BK58)</f>
        <v>33</v>
      </c>
      <c r="AD59" s="185" t="n">
        <f aca="false">COUNTIF(年計!$P$3:$U$368,BL58)</f>
        <v>28</v>
      </c>
      <c r="AE59" s="182" t="n">
        <f aca="false">COUNTIF(年計!$P$3:$U$368,BM58)</f>
        <v>27</v>
      </c>
      <c r="AF59" s="182" t="n">
        <f aca="false">COUNTIF(年計!$P$3:$U$368,BN58)</f>
        <v>29</v>
      </c>
      <c r="AG59" s="183"/>
      <c r="AH59" s="184" t="n">
        <f aca="false">COUNTIF(年計!$P$3:$U$368,BP58)</f>
        <v>27</v>
      </c>
    </row>
    <row r="206" customFormat="false" ht="17.25" hidden="false" customHeight="false" outlineLevel="0" collapsed="false">
      <c r="D206" s="217" t="s">
        <v>213</v>
      </c>
      <c r="E206" s="217"/>
      <c r="F206" s="217"/>
      <c r="G206" s="217"/>
      <c r="H206" s="217"/>
      <c r="J206" s="217" t="s">
        <v>213</v>
      </c>
      <c r="K206" s="217"/>
      <c r="L206" s="217"/>
      <c r="M206" s="217"/>
      <c r="N206" s="217"/>
      <c r="P206" s="217" t="s">
        <v>213</v>
      </c>
      <c r="Q206" s="217"/>
      <c r="R206" s="217"/>
      <c r="S206" s="217"/>
      <c r="T206" s="217"/>
    </row>
    <row r="207" customFormat="false" ht="17.25" hidden="false" customHeight="false" outlineLevel="0" collapsed="false">
      <c r="E207" s="218" t="s">
        <v>39</v>
      </c>
      <c r="F207" s="218" t="s">
        <v>33</v>
      </c>
      <c r="G207" s="218" t="s">
        <v>34</v>
      </c>
      <c r="H207" s="218" t="s">
        <v>35</v>
      </c>
      <c r="K207" s="218" t="s">
        <v>39</v>
      </c>
      <c r="L207" s="218" t="s">
        <v>33</v>
      </c>
      <c r="M207" s="218" t="s">
        <v>34</v>
      </c>
      <c r="N207" s="218" t="s">
        <v>35</v>
      </c>
      <c r="Q207" s="218" t="s">
        <v>39</v>
      </c>
      <c r="R207" s="218" t="s">
        <v>33</v>
      </c>
      <c r="S207" s="218" t="s">
        <v>34</v>
      </c>
      <c r="T207" s="218" t="s">
        <v>35</v>
      </c>
    </row>
    <row r="215" customFormat="false" ht="17.25" hidden="false" customHeight="false" outlineLevel="0" collapsed="false">
      <c r="D215" s="218" t="s">
        <v>7</v>
      </c>
      <c r="J215" s="218" t="s">
        <v>7</v>
      </c>
      <c r="P215" s="218" t="s">
        <v>7</v>
      </c>
    </row>
    <row r="236" customFormat="false" ht="17.25" hidden="false" customHeight="false" outlineLevel="0" collapsed="false">
      <c r="D236" s="218" t="s">
        <v>7</v>
      </c>
      <c r="E236" s="218" t="s">
        <v>41</v>
      </c>
      <c r="J236" s="218" t="s">
        <v>7</v>
      </c>
      <c r="K236" s="218" t="s">
        <v>41</v>
      </c>
    </row>
    <row r="249" customFormat="false" ht="17.25" hidden="false" customHeight="false" outlineLevel="0" collapsed="false">
      <c r="G249" s="218" t="s">
        <v>40</v>
      </c>
      <c r="M249" s="218" t="s">
        <v>40</v>
      </c>
      <c r="S249" s="218" t="s">
        <v>40</v>
      </c>
    </row>
  </sheetData>
  <mergeCells count="24">
    <mergeCell ref="AF1:AH1"/>
    <mergeCell ref="A2:AH2"/>
    <mergeCell ref="B3:F3"/>
    <mergeCell ref="G3:K3"/>
    <mergeCell ref="L3:P3"/>
    <mergeCell ref="A4:H4"/>
    <mergeCell ref="S11:W11"/>
    <mergeCell ref="X11:AB11"/>
    <mergeCell ref="AC11:AG11"/>
    <mergeCell ref="A12:H12"/>
    <mergeCell ref="S12:Z12"/>
    <mergeCell ref="A20:H20"/>
    <mergeCell ref="S20:Z20"/>
    <mergeCell ref="A28:H28"/>
    <mergeCell ref="S28:Z28"/>
    <mergeCell ref="A36:H36"/>
    <mergeCell ref="S36:Z36"/>
    <mergeCell ref="A44:H44"/>
    <mergeCell ref="S44:Z44"/>
    <mergeCell ref="A52:H52"/>
    <mergeCell ref="S52:Z52"/>
    <mergeCell ref="D206:H206"/>
    <mergeCell ref="J206:N206"/>
    <mergeCell ref="P206:T20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pageBreakPreview" topLeftCell="D1" colorId="64" zoomScale="100" zoomScaleNormal="100" zoomScalePageLayoutView="100" workbookViewId="0">
      <selection pane="topLeft" activeCell="H2" activeCellId="0" sqref="H2"/>
    </sheetView>
  </sheetViews>
  <sheetFormatPr defaultColWidth="8.53125" defaultRowHeight="17.25" zeroHeight="false" outlineLevelRow="0" outlineLevelCol="0"/>
  <cols>
    <col collapsed="false" customWidth="true" hidden="false" outlineLevel="0" max="2" min="2" style="145" width="18.25"/>
    <col collapsed="false" customWidth="true" hidden="false" outlineLevel="0" max="4" min="4" style="145" width="5.37"/>
    <col collapsed="false" customWidth="true" hidden="false" outlineLevel="0" max="5" min="5" style="145" width="5.87"/>
    <col collapsed="false" customWidth="true" hidden="false" outlineLevel="0" max="6" min="6" style="145" width="8.88"/>
    <col collapsed="false" customWidth="true" hidden="false" outlineLevel="0" max="8" min="8" style="145" width="25.88"/>
  </cols>
  <sheetData>
    <row r="1" customFormat="false" ht="21" hidden="false" customHeight="true" outlineLevel="0" collapsed="false">
      <c r="A1" s="219"/>
      <c r="B1" s="220" t="s">
        <v>214</v>
      </c>
      <c r="C1" s="221"/>
      <c r="F1" s="205" t="s">
        <v>215</v>
      </c>
      <c r="G1" s="150" t="s">
        <v>216</v>
      </c>
      <c r="H1" s="150" t="s">
        <v>217</v>
      </c>
    </row>
    <row r="2" customFormat="false" ht="18.75" hidden="false" customHeight="true" outlineLevel="0" collapsed="false">
      <c r="A2" s="222" t="n">
        <v>1</v>
      </c>
      <c r="B2" s="223" t="s">
        <v>218</v>
      </c>
      <c r="C2" s="224"/>
      <c r="E2" s="225" t="n">
        <f aca="false" t="array" ref="E2:E2">INDEX($A:$A,ROW(A1)*2)</f>
        <v>1</v>
      </c>
      <c r="F2" s="205" t="str">
        <f aca="false" t="array" ref="F2:F2">INDEX($B:$B,ROW(A1)*2)&amp;INDEX($B:$B,ROW(A1)*2+1)</f>
        <v>3送会準備・リハ②</v>
      </c>
      <c r="G2" s="205" t="str">
        <f aca="false" t="array" ref="G2:G2">INDEX($C:$C,ROW(B1)*2)&amp;INDEX($C:$C,ROW(B1)*2+1)</f>
        <v/>
      </c>
      <c r="H2" s="205" t="str">
        <f aca="false">IF(OR(F2="",G2="",TRIM(H1)=""),F2&amp;G2,F2&amp;"・"&amp;G2)</f>
        <v>3送会準備・リハ②</v>
      </c>
    </row>
    <row r="3" customFormat="false" ht="18.75" hidden="false" customHeight="true" outlineLevel="0" collapsed="false">
      <c r="A3" s="226" t="s">
        <v>3</v>
      </c>
      <c r="B3" s="227"/>
      <c r="C3" s="228"/>
      <c r="E3" s="225" t="n">
        <f aca="false" t="array" ref="E3:E3">INDEX($A:$A,ROW(A1)*2+2)</f>
        <v>2</v>
      </c>
      <c r="F3" s="205" t="str">
        <f aca="false" t="array" ref="F3:F3">INDEX($B:$B,ROW(A2)*2)&amp;" "&amp;INDEX($B:$B,ROW(A2)*2+1)</f>
        <v>3年生を送る会 </v>
      </c>
      <c r="G3" s="205" t="str">
        <f aca="false" t="array" ref="G3:G3">INDEX($C:$C,ROW(B2)*2)&amp;INDEX($C:$C,ROW(B2)*2+1)</f>
        <v/>
      </c>
      <c r="H3" s="205" t="str">
        <f aca="false">IF(OR(F3="",G3="",TRIM(H2)=""),F3&amp;G3,F3&amp;"・"&amp;G3)</f>
        <v>3年生を送る会 </v>
      </c>
    </row>
    <row r="4" customFormat="false" ht="18.75" hidden="false" customHeight="true" outlineLevel="0" collapsed="false">
      <c r="A4" s="229" t="n">
        <v>2</v>
      </c>
      <c r="B4" s="230" t="s">
        <v>219</v>
      </c>
      <c r="C4" s="231"/>
      <c r="E4" s="225" t="n">
        <f aca="false" t="array" ref="E4:E4">INDEX($A:$A,ROW(A2)*2+2)</f>
        <v>3</v>
      </c>
      <c r="F4" s="205" t="str">
        <f aca="false" t="array" ref="F4:F4">INDEX($B:$B,ROW(A3)*2)&amp;" "&amp;INDEX($B:$B,ROW(A3)*2+1)</f>
        <v> </v>
      </c>
      <c r="G4" s="205" t="str">
        <f aca="false" t="array" ref="G4:G4">INDEX($C:$C,ROW(B3)*2)&amp;INDEX($C:$C,ROW(B3)*2+1)</f>
        <v/>
      </c>
      <c r="H4" s="205" t="str">
        <f aca="false">IF(OR(F4="",G4="",TRIM(H3)=""),F4&amp;G4,F4&amp;"・"&amp;G4)</f>
        <v> </v>
      </c>
    </row>
    <row r="5" customFormat="false" ht="18.75" hidden="false" customHeight="true" outlineLevel="0" collapsed="false">
      <c r="A5" s="226" t="s">
        <v>14</v>
      </c>
      <c r="B5" s="230"/>
      <c r="C5" s="232"/>
      <c r="E5" s="225" t="n">
        <f aca="false" t="array" ref="E5:E5">INDEX($A:$A,ROW(A3)*2+2)</f>
        <v>4</v>
      </c>
      <c r="F5" s="205" t="str">
        <f aca="false" t="array" ref="F5:F5">INDEX($B:$B,ROW(A4)*2)&amp;" "&amp;INDEX($B:$B,ROW(A4)*2+1)</f>
        <v>卒業式準備 </v>
      </c>
      <c r="G5" s="205" t="str">
        <f aca="false" t="array" ref="G5:G5">INDEX($C:$C,ROW(B4)*2)&amp;INDEX($C:$C,ROW(B4)*2+1)</f>
        <v/>
      </c>
      <c r="H5" s="205" t="str">
        <f aca="false">IF(OR(F5="",G5="",TRIM(H4)=""),F5&amp;G5,F5&amp;"・"&amp;G5)</f>
        <v>卒業式準備 </v>
      </c>
    </row>
    <row r="6" customFormat="false" ht="18.75" hidden="false" customHeight="true" outlineLevel="0" collapsed="false">
      <c r="A6" s="229" t="n">
        <v>3</v>
      </c>
      <c r="B6" s="233"/>
      <c r="C6" s="228"/>
      <c r="E6" s="225" t="n">
        <f aca="false" t="array" ref="E6:E6">INDEX($A:$A,ROW(A4)*2+2)</f>
        <v>5</v>
      </c>
      <c r="F6" s="205" t="str">
        <f aca="false" t="array" ref="F6:F6">INDEX($B:$B,ROW(A5)*2)&amp;" "&amp;INDEX($B:$B,ROW(A5)*2+1)</f>
        <v>卒業式 </v>
      </c>
      <c r="G6" s="205" t="str">
        <f aca="false" t="array" ref="G6:G6">INDEX($C:$C,ROW(B5)*2)&amp;INDEX($C:$C,ROW(B5)*2+1)</f>
        <v>定1･2年成績一覧表提出</v>
      </c>
      <c r="H6" s="205" t="str">
        <f aca="false">IF(OR(F6="",G6="",TRIM(H5)=""),F6&amp;G6,F6&amp;"・"&amp;G6)</f>
        <v>卒業式 ・定1･2年成績一覧表提出</v>
      </c>
    </row>
    <row r="7" customFormat="false" ht="18.75" hidden="false" customHeight="true" outlineLevel="0" collapsed="false">
      <c r="A7" s="226" t="s">
        <v>17</v>
      </c>
      <c r="B7" s="227"/>
      <c r="C7" s="228"/>
      <c r="E7" s="225" t="n">
        <f aca="false" t="array" ref="E7:E7">INDEX($A:$A,ROW(A5)*2+2)</f>
        <v>6</v>
      </c>
      <c r="F7" s="205" t="str">
        <f aca="false" t="array" ref="F7:F7">INDEX($B:$B,ROW(A6)*2)&amp;" "&amp;INDEX($B:$B,ROW(A6)*2+1)</f>
        <v> </v>
      </c>
      <c r="G7" s="205" t="str">
        <f aca="false" t="array" ref="G7:G7">INDEX($C:$C,ROW(B6)*2)&amp;INDEX($C:$C,ROW(B6)*2+1)</f>
        <v/>
      </c>
      <c r="H7" s="205" t="str">
        <f aca="false">IF(OR(F7="",G7="",TRIM(H6)=""),F7&amp;G7,F7&amp;"・"&amp;G7)</f>
        <v> </v>
      </c>
    </row>
    <row r="8" customFormat="false" ht="18.75" hidden="false" customHeight="true" outlineLevel="0" collapsed="false">
      <c r="A8" s="229" t="n">
        <v>4</v>
      </c>
      <c r="B8" s="234" t="s">
        <v>220</v>
      </c>
      <c r="C8" s="235"/>
      <c r="E8" s="225" t="n">
        <f aca="false" t="array" ref="E8:E8">INDEX($A:$A,ROW(A6)*2+2)</f>
        <v>7</v>
      </c>
      <c r="F8" s="205" t="str">
        <f aca="false" t="array" ref="F8:F8">INDEX($B:$B,ROW(A7)*2)&amp;" "&amp;INDEX($B:$B,ROW(A7)*2+1)</f>
        <v> </v>
      </c>
      <c r="G8" s="205" t="str">
        <f aca="false" t="array" ref="G8:G8">INDEX($C:$C,ROW(B7)*2)&amp;INDEX($C:$C,ROW(B7)*2+1)</f>
        <v/>
      </c>
      <c r="H8" s="205" t="str">
        <f aca="false">IF(OR(F8="",G8="",TRIM(H7)=""),F8&amp;G8,F8&amp;"・"&amp;G8)</f>
        <v> </v>
      </c>
    </row>
    <row r="9" customFormat="false" ht="18.75" hidden="false" customHeight="true" outlineLevel="0" collapsed="false">
      <c r="A9" s="226" t="s">
        <v>6</v>
      </c>
      <c r="B9" s="230"/>
      <c r="C9" s="228"/>
      <c r="E9" s="225" t="n">
        <f aca="false" t="array" ref="E9:E9">INDEX($A:$A,ROW(A7)*2+2)</f>
        <v>8</v>
      </c>
      <c r="F9" s="205" t="str">
        <f aca="false" t="array" ref="F9:F9">INDEX($B:$B,ROW(A8)*2)&amp;" "&amp;INDEX($B:$B,ROW(A8)*2+1)</f>
        <v> 【公立一般合格発表】</v>
      </c>
      <c r="G9" s="205" t="str">
        <f aca="false" t="array" ref="G9:G9">INDEX($C:$C,ROW(B8)*2)&amp;INDEX($C:$C,ROW(B8)*2+1)</f>
        <v>進認職11</v>
      </c>
      <c r="H9" s="205" t="str">
        <f aca="false">IF(OR(F9="",G9="",TRIM(H8)=""),F9&amp;G9,F9&amp;"・"&amp;G9)</f>
        <v> 【公立一般合格発表】進認職11</v>
      </c>
    </row>
    <row r="10" customFormat="false" ht="18.75" hidden="false" customHeight="true" outlineLevel="0" collapsed="false">
      <c r="A10" s="229" t="n">
        <v>5</v>
      </c>
      <c r="B10" s="236" t="s">
        <v>221</v>
      </c>
      <c r="C10" s="237" t="s">
        <v>222</v>
      </c>
      <c r="E10" s="225" t="n">
        <f aca="false" t="array" ref="E10:E10">INDEX($A:$A,ROW(A8)*2+2)</f>
        <v>9</v>
      </c>
      <c r="F10" s="205" t="str">
        <f aca="false" t="array" ref="F10:F10">INDEX($B:$B,ROW(A9)*2)&amp;" "&amp;INDEX($B:$B,ROW(A9)*2+1)</f>
        <v>選挙管理委員会
　　　▼小中連絡会(汐路) 1･2年通知表（本）提出</v>
      </c>
      <c r="G10" s="205" t="str">
        <f aca="false" t="array" ref="G10:G10">INDEX($C:$C,ROW(B9)*2)&amp;INDEX($C:$C,ROW(B9)*2+1)</f>
        <v/>
      </c>
      <c r="H10" s="238" t="str">
        <f aca="false">IF(OR(F10="",G10="",TRIM(H9)=""),F10&amp;G10,F10&amp;"・"&amp;G10)</f>
        <v>選挙管理委員会
　　　▼小中連絡会(汐路) 1･2年通知表（本）提出</v>
      </c>
    </row>
    <row r="11" customFormat="false" ht="18.75" hidden="false" customHeight="true" outlineLevel="0" collapsed="false">
      <c r="A11" s="226" t="s">
        <v>8</v>
      </c>
      <c r="B11" s="227"/>
      <c r="C11" s="239" t="s">
        <v>223</v>
      </c>
      <c r="E11" s="225" t="n">
        <f aca="false" t="array" ref="E11:E11">INDEX($A:$A,ROW(A9)*2+2)</f>
        <v>10</v>
      </c>
      <c r="F11" s="205" t="str">
        <f aca="false" t="array" ref="F11:F11">INDEX($B:$B,ROW(A10)*2)&amp;" "&amp;INDEX($B:$B,ROW(A10)*2+1)</f>
        <v> </v>
      </c>
      <c r="G11" s="205" t="str">
        <f aca="false" t="array" ref="G11:G11">INDEX($C:$C,ROW(B10)*2)&amp;INDEX($C:$C,ROW(B10)*2+1)</f>
        <v>▼小中連絡会(陽明)</v>
      </c>
      <c r="H11" s="205" t="str">
        <f aca="false">IF(OR(F11="",G11="",TRIM(H10)=""),F11&amp;G11,F11&amp;"・"&amp;G11)</f>
        <v> ・▼小中連絡会(陽明)</v>
      </c>
    </row>
    <row r="12" customFormat="false" ht="18.75" hidden="false" customHeight="true" outlineLevel="0" collapsed="false">
      <c r="A12" s="240" t="n">
        <v>6</v>
      </c>
      <c r="B12" s="241"/>
      <c r="C12" s="242"/>
      <c r="E12" s="225" t="n">
        <f aca="false" t="array" ref="E12:E12">INDEX($A:$A,ROW(A10)*2+2)</f>
        <v>11</v>
      </c>
      <c r="F12" s="205" t="str">
        <f aca="false" t="array" ref="F12:F12">INDEX($B:$B,ROW(A11)*2)&amp;" "&amp;INDEX($B:$B,ROW(A11)*2+1)</f>
        <v>学年保護者会(2年) 立候補者連絡会</v>
      </c>
      <c r="G12" s="205" t="str">
        <f aca="false" t="array" ref="G12:G12">INDEX($C:$C,ROW(B11)*2)&amp;INDEX($C:$C,ROW(B11)*2+1)</f>
        <v>委</v>
      </c>
      <c r="H12" s="205" t="str">
        <f aca="false">IF(OR(F12="",G12="",TRIM(H11)=""),F12&amp;G12,F12&amp;"・"&amp;G12)</f>
        <v>学年保護者会(2年) 立候補者連絡会・委</v>
      </c>
    </row>
    <row r="13" customFormat="false" ht="18.75" hidden="false" customHeight="true" outlineLevel="0" collapsed="false">
      <c r="A13" s="243" t="s">
        <v>10</v>
      </c>
      <c r="B13" s="244"/>
      <c r="C13" s="245"/>
      <c r="E13" s="225" t="n">
        <f aca="false" t="array" ref="E13:E13">INDEX($A:$A,ROW(A11)*2+2)</f>
        <v>12</v>
      </c>
      <c r="F13" s="205" t="str">
        <f aca="false" t="array" ref="F13:F13">INDEX($B:$B,ROW(A12)*2)&amp;" "&amp;INDEX($B:$B,ROW(A12)*2+1)</f>
        <v> </v>
      </c>
      <c r="G13" s="205" t="str">
        <f aca="false" t="array" ref="G13:G13">INDEX($C:$C,ROW(B12)*2)&amp;INDEX($C:$C,ROW(B12)*2+1)</f>
        <v>編1</v>
      </c>
      <c r="H13" s="205" t="str">
        <f aca="false">IF(OR(F13="",G13="",TRIM(H12)=""),F13&amp;G13,F13&amp;"・"&amp;G13)</f>
        <v> ・編1</v>
      </c>
    </row>
    <row r="14" customFormat="false" ht="18.75" hidden="false" customHeight="true" outlineLevel="0" collapsed="false">
      <c r="A14" s="240" t="n">
        <v>7</v>
      </c>
      <c r="B14" s="246"/>
      <c r="C14" s="242"/>
      <c r="E14" s="225" t="n">
        <f aca="false" t="array" ref="E14:E14">INDEX($A:$A,ROW(A12)*2+2)</f>
        <v>13</v>
      </c>
      <c r="F14" s="205" t="str">
        <f aca="false" t="array" ref="F14:F14">INDEX($B:$B,ROW(A13)*2)&amp;" "&amp;INDEX($B:$B,ROW(A13)*2+1)</f>
        <v> </v>
      </c>
      <c r="G14" s="205" t="str">
        <f aca="false" t="array" ref="G14:G14">INDEX($C:$C,ROW(B13)*2)&amp;INDEX($C:$C,ROW(B13)*2+1)</f>
        <v/>
      </c>
      <c r="H14" s="205" t="str">
        <f aca="false">IF(OR(F14="",G14="",TRIM(H13)=""),F14&amp;G14,F14&amp;"・"&amp;G14)</f>
        <v> </v>
      </c>
    </row>
    <row r="15" customFormat="false" ht="18.75" hidden="false" customHeight="true" outlineLevel="0" collapsed="false">
      <c r="A15" s="243" t="s">
        <v>4</v>
      </c>
      <c r="B15" s="247"/>
      <c r="C15" s="245"/>
      <c r="E15" s="225" t="n">
        <f aca="false" t="array" ref="E15:E15">INDEX($A:$A,ROW(A13)*2+2)</f>
        <v>14</v>
      </c>
      <c r="F15" s="205" t="str">
        <f aca="false" t="array" ref="F15:F15">INDEX($B:$B,ROW(A14)*2)&amp;" "&amp;INDEX($B:$B,ROW(A14)*2+1)</f>
        <v>ノー部活デー </v>
      </c>
      <c r="G15" s="205" t="str">
        <f aca="false" t="array" ref="G15:G15">INDEX($C:$C,ROW(B14)*2)&amp;INDEX($C:$C,ROW(B14)*2+1)</f>
        <v/>
      </c>
      <c r="H15" s="205" t="str">
        <f aca="false">IF(OR(F15="",G15="",TRIM(H14)=""),F15&amp;G15,F15&amp;"・"&amp;G15)</f>
        <v>ノー部活デー </v>
      </c>
    </row>
    <row r="16" customFormat="false" ht="18.75" hidden="false" customHeight="true" outlineLevel="0" collapsed="false">
      <c r="A16" s="229" t="n">
        <v>8</v>
      </c>
      <c r="B16" s="236"/>
      <c r="C16" s="237" t="s">
        <v>224</v>
      </c>
      <c r="E16" s="225" t="n">
        <f aca="false" t="array" ref="E16:E16">INDEX($A:$A,ROW(A14)*2+2)</f>
        <v>15</v>
      </c>
      <c r="F16" s="205" t="str">
        <f aca="false" t="array" ref="F16:F16">INDEX($B:$B,ROW(A15)*2)&amp;" "&amp;INDEX($B:$B,ROW(A15)*2+1)</f>
        <v>立会演説会・選管 </v>
      </c>
      <c r="G16" s="205" t="str">
        <f aca="false" t="array" ref="G16:G16">INDEX($C:$C,ROW(B15)*2)&amp;INDEX($C:$C,ROW(B15)*2+1)</f>
        <v>1･2年通知表（本）提出</v>
      </c>
      <c r="H16" s="205" t="str">
        <f aca="false">IF(OR(F16="",G16="",TRIM(H15)=""),F16&amp;G16,F16&amp;"・"&amp;G16)</f>
        <v>立会演説会・選管 ・1･2年通知表（本）提出</v>
      </c>
    </row>
    <row r="17" customFormat="false" ht="18.75" hidden="false" customHeight="true" outlineLevel="0" collapsed="false">
      <c r="A17" s="226" t="s">
        <v>3</v>
      </c>
      <c r="B17" s="248" t="s">
        <v>225</v>
      </c>
      <c r="C17" s="249" t="s">
        <v>226</v>
      </c>
      <c r="E17" s="225" t="n">
        <f aca="false" t="array" ref="E17:E17">INDEX($A:$A,ROW(A15)*2+2)</f>
        <v>16</v>
      </c>
      <c r="F17" s="205" t="str">
        <f aca="false" t="array" ref="F17:F17">INDEX($B:$B,ROW(A16)*2)&amp;" "&amp;INDEX($B:$B,ROW(A16)*2+1)</f>
        <v>R7生徒会オリ(リハ) 【全日制･定時制２次選抜】</v>
      </c>
      <c r="G17" s="205" t="str">
        <f aca="false" t="array" ref="G17:G17">INDEX($C:$C,ROW(B16)*2)&amp;INDEX($C:$C,ROW(B16)*2+1)</f>
        <v/>
      </c>
      <c r="H17" s="205" t="str">
        <f aca="false">IF(OR(F17="",G17="",TRIM(H16)=""),F17&amp;G17,F17&amp;"・"&amp;G17)</f>
        <v>R7生徒会オリ(リハ) 【全日制･定時制２次選抜】</v>
      </c>
    </row>
    <row r="18" customFormat="false" ht="18.75" hidden="false" customHeight="true" outlineLevel="0" collapsed="false">
      <c r="A18" s="229" t="n">
        <v>9</v>
      </c>
      <c r="B18" s="250" t="s">
        <v>227</v>
      </c>
      <c r="C18" s="250"/>
      <c r="E18" s="225" t="n">
        <f aca="false" t="array" ref="E18:E18">INDEX($A:$A,ROW(A16)*2+2)</f>
        <v>17</v>
      </c>
      <c r="F18" s="205" t="str">
        <f aca="false" t="array" ref="F18:F18">INDEX($B:$B,ROW(A17)*2)&amp;" "&amp;INDEX($B:$B,ROW(A17)*2+1)</f>
        <v> 【全日制･定時制２次合格発表】</v>
      </c>
      <c r="G18" s="205" t="str">
        <f aca="false" t="array" ref="G18:G18">INDEX($C:$C,ROW(B17)*2)&amp;INDEX($C:$C,ROW(B17)*2+1)</f>
        <v/>
      </c>
      <c r="H18" s="205" t="str">
        <f aca="false">IF(OR(F18="",G18="",TRIM(H17)=""),F18&amp;G18,F18&amp;"・"&amp;G18)</f>
        <v> 【全日制･定時制２次合格発表】</v>
      </c>
    </row>
    <row r="19" customFormat="false" ht="18.75" hidden="false" customHeight="true" outlineLevel="0" collapsed="false">
      <c r="A19" s="226" t="s">
        <v>14</v>
      </c>
      <c r="B19" s="251" t="s">
        <v>228</v>
      </c>
      <c r="C19" s="251"/>
      <c r="E19" s="225" t="n">
        <f aca="false" t="array" ref="E19:E19">INDEX($A:$A,ROW(A17)*2+2)</f>
        <v>18</v>
      </c>
      <c r="F19" s="205" t="str">
        <f aca="false" t="array" ref="F19:F19">INDEX($B:$B,ROW(A18)*2)&amp;" "&amp;INDEX($B:$B,ROW(A18)*2+1)</f>
        <v> (小学校卒業式)</v>
      </c>
      <c r="G19" s="205" t="str">
        <f aca="false" t="array" ref="G19:G19">INDEX($C:$C,ROW(B18)*2)&amp;INDEX($C:$C,ROW(B18)*2+1)</f>
        <v>編2</v>
      </c>
      <c r="H19" s="205" t="str">
        <f aca="false">IF(OR(F19="",G19="",TRIM(H18)=""),F19&amp;G19,F19&amp;"・"&amp;G19)</f>
        <v> (小学校卒業式)・編2</v>
      </c>
    </row>
    <row r="20" customFormat="false" ht="18.75" hidden="false" customHeight="true" outlineLevel="0" collapsed="false">
      <c r="A20" s="229" t="n">
        <v>10</v>
      </c>
      <c r="B20" s="252"/>
      <c r="C20" s="253"/>
      <c r="E20" s="225" t="n">
        <f aca="false" t="array" ref="E20:E20">INDEX($A:$A,ROW(A18)*2+2)</f>
        <v>19</v>
      </c>
      <c r="F20" s="205" t="str">
        <f aca="false" t="array" ref="F20:F20">INDEX($B:$B,ROW(A19)*2)&amp;" "&amp;INDEX($B:$B,ROW(A19)*2+1)</f>
        <v> </v>
      </c>
      <c r="G20" s="205" t="str">
        <f aca="false" t="array" ref="G20:G20">INDEX($C:$C,ROW(B19)*2)&amp;INDEX($C:$C,ROW(B19)*2+1)</f>
        <v>採</v>
      </c>
      <c r="H20" s="205" t="str">
        <f aca="false">IF(OR(F20="",G20="",TRIM(H19)=""),F20&amp;G20,F20&amp;"・"&amp;G20)</f>
        <v> ・採</v>
      </c>
    </row>
    <row r="21" customFormat="false" ht="18.75" hidden="false" customHeight="true" outlineLevel="0" collapsed="false">
      <c r="A21" s="226" t="s">
        <v>17</v>
      </c>
      <c r="B21" s="254"/>
      <c r="C21" s="255" t="s">
        <v>229</v>
      </c>
      <c r="E21" s="225" t="n">
        <f aca="false" t="array" ref="E21:E21">INDEX($A:$A,ROW(A19)*2+2)</f>
        <v>20</v>
      </c>
      <c r="F21" s="205" t="str">
        <f aca="false" t="array" ref="F21:F21">INDEX($B:$B,ROW(A20)*2)&amp;" "&amp;INDEX($B:$B,ROW(A20)*2+1)</f>
        <v> </v>
      </c>
      <c r="G21" s="205" t="str">
        <f aca="false" t="array" ref="G21:G21">INDEX($C:$C,ROW(B20)*2)&amp;INDEX($C:$C,ROW(B20)*2+1)</f>
        <v/>
      </c>
      <c r="H21" s="205" t="str">
        <f aca="false">IF(OR(F21="",G21="",TRIM(H20)=""),F21&amp;G21,F21&amp;"・"&amp;G21)</f>
        <v> </v>
      </c>
    </row>
    <row r="22" customFormat="false" ht="18.75" hidden="false" customHeight="true" outlineLevel="0" collapsed="false">
      <c r="A22" s="229" t="n">
        <v>11</v>
      </c>
      <c r="B22" s="256" t="s">
        <v>230</v>
      </c>
      <c r="C22" s="257"/>
      <c r="E22" s="225" t="n">
        <f aca="false" t="array" ref="E22:E22">INDEX($A:$A,ROW(A20)*2+2)</f>
        <v>21</v>
      </c>
      <c r="F22" s="205" t="str">
        <f aca="false" t="array" ref="F22:F22">INDEX($B:$B,ROW(A21)*2)&amp;" "&amp;INDEX($B:$B,ROW(A21)*2+1)</f>
        <v>春分の日 </v>
      </c>
      <c r="G22" s="205" t="str">
        <f aca="false" t="array" ref="G22:G22">INDEX($C:$C,ROW(B21)*2)&amp;INDEX($C:$C,ROW(B21)*2+1)</f>
        <v/>
      </c>
      <c r="H22" s="205" t="str">
        <f aca="false">IF(OR(F22="",G22="",TRIM(H21)=""),F22&amp;G22,F22&amp;"・"&amp;G22)</f>
        <v>春分の日 </v>
      </c>
    </row>
    <row r="23" customFormat="false" ht="18.75" hidden="false" customHeight="true" outlineLevel="0" collapsed="false">
      <c r="A23" s="226" t="s">
        <v>6</v>
      </c>
      <c r="B23" s="258" t="s">
        <v>231</v>
      </c>
      <c r="C23" s="249" t="s">
        <v>232</v>
      </c>
      <c r="E23" s="225" t="n">
        <f aca="false" t="array" ref="E23:E23">INDEX($A:$A,ROW(A21)*2+2)</f>
        <v>22</v>
      </c>
      <c r="F23" s="205" t="str">
        <f aca="false" t="array" ref="F23:F23">INDEX($B:$B,ROW(A22)*2)&amp;" "&amp;INDEX($B:$B,ROW(A22)*2+1)</f>
        <v>日曜日祝日による休業日 </v>
      </c>
      <c r="G23" s="205" t="str">
        <f aca="false" t="array" ref="G23:G23">INDEX($C:$C,ROW(B22)*2)&amp;INDEX($C:$C,ROW(B22)*2+1)</f>
        <v/>
      </c>
      <c r="H23" s="205" t="str">
        <f aca="false">IF(OR(F23="",G23="",TRIM(H22)=""),F23&amp;G23,F23&amp;"・"&amp;G23)</f>
        <v>日曜日祝日による休業日 </v>
      </c>
    </row>
    <row r="24" customFormat="false" ht="18.75" hidden="false" customHeight="true" outlineLevel="0" collapsed="false">
      <c r="A24" s="229" t="n">
        <v>12</v>
      </c>
      <c r="B24" s="259"/>
      <c r="C24" s="260" t="s">
        <v>233</v>
      </c>
      <c r="E24" s="225" t="n">
        <f aca="false" t="array" ref="E24:E24">INDEX($A:$A,ROW(A22)*2+2)</f>
        <v>23</v>
      </c>
      <c r="F24" s="205" t="str">
        <f aca="false" t="array" ref="F24:F24">INDEX($B:$B,ROW(A23)*2)&amp;" "&amp;INDEX($B:$B,ROW(A23)*2+1)</f>
        <v>大掃除 【通信制後期入試】</v>
      </c>
      <c r="G24" s="205" t="str">
        <f aca="false" t="array" ref="G24:G24">INDEX($C:$C,ROW(B23)*2)&amp;INDEX($C:$C,ROW(B23)*2+1)</f>
        <v/>
      </c>
      <c r="H24" s="205" t="str">
        <f aca="false">IF(OR(F24="",G24="",TRIM(H23)=""),F24&amp;G24,F24&amp;"・"&amp;G24)</f>
        <v>大掃除 【通信制後期入試】</v>
      </c>
    </row>
    <row r="25" customFormat="false" ht="18.75" hidden="false" customHeight="true" outlineLevel="0" collapsed="false">
      <c r="A25" s="226" t="s">
        <v>8</v>
      </c>
      <c r="B25" s="261"/>
      <c r="C25" s="228"/>
      <c r="E25" s="225" t="n">
        <f aca="false" t="array" ref="E25:E25">INDEX($A:$A,ROW(A23)*2+2)</f>
        <v>24</v>
      </c>
      <c r="F25" s="205" t="str">
        <f aca="false" t="array" ref="F25:F25">INDEX($B:$B,ROW(A24)*2)&amp;" "&amp;INDEX($B:$B,ROW(A24)*2+1)</f>
        <v>修了式・離任式 【通信制後期合格発表】</v>
      </c>
      <c r="G25" s="205" t="str">
        <f aca="false" t="array" ref="G25:G25">INDEX($C:$C,ROW(B24)*2)&amp;INDEX($C:$C,ROW(B24)*2+1)</f>
        <v/>
      </c>
      <c r="H25" s="205" t="str">
        <f aca="false">IF(OR(F25="",G25="",TRIM(H24)=""),F25&amp;G25,F25&amp;"・"&amp;G25)</f>
        <v>修了式・離任式 【通信制後期合格発表】</v>
      </c>
    </row>
    <row r="26" customFormat="false" ht="18.75" hidden="false" customHeight="true" outlineLevel="0" collapsed="false">
      <c r="A26" s="240" t="n">
        <v>13</v>
      </c>
      <c r="B26" s="262"/>
      <c r="C26" s="263"/>
      <c r="E26" s="225" t="n">
        <f aca="false" t="array" ref="E26:E26">INDEX($A:$A,ROW(A24)*2+2)</f>
        <v>25</v>
      </c>
      <c r="F26" s="205" t="str">
        <f aca="false" t="array" ref="F26:F26">INDEX($B:$B,ROW(A25)*2)&amp;" "&amp;INDEX($B:$B,ROW(A25)*2+1)</f>
        <v>学年末休業開始 </v>
      </c>
      <c r="G26" s="205" t="str">
        <f aca="false" t="array" ref="G26:G26">INDEX($C:$C,ROW(B25)*2)&amp;INDEX($C:$C,ROW(B25)*2+1)</f>
        <v/>
      </c>
      <c r="H26" s="205" t="str">
        <f aca="false">IF(OR(F26="",G26="",TRIM(H25)=""),F26&amp;G26,F26&amp;"・"&amp;G26)</f>
        <v>学年末休業開始 </v>
      </c>
    </row>
    <row r="27" customFormat="false" ht="18.75" hidden="false" customHeight="true" outlineLevel="0" collapsed="false">
      <c r="A27" s="243" t="s">
        <v>10</v>
      </c>
      <c r="B27" s="247"/>
      <c r="C27" s="245"/>
      <c r="E27" s="225" t="n">
        <f aca="false" t="array" ref="E27:E27">INDEX($A:$A,ROW(A25)*2+2)</f>
        <v>26</v>
      </c>
      <c r="F27" s="205" t="str">
        <f aca="false" t="array" ref="F27:F27">INDEX($B:$B,ROW(A26)*2)&amp;" "&amp;INDEX($B:$B,ROW(A26)*2+1)</f>
        <v> </v>
      </c>
      <c r="G27" s="205" t="str">
        <f aca="false" t="array" ref="G27:G27">INDEX($C:$C,ROW(B26)*2)&amp;INDEX($C:$C,ROW(B26)*2+1)</f>
        <v>旧運</v>
      </c>
      <c r="H27" s="205" t="str">
        <f aca="false">IF(OR(F27="",G27="",TRIM(H26)=""),F27&amp;G27,F27&amp;"・"&amp;G27)</f>
        <v> ・旧運</v>
      </c>
    </row>
    <row r="28" customFormat="false" ht="18.75" hidden="false" customHeight="true" outlineLevel="0" collapsed="false">
      <c r="A28" s="240" t="n">
        <v>14</v>
      </c>
      <c r="B28" s="264" t="s">
        <v>79</v>
      </c>
      <c r="C28" s="242"/>
      <c r="E28" s="225" t="n">
        <f aca="false" t="array" ref="E28:E28">INDEX($A:$A,ROW(A26)*2+2)</f>
        <v>27</v>
      </c>
      <c r="F28" s="205" t="str">
        <f aca="false" t="array" ref="F28:F28">INDEX($B:$B,ROW(A27)*2)&amp;" "&amp;INDEX($B:$B,ROW(A27)*2+1)</f>
        <v> </v>
      </c>
      <c r="G28" s="205" t="str">
        <f aca="false" t="array" ref="G28:G28">INDEX($C:$C,ROW(B27)*2)&amp;INDEX($C:$C,ROW(B27)*2+1)</f>
        <v/>
      </c>
      <c r="H28" s="205" t="str">
        <f aca="false">IF(OR(F28="",G28="",TRIM(H27)=""),F28&amp;G28,F28&amp;"・"&amp;G28)</f>
        <v> </v>
      </c>
    </row>
    <row r="29" customFormat="false" ht="18.75" hidden="false" customHeight="true" outlineLevel="0" collapsed="false">
      <c r="A29" s="243" t="s">
        <v>4</v>
      </c>
      <c r="B29" s="265"/>
      <c r="C29" s="245"/>
      <c r="E29" s="225" t="n">
        <f aca="false" t="array" ref="E29:E29">INDEX($A:$A,ROW(A27)*2+2)</f>
        <v>28</v>
      </c>
      <c r="F29" s="205" t="str">
        <f aca="false" t="array" ref="F29:F29">INDEX($B:$B,ROW(A28)*2)&amp;" "&amp;INDEX($B:$B,ROW(A28)*2+1)</f>
        <v> </v>
      </c>
      <c r="G29" s="205" t="str">
        <f aca="false" t="array" ref="G29:G29">INDEX($C:$C,ROW(B28)*2)&amp;INDEX($C:$C,ROW(B28)*2+1)</f>
        <v/>
      </c>
      <c r="H29" s="205" t="str">
        <f aca="false">IF(OR(F29="",G29="",TRIM(H28)=""),F29&amp;G29,F29&amp;"・"&amp;G29)</f>
        <v> </v>
      </c>
    </row>
    <row r="30" customFormat="false" ht="18.75" hidden="false" customHeight="true" outlineLevel="0" collapsed="false">
      <c r="A30" s="229" t="n">
        <v>15</v>
      </c>
      <c r="B30" s="256" t="s">
        <v>234</v>
      </c>
      <c r="C30" s="235"/>
      <c r="E30" s="225" t="n">
        <f aca="false" t="array" ref="E30:E30">INDEX($A:$A,ROW(A28)*2+2)</f>
        <v>29</v>
      </c>
      <c r="F30" s="205" t="str">
        <f aca="false" t="array" ref="F30:F30">INDEX($B:$B,ROW(A29)*2)&amp;" "&amp;INDEX($B:$B,ROW(A29)*2+1)</f>
        <v> </v>
      </c>
      <c r="G30" s="205" t="str">
        <f aca="false" t="array" ref="G30:G30">INDEX($C:$C,ROW(B29)*2)&amp;INDEX($C:$C,ROW(B29)*2+1)</f>
        <v/>
      </c>
      <c r="H30" s="205" t="str">
        <f aca="false">IF(OR(F30="",G30="",TRIM(H29)=""),F30&amp;G30,F30&amp;"・"&amp;G30)</f>
        <v> </v>
      </c>
    </row>
    <row r="31" customFormat="false" ht="18.75" hidden="false" customHeight="true" outlineLevel="0" collapsed="false">
      <c r="A31" s="226" t="s">
        <v>3</v>
      </c>
      <c r="B31" s="227"/>
      <c r="C31" s="266" t="s">
        <v>228</v>
      </c>
      <c r="E31" s="225" t="n">
        <f aca="false" t="array" ref="E31:E31">INDEX($A:$A,ROW(A29)*2+2)</f>
        <v>30</v>
      </c>
      <c r="F31" s="205" t="str">
        <f aca="false" t="array" ref="F31:F31">INDEX($B:$B,ROW(A30)*2)&amp;" "&amp;INDEX($B:$B,ROW(A30)*2+1)</f>
        <v> </v>
      </c>
      <c r="G31" s="205" t="str">
        <f aca="false" t="array" ref="G31:G31">INDEX($C:$C,ROW(B30)*2)&amp;INDEX($C:$C,ROW(B30)*2+1)</f>
        <v/>
      </c>
      <c r="H31" s="205" t="str">
        <f aca="false">IF(OR(F31="",G31="",TRIM(H30)=""),F31&amp;G31,F31&amp;"・"&amp;G31)</f>
        <v> </v>
      </c>
    </row>
    <row r="32" customFormat="false" ht="18.75" hidden="false" customHeight="true" outlineLevel="0" collapsed="false">
      <c r="A32" s="229" t="n">
        <v>16</v>
      </c>
      <c r="B32" s="267" t="s">
        <v>235</v>
      </c>
      <c r="C32" s="235"/>
      <c r="E32" s="225" t="n">
        <f aca="false" t="array" ref="E32:E32">INDEX($A:$A,ROW(A30)*2+2)</f>
        <v>31</v>
      </c>
      <c r="F32" s="205" t="str">
        <f aca="false" t="array" ref="F32:F32">INDEX($B:$B,ROW(A31)*2)&amp;" "&amp;INDEX($B:$B,ROW(A31)*2+1)</f>
        <v> </v>
      </c>
      <c r="G32" s="205" t="str">
        <f aca="false" t="array" ref="G32:G32">INDEX($C:$C,ROW(B31)*2)&amp;INDEX($C:$C,ROW(B31)*2+1)</f>
        <v/>
      </c>
      <c r="H32" s="205" t="str">
        <f aca="false">IF(OR(F32="",G32="",TRIM(H31)=""),F32&amp;G32,F32&amp;"・"&amp;G32)</f>
        <v> </v>
      </c>
    </row>
    <row r="33" customFormat="false" ht="18.75" hidden="false" customHeight="true" outlineLevel="0" collapsed="false">
      <c r="A33" s="226" t="s">
        <v>14</v>
      </c>
      <c r="B33" s="268" t="s">
        <v>236</v>
      </c>
      <c r="C33" s="268"/>
      <c r="E33" s="225"/>
      <c r="G33" s="205" t="str">
        <f aca="false" t="array" ref="G33:G33">INDEX($C:$C,ROW(B32)*2)&amp;INDEX($C:$C,ROW(B32)*2+1)</f>
        <v/>
      </c>
      <c r="H33" s="205" t="str">
        <f aca="false">IF(OR(F33="",G33="",TRIM(H32)=""),F33&amp;G33,F33&amp;"・"&amp;G33)</f>
        <v/>
      </c>
    </row>
    <row r="34" customFormat="false" ht="18.75" hidden="false" customHeight="true" outlineLevel="0" collapsed="false">
      <c r="A34" s="229" t="n">
        <v>17</v>
      </c>
      <c r="B34" s="259"/>
      <c r="C34" s="228"/>
      <c r="E34" s="225"/>
    </row>
    <row r="35" customFormat="false" ht="18.75" hidden="false" customHeight="true" outlineLevel="0" collapsed="false">
      <c r="A35" s="226" t="s">
        <v>17</v>
      </c>
      <c r="B35" s="268" t="s">
        <v>179</v>
      </c>
      <c r="C35" s="268"/>
      <c r="E35" s="225"/>
    </row>
    <row r="36" customFormat="false" ht="18.75" hidden="false" customHeight="true" outlineLevel="0" collapsed="false">
      <c r="A36" s="229" t="n">
        <v>18</v>
      </c>
      <c r="B36" s="269"/>
      <c r="C36" s="249" t="s">
        <v>237</v>
      </c>
      <c r="E36" s="225"/>
    </row>
    <row r="37" customFormat="false" ht="18.75" hidden="false" customHeight="true" outlineLevel="0" collapsed="false">
      <c r="A37" s="226" t="s">
        <v>6</v>
      </c>
      <c r="B37" s="230" t="s">
        <v>238</v>
      </c>
      <c r="C37" s="228"/>
      <c r="E37" s="225"/>
    </row>
    <row r="38" customFormat="false" ht="18.75" hidden="false" customHeight="true" outlineLevel="0" collapsed="false">
      <c r="A38" s="229" t="n">
        <v>19</v>
      </c>
      <c r="B38" s="269"/>
      <c r="C38" s="237" t="s">
        <v>239</v>
      </c>
      <c r="E38" s="225"/>
    </row>
    <row r="39" customFormat="false" ht="18.75" hidden="false" customHeight="true" outlineLevel="0" collapsed="false">
      <c r="A39" s="226" t="s">
        <v>8</v>
      </c>
      <c r="B39" s="268"/>
      <c r="C39" s="268"/>
      <c r="E39" s="225"/>
    </row>
    <row r="40" customFormat="false" ht="18.75" hidden="false" customHeight="true" outlineLevel="0" collapsed="false">
      <c r="A40" s="240" t="n">
        <v>20</v>
      </c>
      <c r="B40" s="246"/>
      <c r="C40" s="242"/>
      <c r="E40" s="225"/>
    </row>
    <row r="41" customFormat="false" ht="18.75" hidden="false" customHeight="true" outlineLevel="0" collapsed="false">
      <c r="A41" s="243" t="s">
        <v>10</v>
      </c>
      <c r="B41" s="247"/>
      <c r="C41" s="245"/>
      <c r="E41" s="225"/>
    </row>
    <row r="42" customFormat="false" ht="18.75" hidden="false" customHeight="true" outlineLevel="0" collapsed="false">
      <c r="A42" s="240" t="n">
        <v>21</v>
      </c>
      <c r="B42" s="270" t="s">
        <v>181</v>
      </c>
      <c r="C42" s="242"/>
      <c r="E42" s="225"/>
    </row>
    <row r="43" customFormat="false" ht="18.75" hidden="false" customHeight="true" outlineLevel="0" collapsed="false">
      <c r="A43" s="243" t="s">
        <v>4</v>
      </c>
      <c r="B43" s="265"/>
      <c r="C43" s="245"/>
      <c r="E43" s="225"/>
    </row>
    <row r="44" customFormat="false" ht="18.75" hidden="false" customHeight="true" outlineLevel="0" collapsed="false">
      <c r="A44" s="240" t="n">
        <v>22</v>
      </c>
      <c r="B44" s="271" t="s">
        <v>240</v>
      </c>
      <c r="C44" s="242"/>
      <c r="E44" s="225"/>
    </row>
    <row r="45" customFormat="false" ht="18.75" hidden="false" customHeight="true" outlineLevel="0" collapsed="false">
      <c r="A45" s="243" t="s">
        <v>3</v>
      </c>
      <c r="B45" s="265"/>
      <c r="C45" s="245"/>
      <c r="E45" s="225"/>
    </row>
    <row r="46" customFormat="false" ht="18.75" hidden="false" customHeight="true" outlineLevel="0" collapsed="false">
      <c r="A46" s="229" t="n">
        <v>23</v>
      </c>
      <c r="B46" s="272" t="s">
        <v>95</v>
      </c>
      <c r="C46" s="257"/>
      <c r="E46" s="225"/>
    </row>
    <row r="47" customFormat="false" ht="18.75" hidden="false" customHeight="true" outlineLevel="0" collapsed="false">
      <c r="A47" s="226" t="s">
        <v>14</v>
      </c>
      <c r="B47" s="273" t="s">
        <v>182</v>
      </c>
      <c r="C47" s="228"/>
      <c r="E47" s="225"/>
    </row>
    <row r="48" customFormat="false" ht="18.75" hidden="false" customHeight="true" outlineLevel="0" collapsed="false">
      <c r="A48" s="229" t="n">
        <v>24</v>
      </c>
      <c r="B48" s="236" t="s">
        <v>241</v>
      </c>
      <c r="C48" s="235"/>
      <c r="E48" s="225"/>
    </row>
    <row r="49" customFormat="false" ht="18.75" hidden="false" customHeight="true" outlineLevel="0" collapsed="false">
      <c r="A49" s="226" t="s">
        <v>17</v>
      </c>
      <c r="B49" s="273" t="s">
        <v>242</v>
      </c>
      <c r="C49" s="228"/>
      <c r="E49" s="225"/>
    </row>
    <row r="50" customFormat="false" ht="18.75" hidden="false" customHeight="true" outlineLevel="0" collapsed="false">
      <c r="A50" s="229" t="n">
        <v>25</v>
      </c>
      <c r="B50" s="236" t="s">
        <v>184</v>
      </c>
      <c r="C50" s="235"/>
      <c r="E50" s="225"/>
    </row>
    <row r="51" customFormat="false" ht="18.75" hidden="false" customHeight="true" outlineLevel="0" collapsed="false">
      <c r="A51" s="226" t="s">
        <v>6</v>
      </c>
      <c r="B51" s="230"/>
      <c r="C51" s="228"/>
      <c r="E51" s="225"/>
    </row>
    <row r="52" customFormat="false" ht="18.75" hidden="false" customHeight="true" outlineLevel="0" collapsed="false">
      <c r="A52" s="229" t="n">
        <v>26</v>
      </c>
      <c r="B52" s="236"/>
      <c r="C52" s="237" t="s">
        <v>243</v>
      </c>
      <c r="E52" s="225"/>
    </row>
    <row r="53" customFormat="false" ht="18.75" hidden="false" customHeight="true" outlineLevel="0" collapsed="false">
      <c r="A53" s="226" t="s">
        <v>8</v>
      </c>
      <c r="B53" s="274"/>
      <c r="C53" s="228"/>
      <c r="E53" s="225"/>
    </row>
    <row r="54" customFormat="false" ht="18.75" hidden="false" customHeight="true" outlineLevel="0" collapsed="false">
      <c r="A54" s="240" t="n">
        <v>27</v>
      </c>
      <c r="B54" s="246"/>
      <c r="C54" s="275"/>
      <c r="E54" s="225"/>
    </row>
    <row r="55" customFormat="false" ht="18.75" hidden="false" customHeight="true" outlineLevel="0" collapsed="false">
      <c r="A55" s="243" t="s">
        <v>10</v>
      </c>
      <c r="B55" s="247"/>
      <c r="C55" s="245"/>
      <c r="E55" s="225"/>
    </row>
    <row r="56" customFormat="false" ht="18.75" hidden="false" customHeight="true" outlineLevel="0" collapsed="false">
      <c r="A56" s="240" t="n">
        <v>28</v>
      </c>
      <c r="B56" s="246"/>
      <c r="C56" s="242"/>
      <c r="E56" s="225"/>
    </row>
    <row r="57" customFormat="false" ht="18.75" hidden="false" customHeight="true" outlineLevel="0" collapsed="false">
      <c r="A57" s="243" t="s">
        <v>4</v>
      </c>
      <c r="B57" s="247"/>
      <c r="C57" s="245"/>
      <c r="E57" s="225"/>
    </row>
    <row r="58" customFormat="false" ht="18.75" hidden="false" customHeight="true" outlineLevel="0" collapsed="false">
      <c r="A58" s="229" t="n">
        <v>29</v>
      </c>
      <c r="B58" s="236"/>
      <c r="C58" s="235"/>
      <c r="F58" s="205" t="str">
        <f aca="false" t="array" ref="F58:F58">INDEX($B:$B,ROW(A57)*2)&amp;" "&amp;INDEX($B:$B,ROW(A57)*2+1)</f>
        <v> </v>
      </c>
    </row>
    <row r="59" customFormat="false" ht="18.75" hidden="false" customHeight="true" outlineLevel="0" collapsed="false">
      <c r="A59" s="226" t="s">
        <v>3</v>
      </c>
      <c r="B59" s="274"/>
      <c r="C59" s="228"/>
      <c r="F59" s="205" t="str">
        <f aca="false" t="array" ref="F59:F59">INDEX($B:$B,ROW(A58)*2)&amp;" "&amp;INDEX($B:$B,ROW(A58)*2+1)</f>
        <v> </v>
      </c>
    </row>
    <row r="60" customFormat="false" ht="18.75" hidden="false" customHeight="true" outlineLevel="0" collapsed="false">
      <c r="A60" s="229" t="n">
        <v>30</v>
      </c>
      <c r="B60" s="259"/>
      <c r="C60" s="276"/>
      <c r="F60" s="205" t="str">
        <f aca="false" t="array" ref="F60:F60">INDEX($B:$B,ROW(A59)*2)&amp;" "&amp;INDEX($B:$B,ROW(A59)*2+1)</f>
        <v> </v>
      </c>
    </row>
    <row r="61" customFormat="false" ht="18.75" hidden="false" customHeight="true" outlineLevel="0" collapsed="false">
      <c r="A61" s="226" t="s">
        <v>14</v>
      </c>
      <c r="B61" s="277"/>
      <c r="C61" s="232"/>
      <c r="F61" s="205" t="str">
        <f aca="false" t="array" ref="F61:F61">INDEX($B:$B,ROW(A60)*2)&amp;" "&amp;INDEX($B:$B,ROW(A60)*2+1)</f>
        <v> </v>
      </c>
    </row>
    <row r="62" customFormat="false" ht="18.75" hidden="false" customHeight="true" outlineLevel="0" collapsed="false">
      <c r="A62" s="229" t="n">
        <v>31</v>
      </c>
      <c r="B62" s="278"/>
      <c r="C62" s="228"/>
      <c r="F62" s="205" t="str">
        <f aca="false" t="array" ref="F62:F62">INDEX($B:$B,ROW(A61)*2)&amp;" "&amp;INDEX($B:$B,ROW(A61)*2+1)</f>
        <v> </v>
      </c>
    </row>
    <row r="63" customFormat="false" ht="18.75" hidden="false" customHeight="true" outlineLevel="0" collapsed="false">
      <c r="A63" s="279" t="s">
        <v>17</v>
      </c>
      <c r="B63" s="280"/>
      <c r="C63" s="281"/>
      <c r="F63" s="205" t="str">
        <f aca="false" t="array" ref="F63:F63">INDEX($B:$B,ROW(A62)*2)&amp;" "&amp;INDEX($B:$B,ROW(A62)*2+1)</f>
        <v> </v>
      </c>
    </row>
  </sheetData>
  <mergeCells count="5">
    <mergeCell ref="B18:C18"/>
    <mergeCell ref="B19:C19"/>
    <mergeCell ref="B33:C33"/>
    <mergeCell ref="B35:C35"/>
    <mergeCell ref="B39:C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2020-05-07T06:53:50Z</dcterms:created>
  <dc:creator>Administrator</dc:creator>
  <dc:description/>
  <dc:language>en-US</dc:language>
  <cp:lastModifiedBy>佐野 嘉昭</cp:lastModifiedBy>
  <cp:lastPrinted>2026-07-31T02:36:54Z</cp:lastPrinted>
  <dcterms:modified xsi:type="dcterms:W3CDTF">2026-10-27T06:41:23Z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